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omments1.xml" ContentType="application/vnd.openxmlformats-officedocument.spreadsheetml.comments+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comments2.xml" ContentType="application/vnd.openxmlformats-officedocument.spreadsheetml.comments+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comments3.xml" ContentType="application/vnd.openxmlformats-officedocument.spreadsheetml.comments+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comments4.xml" ContentType="application/vnd.openxmlformats-officedocument.spreadsheetml.comments+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comments5.xml" ContentType="application/vnd.openxmlformats-officedocument.spreadsheetml.comments+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comments6.xml" ContentType="application/vnd.openxmlformats-officedocument.spreadsheetml.comments+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comments7.xml" ContentType="application/vnd.openxmlformats-officedocument.spreadsheetml.comments+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comments8.xml" ContentType="application/vnd.openxmlformats-officedocument.spreadsheetml.comments+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comments9.xml" ContentType="application/vnd.openxmlformats-officedocument.spreadsheetml.comments+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comments10.xml" ContentType="application/vnd.openxmlformats-officedocument.spreadsheetml.comments+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comments11.xml" ContentType="application/vnd.openxmlformats-officedocument.spreadsheetml.comments+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tables/table177.xml" ContentType="application/vnd.openxmlformats-officedocument.spreadsheetml.table+xml"/>
  <Override PartName="/xl/tables/table178.xml" ContentType="application/vnd.openxmlformats-officedocument.spreadsheetml.table+xml"/>
  <Override PartName="/xl/tables/table179.xml" ContentType="application/vnd.openxmlformats-officedocument.spreadsheetml.table+xml"/>
  <Override PartName="/xl/tables/table180.xml" ContentType="application/vnd.openxmlformats-officedocument.spreadsheetml.table+xml"/>
  <Override PartName="/xl/comments12.xml" ContentType="application/vnd.openxmlformats-officedocument.spreadsheetml.comments+xml"/>
  <Override PartName="/xl/tables/table181.xml" ContentType="application/vnd.openxmlformats-officedocument.spreadsheetml.table+xml"/>
  <Override PartName="/xl/tables/table182.xml" ContentType="application/vnd.openxmlformats-officedocument.spreadsheetml.table+xml"/>
  <Override PartName="/xl/tables/table183.xml" ContentType="application/vnd.openxmlformats-officedocument.spreadsheetml.table+xml"/>
  <Override PartName="/xl/tables/table184.xml" ContentType="application/vnd.openxmlformats-officedocument.spreadsheetml.table+xml"/>
  <Override PartName="/xl/tables/table185.xml" ContentType="application/vnd.openxmlformats-officedocument.spreadsheetml.table+xml"/>
  <Override PartName="/xl/tables/table186.xml" ContentType="application/vnd.openxmlformats-officedocument.spreadsheetml.table+xml"/>
  <Override PartName="/xl/tables/table187.xml" ContentType="application/vnd.openxmlformats-officedocument.spreadsheetml.table+xml"/>
  <Override PartName="/xl/tables/table188.xml" ContentType="application/vnd.openxmlformats-officedocument.spreadsheetml.table+xml"/>
  <Override PartName="/xl/tables/table189.xml" ContentType="application/vnd.openxmlformats-officedocument.spreadsheetml.table+xml"/>
  <Override PartName="/xl/tables/table190.xml" ContentType="application/vnd.openxmlformats-officedocument.spreadsheetml.table+xml"/>
  <Override PartName="/xl/tables/table191.xml" ContentType="application/vnd.openxmlformats-officedocument.spreadsheetml.table+xml"/>
  <Override PartName="/xl/tables/table192.xml" ContentType="application/vnd.openxmlformats-officedocument.spreadsheetml.table+xml"/>
  <Override PartName="/xl/tables/table193.xml" ContentType="application/vnd.openxmlformats-officedocument.spreadsheetml.table+xml"/>
  <Override PartName="/xl/tables/table194.xml" ContentType="application/vnd.openxmlformats-officedocument.spreadsheetml.table+xml"/>
  <Override PartName="/xl/tables/table195.xml" ContentType="application/vnd.openxmlformats-officedocument.spreadsheetml.table+xml"/>
  <Override PartName="/xl/comments13.xml" ContentType="application/vnd.openxmlformats-officedocument.spreadsheetml.comments+xml"/>
  <Override PartName="/xl/tables/table196.xml" ContentType="application/vnd.openxmlformats-officedocument.spreadsheetml.table+xml"/>
  <Override PartName="/xl/tables/table197.xml" ContentType="application/vnd.openxmlformats-officedocument.spreadsheetml.table+xml"/>
  <Override PartName="/xl/tables/table198.xml" ContentType="application/vnd.openxmlformats-officedocument.spreadsheetml.table+xml"/>
  <Override PartName="/xl/tables/table199.xml" ContentType="application/vnd.openxmlformats-officedocument.spreadsheetml.table+xml"/>
  <Override PartName="/xl/tables/table200.xml" ContentType="application/vnd.openxmlformats-officedocument.spreadsheetml.table+xml"/>
  <Override PartName="/xl/tables/table201.xml" ContentType="application/vnd.openxmlformats-officedocument.spreadsheetml.table+xml"/>
  <Override PartName="/xl/tables/table202.xml" ContentType="application/vnd.openxmlformats-officedocument.spreadsheetml.table+xml"/>
  <Override PartName="/xl/tables/table203.xml" ContentType="application/vnd.openxmlformats-officedocument.spreadsheetml.table+xml"/>
  <Override PartName="/xl/tables/table204.xml" ContentType="application/vnd.openxmlformats-officedocument.spreadsheetml.table+xml"/>
  <Override PartName="/xl/tables/table205.xml" ContentType="application/vnd.openxmlformats-officedocument.spreadsheetml.table+xml"/>
  <Override PartName="/xl/tables/table206.xml" ContentType="application/vnd.openxmlformats-officedocument.spreadsheetml.table+xml"/>
  <Override PartName="/xl/tables/table207.xml" ContentType="application/vnd.openxmlformats-officedocument.spreadsheetml.table+xml"/>
  <Override PartName="/xl/tables/table208.xml" ContentType="application/vnd.openxmlformats-officedocument.spreadsheetml.table+xml"/>
  <Override PartName="/xl/tables/table209.xml" ContentType="application/vnd.openxmlformats-officedocument.spreadsheetml.table+xml"/>
  <Override PartName="/xl/tables/table210.xml" ContentType="application/vnd.openxmlformats-officedocument.spreadsheetml.table+xml"/>
  <Override PartName="/xl/comments14.xml" ContentType="application/vnd.openxmlformats-officedocument.spreadsheetml.comments+xml"/>
  <Override PartName="/xl/tables/table211.xml" ContentType="application/vnd.openxmlformats-officedocument.spreadsheetml.table+xml"/>
  <Override PartName="/xl/tables/table212.xml" ContentType="application/vnd.openxmlformats-officedocument.spreadsheetml.table+xml"/>
  <Override PartName="/xl/tables/table213.xml" ContentType="application/vnd.openxmlformats-officedocument.spreadsheetml.table+xml"/>
  <Override PartName="/xl/tables/table214.xml" ContentType="application/vnd.openxmlformats-officedocument.spreadsheetml.table+xml"/>
  <Override PartName="/xl/tables/table215.xml" ContentType="application/vnd.openxmlformats-officedocument.spreadsheetml.table+xml"/>
  <Override PartName="/xl/tables/table216.xml" ContentType="application/vnd.openxmlformats-officedocument.spreadsheetml.table+xml"/>
  <Override PartName="/xl/tables/table217.xml" ContentType="application/vnd.openxmlformats-officedocument.spreadsheetml.table+xml"/>
  <Override PartName="/xl/tables/table218.xml" ContentType="application/vnd.openxmlformats-officedocument.spreadsheetml.table+xml"/>
  <Override PartName="/xl/tables/table219.xml" ContentType="application/vnd.openxmlformats-officedocument.spreadsheetml.table+xml"/>
  <Override PartName="/xl/tables/table220.xml" ContentType="application/vnd.openxmlformats-officedocument.spreadsheetml.table+xml"/>
  <Override PartName="/xl/tables/table221.xml" ContentType="application/vnd.openxmlformats-officedocument.spreadsheetml.table+xml"/>
  <Override PartName="/xl/tables/table222.xml" ContentType="application/vnd.openxmlformats-officedocument.spreadsheetml.table+xml"/>
  <Override PartName="/xl/tables/table223.xml" ContentType="application/vnd.openxmlformats-officedocument.spreadsheetml.table+xml"/>
  <Override PartName="/xl/tables/table224.xml" ContentType="application/vnd.openxmlformats-officedocument.spreadsheetml.table+xml"/>
  <Override PartName="/xl/tables/table225.xml" ContentType="application/vnd.openxmlformats-officedocument.spreadsheetml.table+xml"/>
  <Override PartName="/xl/comments15.xml" ContentType="application/vnd.openxmlformats-officedocument.spreadsheetml.comments+xml"/>
  <Override PartName="/xl/tables/table226.xml" ContentType="application/vnd.openxmlformats-officedocument.spreadsheetml.table+xml"/>
  <Override PartName="/xl/tables/table227.xml" ContentType="application/vnd.openxmlformats-officedocument.spreadsheetml.table+xml"/>
  <Override PartName="/xl/tables/table228.xml" ContentType="application/vnd.openxmlformats-officedocument.spreadsheetml.table+xml"/>
  <Override PartName="/xl/tables/table229.xml" ContentType="application/vnd.openxmlformats-officedocument.spreadsheetml.table+xml"/>
  <Override PartName="/xl/tables/table230.xml" ContentType="application/vnd.openxmlformats-officedocument.spreadsheetml.table+xml"/>
  <Override PartName="/xl/tables/table231.xml" ContentType="application/vnd.openxmlformats-officedocument.spreadsheetml.table+xml"/>
  <Override PartName="/xl/tables/table232.xml" ContentType="application/vnd.openxmlformats-officedocument.spreadsheetml.table+xml"/>
  <Override PartName="/xl/tables/table233.xml" ContentType="application/vnd.openxmlformats-officedocument.spreadsheetml.table+xml"/>
  <Override PartName="/xl/tables/table234.xml" ContentType="application/vnd.openxmlformats-officedocument.spreadsheetml.table+xml"/>
  <Override PartName="/xl/tables/table235.xml" ContentType="application/vnd.openxmlformats-officedocument.spreadsheetml.table+xml"/>
  <Override PartName="/xl/tables/table236.xml" ContentType="application/vnd.openxmlformats-officedocument.spreadsheetml.table+xml"/>
  <Override PartName="/xl/tables/table237.xml" ContentType="application/vnd.openxmlformats-officedocument.spreadsheetml.table+xml"/>
  <Override PartName="/xl/tables/table238.xml" ContentType="application/vnd.openxmlformats-officedocument.spreadsheetml.table+xml"/>
  <Override PartName="/xl/tables/table239.xml" ContentType="application/vnd.openxmlformats-officedocument.spreadsheetml.table+xml"/>
  <Override PartName="/xl/tables/table240.xml" ContentType="application/vnd.openxmlformats-officedocument.spreadsheetml.table+xml"/>
  <Override PartName="/xl/comments16.xml" ContentType="application/vnd.openxmlformats-officedocument.spreadsheetml.comments+xml"/>
  <Override PartName="/xl/tables/table241.xml" ContentType="application/vnd.openxmlformats-officedocument.spreadsheetml.table+xml"/>
  <Override PartName="/xl/tables/table242.xml" ContentType="application/vnd.openxmlformats-officedocument.spreadsheetml.table+xml"/>
  <Override PartName="/xl/tables/table243.xml" ContentType="application/vnd.openxmlformats-officedocument.spreadsheetml.table+xml"/>
  <Override PartName="/xl/tables/table244.xml" ContentType="application/vnd.openxmlformats-officedocument.spreadsheetml.table+xml"/>
  <Override PartName="/xl/tables/table245.xml" ContentType="application/vnd.openxmlformats-officedocument.spreadsheetml.table+xml"/>
  <Override PartName="/xl/tables/table246.xml" ContentType="application/vnd.openxmlformats-officedocument.spreadsheetml.table+xml"/>
  <Override PartName="/xl/tables/table247.xml" ContentType="application/vnd.openxmlformats-officedocument.spreadsheetml.table+xml"/>
  <Override PartName="/xl/tables/table248.xml" ContentType="application/vnd.openxmlformats-officedocument.spreadsheetml.table+xml"/>
  <Override PartName="/xl/tables/table249.xml" ContentType="application/vnd.openxmlformats-officedocument.spreadsheetml.table+xml"/>
  <Override PartName="/xl/tables/table250.xml" ContentType="application/vnd.openxmlformats-officedocument.spreadsheetml.table+xml"/>
  <Override PartName="/xl/tables/table251.xml" ContentType="application/vnd.openxmlformats-officedocument.spreadsheetml.table+xml"/>
  <Override PartName="/xl/tables/table252.xml" ContentType="application/vnd.openxmlformats-officedocument.spreadsheetml.table+xml"/>
  <Override PartName="/xl/tables/table253.xml" ContentType="application/vnd.openxmlformats-officedocument.spreadsheetml.table+xml"/>
  <Override PartName="/xl/tables/table254.xml" ContentType="application/vnd.openxmlformats-officedocument.spreadsheetml.table+xml"/>
  <Override PartName="/xl/tables/table255.xml" ContentType="application/vnd.openxmlformats-officedocument.spreadsheetml.table+xml"/>
  <Override PartName="/xl/comments17.xml" ContentType="application/vnd.openxmlformats-officedocument.spreadsheetml.comments+xml"/>
  <Override PartName="/xl/tables/table256.xml" ContentType="application/vnd.openxmlformats-officedocument.spreadsheetml.table+xml"/>
  <Override PartName="/xl/tables/table257.xml" ContentType="application/vnd.openxmlformats-officedocument.spreadsheetml.table+xml"/>
  <Override PartName="/xl/tables/table258.xml" ContentType="application/vnd.openxmlformats-officedocument.spreadsheetml.table+xml"/>
  <Override PartName="/xl/tables/table259.xml" ContentType="application/vnd.openxmlformats-officedocument.spreadsheetml.table+xml"/>
  <Override PartName="/xl/tables/table260.xml" ContentType="application/vnd.openxmlformats-officedocument.spreadsheetml.table+xml"/>
  <Override PartName="/xl/tables/table261.xml" ContentType="application/vnd.openxmlformats-officedocument.spreadsheetml.table+xml"/>
  <Override PartName="/xl/tables/table262.xml" ContentType="application/vnd.openxmlformats-officedocument.spreadsheetml.table+xml"/>
  <Override PartName="/xl/tables/table263.xml" ContentType="application/vnd.openxmlformats-officedocument.spreadsheetml.table+xml"/>
  <Override PartName="/xl/tables/table264.xml" ContentType="application/vnd.openxmlformats-officedocument.spreadsheetml.table+xml"/>
  <Override PartName="/xl/tables/table265.xml" ContentType="application/vnd.openxmlformats-officedocument.spreadsheetml.table+xml"/>
  <Override PartName="/xl/tables/table266.xml" ContentType="application/vnd.openxmlformats-officedocument.spreadsheetml.table+xml"/>
  <Override PartName="/xl/tables/table267.xml" ContentType="application/vnd.openxmlformats-officedocument.spreadsheetml.table+xml"/>
  <Override PartName="/xl/tables/table268.xml" ContentType="application/vnd.openxmlformats-officedocument.spreadsheetml.table+xml"/>
  <Override PartName="/xl/tables/table269.xml" ContentType="application/vnd.openxmlformats-officedocument.spreadsheetml.table+xml"/>
  <Override PartName="/xl/tables/table270.xml" ContentType="application/vnd.openxmlformats-officedocument.spreadsheetml.table+xml"/>
  <Override PartName="/xl/comments18.xml" ContentType="application/vnd.openxmlformats-officedocument.spreadsheetml.comments+xml"/>
  <Override PartName="/xl/tables/table271.xml" ContentType="application/vnd.openxmlformats-officedocument.spreadsheetml.table+xml"/>
  <Override PartName="/xl/tables/table272.xml" ContentType="application/vnd.openxmlformats-officedocument.spreadsheetml.table+xml"/>
  <Override PartName="/xl/tables/table273.xml" ContentType="application/vnd.openxmlformats-officedocument.spreadsheetml.table+xml"/>
  <Override PartName="/xl/tables/table274.xml" ContentType="application/vnd.openxmlformats-officedocument.spreadsheetml.table+xml"/>
  <Override PartName="/xl/tables/table275.xml" ContentType="application/vnd.openxmlformats-officedocument.spreadsheetml.table+xml"/>
  <Override PartName="/xl/tables/table276.xml" ContentType="application/vnd.openxmlformats-officedocument.spreadsheetml.table+xml"/>
  <Override PartName="/xl/tables/table277.xml" ContentType="application/vnd.openxmlformats-officedocument.spreadsheetml.table+xml"/>
  <Override PartName="/xl/tables/table278.xml" ContentType="application/vnd.openxmlformats-officedocument.spreadsheetml.table+xml"/>
  <Override PartName="/xl/tables/table279.xml" ContentType="application/vnd.openxmlformats-officedocument.spreadsheetml.table+xml"/>
  <Override PartName="/xl/tables/table280.xml" ContentType="application/vnd.openxmlformats-officedocument.spreadsheetml.table+xml"/>
  <Override PartName="/xl/tables/table281.xml" ContentType="application/vnd.openxmlformats-officedocument.spreadsheetml.table+xml"/>
  <Override PartName="/xl/tables/table282.xml" ContentType="application/vnd.openxmlformats-officedocument.spreadsheetml.table+xml"/>
  <Override PartName="/xl/tables/table283.xml" ContentType="application/vnd.openxmlformats-officedocument.spreadsheetml.table+xml"/>
  <Override PartName="/xl/tables/table284.xml" ContentType="application/vnd.openxmlformats-officedocument.spreadsheetml.table+xml"/>
  <Override PartName="/xl/tables/table285.xml" ContentType="application/vnd.openxmlformats-officedocument.spreadsheetml.table+xml"/>
  <Override PartName="/xl/comments19.xml" ContentType="application/vnd.openxmlformats-officedocument.spreadsheetml.comments+xml"/>
  <Override PartName="/xl/tables/table286.xml" ContentType="application/vnd.openxmlformats-officedocument.spreadsheetml.table+xml"/>
  <Override PartName="/xl/tables/table287.xml" ContentType="application/vnd.openxmlformats-officedocument.spreadsheetml.table+xml"/>
  <Override PartName="/xl/tables/table288.xml" ContentType="application/vnd.openxmlformats-officedocument.spreadsheetml.table+xml"/>
  <Override PartName="/xl/tables/table289.xml" ContentType="application/vnd.openxmlformats-officedocument.spreadsheetml.table+xml"/>
  <Override PartName="/xl/tables/table290.xml" ContentType="application/vnd.openxmlformats-officedocument.spreadsheetml.table+xml"/>
  <Override PartName="/xl/tables/table291.xml" ContentType="application/vnd.openxmlformats-officedocument.spreadsheetml.table+xml"/>
  <Override PartName="/xl/tables/table292.xml" ContentType="application/vnd.openxmlformats-officedocument.spreadsheetml.table+xml"/>
  <Override PartName="/xl/tables/table293.xml" ContentType="application/vnd.openxmlformats-officedocument.spreadsheetml.table+xml"/>
  <Override PartName="/xl/tables/table294.xml" ContentType="application/vnd.openxmlformats-officedocument.spreadsheetml.table+xml"/>
  <Override PartName="/xl/tables/table295.xml" ContentType="application/vnd.openxmlformats-officedocument.spreadsheetml.table+xml"/>
  <Override PartName="/xl/tables/table296.xml" ContentType="application/vnd.openxmlformats-officedocument.spreadsheetml.table+xml"/>
  <Override PartName="/xl/tables/table297.xml" ContentType="application/vnd.openxmlformats-officedocument.spreadsheetml.table+xml"/>
  <Override PartName="/xl/tables/table298.xml" ContentType="application/vnd.openxmlformats-officedocument.spreadsheetml.table+xml"/>
  <Override PartName="/xl/tables/table299.xml" ContentType="application/vnd.openxmlformats-officedocument.spreadsheetml.table+xml"/>
  <Override PartName="/xl/tables/table300.xml" ContentType="application/vnd.openxmlformats-officedocument.spreadsheetml.table+xml"/>
  <Override PartName="/xl/comments20.xml" ContentType="application/vnd.openxmlformats-officedocument.spreadsheetml.comments+xml"/>
  <Override PartName="/xl/tables/table301.xml" ContentType="application/vnd.openxmlformats-officedocument.spreadsheetml.table+xml"/>
  <Override PartName="/xl/queryTables/queryTable1.xml" ContentType="application/vnd.openxmlformats-officedocument.spreadsheetml.queryTable+xml"/>
  <Override PartName="/xl/tables/table302.xml" ContentType="application/vnd.openxmlformats-officedocument.spreadsheetml.table+xml"/>
  <Override PartName="/xl/tables/table303.xml" ContentType="application/vnd.openxmlformats-officedocument.spreadsheetml.table+xml"/>
  <Override PartName="/xl/tables/table304.xml" ContentType="application/vnd.openxmlformats-officedocument.spreadsheetml.table+xml"/>
  <Override PartName="/xl/tables/table305.xml" ContentType="application/vnd.openxmlformats-officedocument.spreadsheetml.table+xml"/>
  <Override PartName="/xl/tables/table306.xml" ContentType="application/vnd.openxmlformats-officedocument.spreadsheetml.table+xml"/>
  <Override PartName="/xl/tables/table307.xml" ContentType="application/vnd.openxmlformats-officedocument.spreadsheetml.table+xml"/>
  <Override PartName="/xl/tables/table308.xml" ContentType="application/vnd.openxmlformats-officedocument.spreadsheetml.table+xml"/>
  <Override PartName="/xl/tables/table309.xml" ContentType="application/vnd.openxmlformats-officedocument.spreadsheetml.table+xml"/>
  <Override PartName="/xl/tables/table310.xml" ContentType="application/vnd.openxmlformats-officedocument.spreadsheetml.table+xml"/>
  <Override PartName="/xl/tables/table311.xml" ContentType="application/vnd.openxmlformats-officedocument.spreadsheetml.table+xml"/>
  <Override PartName="/xl/tables/table312.xml" ContentType="application/vnd.openxmlformats-officedocument.spreadsheetml.table+xml"/>
  <Override PartName="/xl/tables/table313.xml" ContentType="application/vnd.openxmlformats-officedocument.spreadsheetml.table+xml"/>
  <Override PartName="/xl/tables/table314.xml" ContentType="application/vnd.openxmlformats-officedocument.spreadsheetml.table+xml"/>
  <Override PartName="/xl/tables/table315.xml" ContentType="application/vnd.openxmlformats-officedocument.spreadsheetml.table+xml"/>
  <Override PartName="/xl/tables/table316.xml" ContentType="application/vnd.openxmlformats-officedocument.spreadsheetml.table+xml"/>
  <Override PartName="/xl/comments21.xml" ContentType="application/vnd.openxmlformats-officedocument.spreadsheetml.comments+xml"/>
  <Override PartName="/xl/tables/table317.xml" ContentType="application/vnd.openxmlformats-officedocument.spreadsheetml.table+xml"/>
  <Override PartName="/xl/tables/table318.xml" ContentType="application/vnd.openxmlformats-officedocument.spreadsheetml.table+xml"/>
  <Override PartName="/xl/tables/table319.xml" ContentType="application/vnd.openxmlformats-officedocument.spreadsheetml.table+xml"/>
  <Override PartName="/xl/tables/table320.xml" ContentType="application/vnd.openxmlformats-officedocument.spreadsheetml.table+xml"/>
  <Override PartName="/xl/tables/table321.xml" ContentType="application/vnd.openxmlformats-officedocument.spreadsheetml.table+xml"/>
  <Override PartName="/xl/tables/table322.xml" ContentType="application/vnd.openxmlformats-officedocument.spreadsheetml.table+xml"/>
  <Override PartName="/xl/tables/table323.xml" ContentType="application/vnd.openxmlformats-officedocument.spreadsheetml.table+xml"/>
  <Override PartName="/xl/tables/table324.xml" ContentType="application/vnd.openxmlformats-officedocument.spreadsheetml.table+xml"/>
  <Override PartName="/xl/tables/table325.xml" ContentType="application/vnd.openxmlformats-officedocument.spreadsheetml.table+xml"/>
  <Override PartName="/xl/tables/table326.xml" ContentType="application/vnd.openxmlformats-officedocument.spreadsheetml.table+xml"/>
  <Override PartName="/xl/tables/table327.xml" ContentType="application/vnd.openxmlformats-officedocument.spreadsheetml.table+xml"/>
  <Override PartName="/xl/tables/table328.xml" ContentType="application/vnd.openxmlformats-officedocument.spreadsheetml.table+xml"/>
  <Override PartName="/xl/tables/table329.xml" ContentType="application/vnd.openxmlformats-officedocument.spreadsheetml.table+xml"/>
  <Override PartName="/xl/tables/table330.xml" ContentType="application/vnd.openxmlformats-officedocument.spreadsheetml.table+xml"/>
  <Override PartName="/xl/tables/table331.xml" ContentType="application/vnd.openxmlformats-officedocument.spreadsheetml.table+xml"/>
  <Override PartName="/xl/comments22.xml" ContentType="application/vnd.openxmlformats-officedocument.spreadsheetml.comments+xml"/>
  <Override PartName="/xl/tables/table332.xml" ContentType="application/vnd.openxmlformats-officedocument.spreadsheetml.table+xml"/>
  <Override PartName="/xl/tables/table333.xml" ContentType="application/vnd.openxmlformats-officedocument.spreadsheetml.table+xml"/>
  <Override PartName="/xl/tables/table334.xml" ContentType="application/vnd.openxmlformats-officedocument.spreadsheetml.table+xml"/>
  <Override PartName="/xl/tables/table335.xml" ContentType="application/vnd.openxmlformats-officedocument.spreadsheetml.table+xml"/>
  <Override PartName="/xl/tables/table336.xml" ContentType="application/vnd.openxmlformats-officedocument.spreadsheetml.table+xml"/>
  <Override PartName="/xl/tables/table337.xml" ContentType="application/vnd.openxmlformats-officedocument.spreadsheetml.table+xml"/>
  <Override PartName="/xl/tables/table338.xml" ContentType="application/vnd.openxmlformats-officedocument.spreadsheetml.table+xml"/>
  <Override PartName="/xl/tables/table339.xml" ContentType="application/vnd.openxmlformats-officedocument.spreadsheetml.table+xml"/>
  <Override PartName="/xl/tables/table340.xml" ContentType="application/vnd.openxmlformats-officedocument.spreadsheetml.table+xml"/>
  <Override PartName="/xl/tables/table341.xml" ContentType="application/vnd.openxmlformats-officedocument.spreadsheetml.table+xml"/>
  <Override PartName="/xl/tables/table342.xml" ContentType="application/vnd.openxmlformats-officedocument.spreadsheetml.table+xml"/>
  <Override PartName="/xl/tables/table343.xml" ContentType="application/vnd.openxmlformats-officedocument.spreadsheetml.table+xml"/>
  <Override PartName="/xl/tables/table344.xml" ContentType="application/vnd.openxmlformats-officedocument.spreadsheetml.table+xml"/>
  <Override PartName="/xl/tables/table345.xml" ContentType="application/vnd.openxmlformats-officedocument.spreadsheetml.table+xml"/>
  <Override PartName="/xl/tables/table346.xml" ContentType="application/vnd.openxmlformats-officedocument.spreadsheetml.table+xml"/>
  <Override PartName="/xl/comments2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filterPrivacy="1"/>
  <xr:revisionPtr revIDLastSave="0" documentId="13_ncr:1_{05936B9A-C5C3-4CC8-B1B3-74B958631FE4}" xr6:coauthVersionLast="47" xr6:coauthVersionMax="47" xr10:uidLastSave="{00000000-0000-0000-0000-000000000000}"/>
  <bookViews>
    <workbookView xWindow="-120" yWindow="-120" windowWidth="29040" windowHeight="15840" firstSheet="17" activeTab="21" xr2:uid="{00000000-000D-0000-FFFF-FFFF00000000}"/>
  </bookViews>
  <sheets>
    <sheet name="Нояб.24" sheetId="1" r:id="rId1"/>
    <sheet name="Дек.24 " sheetId="3" r:id="rId2"/>
    <sheet name="Янв.25" sheetId="4" r:id="rId3"/>
    <sheet name="Фев.25" sheetId="6" r:id="rId4"/>
    <sheet name="Март.25" sheetId="7" r:id="rId5"/>
    <sheet name="Апр. 25" sheetId="8" r:id="rId6"/>
    <sheet name="Май. 25" sheetId="9" r:id="rId7"/>
    <sheet name="Июнь. 25" sheetId="10" r:id="rId8"/>
    <sheet name="Июль. 25" sheetId="12" r:id="rId9"/>
    <sheet name="Август. 25" sheetId="13" r:id="rId10"/>
    <sheet name="Сентябрь. 25" sheetId="14" r:id="rId11"/>
    <sheet name="Октябрь. 25" sheetId="17" r:id="rId12"/>
    <sheet name="Ноябрь. 25" sheetId="18" r:id="rId13"/>
    <sheet name="Декабрь. 25" sheetId="19" r:id="rId14"/>
    <sheet name="Январь. 26" sheetId="21" r:id="rId15"/>
    <sheet name="Февраль. 26" sheetId="22" r:id="rId16"/>
    <sheet name="Март. 26" sheetId="23" r:id="rId17"/>
    <sheet name="Апрель. 26" sheetId="24" r:id="rId18"/>
    <sheet name="Май. 26" sheetId="26" r:id="rId19"/>
    <sheet name="Июнь. 26" sheetId="27" r:id="rId20"/>
    <sheet name="Таблица163346597387101115122134" sheetId="30" r:id="rId21"/>
    <sheet name="Июль. 26" sheetId="28" r:id="rId22"/>
    <sheet name="Август. 26 (2)" sheetId="29" r:id="rId23"/>
    <sheet name="Шаблон" sheetId="25" r:id="rId24"/>
  </sheets>
  <definedNames>
    <definedName name="ExternalData_1" localSheetId="20" hidden="1">Таблица163346597387101115122134!$A$1:$F$12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4" i="12" l="1"/>
  <c r="G89" i="29"/>
  <c r="G77" i="29"/>
  <c r="H73" i="29"/>
  <c r="G73" i="29"/>
  <c r="H70" i="29"/>
  <c r="G70" i="29"/>
  <c r="D61" i="29"/>
  <c r="C51" i="29"/>
  <c r="D50" i="29"/>
  <c r="D49" i="29"/>
  <c r="D48" i="29"/>
  <c r="D47" i="29"/>
  <c r="D40" i="29"/>
  <c r="B40" i="29"/>
  <c r="A40" i="29"/>
  <c r="C40" i="29" s="1"/>
  <c r="B41" i="29" s="1"/>
  <c r="C35" i="29"/>
  <c r="B35" i="29"/>
  <c r="D35" i="29" s="1"/>
  <c r="C34" i="29"/>
  <c r="B34" i="29"/>
  <c r="D33" i="29"/>
  <c r="D32" i="29"/>
  <c r="D31" i="29"/>
  <c r="D30" i="29"/>
  <c r="D29" i="29"/>
  <c r="D28" i="29"/>
  <c r="D27" i="29"/>
  <c r="D26" i="29"/>
  <c r="D25" i="29"/>
  <c r="D24" i="29"/>
  <c r="D23" i="29"/>
  <c r="D22" i="29"/>
  <c r="E17" i="29"/>
  <c r="D17" i="29"/>
  <c r="C12" i="29"/>
  <c r="D12" i="29" s="1"/>
  <c r="B12" i="29"/>
  <c r="F7" i="29"/>
  <c r="C7" i="29"/>
  <c r="E7" i="29" s="1"/>
  <c r="B7" i="29"/>
  <c r="D7" i="29" s="1"/>
  <c r="F7" i="28"/>
  <c r="B12" i="28"/>
  <c r="C7" i="28"/>
  <c r="B7" i="28"/>
  <c r="A40" i="28"/>
  <c r="C40" i="28" s="1"/>
  <c r="G95" i="28"/>
  <c r="G80" i="28"/>
  <c r="G76" i="28"/>
  <c r="H76" i="28" s="1"/>
  <c r="G73" i="28"/>
  <c r="H73" i="28" s="1"/>
  <c r="C53" i="28"/>
  <c r="D40" i="28"/>
  <c r="B40" i="28"/>
  <c r="C35" i="28"/>
  <c r="B35" i="28"/>
  <c r="C34" i="28"/>
  <c r="B34" i="28"/>
  <c r="C12" i="28" s="1"/>
  <c r="D33" i="28"/>
  <c r="D32" i="28"/>
  <c r="D31" i="28"/>
  <c r="D30" i="28"/>
  <c r="D29" i="28"/>
  <c r="D28" i="28"/>
  <c r="D27" i="28"/>
  <c r="D26" i="28"/>
  <c r="D25" i="28"/>
  <c r="D24" i="28"/>
  <c r="D23" i="28"/>
  <c r="D22" i="28"/>
  <c r="B12" i="27"/>
  <c r="B7" i="27"/>
  <c r="C7" i="27"/>
  <c r="B7" i="26"/>
  <c r="C7" i="26"/>
  <c r="D61" i="27"/>
  <c r="C62" i="27"/>
  <c r="D62" i="27" s="1"/>
  <c r="D47" i="27"/>
  <c r="D48" i="27"/>
  <c r="D49" i="27"/>
  <c r="F7" i="27"/>
  <c r="G110" i="27"/>
  <c r="D40" i="27" s="1"/>
  <c r="A40" i="27"/>
  <c r="C40" i="27" s="1"/>
  <c r="G86" i="27"/>
  <c r="G77" i="27"/>
  <c r="G73" i="27"/>
  <c r="H73" i="27" s="1"/>
  <c r="G70" i="27"/>
  <c r="H70" i="27" s="1"/>
  <c r="C51" i="27"/>
  <c r="D50" i="27"/>
  <c r="B40" i="27"/>
  <c r="C35" i="27"/>
  <c r="B35" i="27"/>
  <c r="C34" i="27"/>
  <c r="B34" i="27"/>
  <c r="D17" i="27" s="1"/>
  <c r="E17" i="27" s="1"/>
  <c r="D33" i="27"/>
  <c r="D32" i="27"/>
  <c r="D31" i="27"/>
  <c r="D30" i="27"/>
  <c r="D29" i="27"/>
  <c r="D28" i="27"/>
  <c r="D27" i="27"/>
  <c r="D26" i="27"/>
  <c r="D25" i="27"/>
  <c r="D24" i="27"/>
  <c r="D23" i="27"/>
  <c r="D22" i="27"/>
  <c r="B12" i="26"/>
  <c r="F7" i="26"/>
  <c r="A40" i="26"/>
  <c r="C40" i="26" s="1"/>
  <c r="G82" i="26"/>
  <c r="G72" i="26"/>
  <c r="G68" i="26"/>
  <c r="H68" i="26" s="1"/>
  <c r="G65" i="26"/>
  <c r="H65" i="26" s="1"/>
  <c r="C48" i="26"/>
  <c r="D46" i="26"/>
  <c r="D40" i="26"/>
  <c r="B40" i="26"/>
  <c r="C35" i="26"/>
  <c r="B35" i="26"/>
  <c r="C34" i="26"/>
  <c r="B34" i="26"/>
  <c r="D17" i="26" s="1"/>
  <c r="E17" i="26" s="1"/>
  <c r="D33" i="26"/>
  <c r="D32" i="26"/>
  <c r="D31" i="26"/>
  <c r="D30" i="26"/>
  <c r="D29" i="26"/>
  <c r="D28" i="26"/>
  <c r="D27" i="26"/>
  <c r="D26" i="26"/>
  <c r="D25" i="26"/>
  <c r="D24" i="26"/>
  <c r="D23" i="26"/>
  <c r="D22" i="26"/>
  <c r="D35" i="24"/>
  <c r="B12" i="24"/>
  <c r="D35" i="22"/>
  <c r="D49" i="24"/>
  <c r="D48" i="24"/>
  <c r="D47" i="24"/>
  <c r="D46" i="24"/>
  <c r="B7" i="24"/>
  <c r="C7" i="24"/>
  <c r="G95" i="25"/>
  <c r="G76" i="25"/>
  <c r="G72" i="25"/>
  <c r="H72" i="25" s="1"/>
  <c r="H69" i="25"/>
  <c r="G69" i="25"/>
  <c r="C47" i="25"/>
  <c r="D40" i="25"/>
  <c r="B40" i="25"/>
  <c r="A40" i="25"/>
  <c r="C40" i="25" s="1"/>
  <c r="C35" i="25"/>
  <c r="B35" i="25"/>
  <c r="D35" i="25" s="1"/>
  <c r="C34" i="25"/>
  <c r="B34" i="25"/>
  <c r="D33" i="25"/>
  <c r="D32" i="25"/>
  <c r="D31" i="25"/>
  <c r="D30" i="25"/>
  <c r="D29" i="25"/>
  <c r="D28" i="25"/>
  <c r="D27" i="25"/>
  <c r="D26" i="25"/>
  <c r="D25" i="25"/>
  <c r="D24" i="25"/>
  <c r="D23" i="25"/>
  <c r="D22" i="25"/>
  <c r="E17" i="25"/>
  <c r="D17" i="25"/>
  <c r="C12" i="25"/>
  <c r="D12" i="25" s="1"/>
  <c r="B12" i="25"/>
  <c r="F7" i="25"/>
  <c r="D7" i="25"/>
  <c r="C7" i="25"/>
  <c r="E7" i="25" s="1"/>
  <c r="B7" i="25"/>
  <c r="A40" i="24"/>
  <c r="C40" i="24" s="1"/>
  <c r="D47" i="23"/>
  <c r="D48" i="23"/>
  <c r="D49" i="23"/>
  <c r="D46" i="23"/>
  <c r="G93" i="24"/>
  <c r="G77" i="24"/>
  <c r="G73" i="24"/>
  <c r="H73" i="24" s="1"/>
  <c r="G70" i="24"/>
  <c r="H70" i="24" s="1"/>
  <c r="C50" i="24"/>
  <c r="D40" i="24"/>
  <c r="B40" i="24"/>
  <c r="C35" i="24"/>
  <c r="B35" i="24"/>
  <c r="C34" i="24"/>
  <c r="B34" i="24"/>
  <c r="C12" i="24" s="1"/>
  <c r="D33" i="24"/>
  <c r="D32" i="24"/>
  <c r="D31" i="24"/>
  <c r="D30" i="24"/>
  <c r="D29" i="24"/>
  <c r="D28" i="24"/>
  <c r="D27" i="24"/>
  <c r="D26" i="24"/>
  <c r="D25" i="24"/>
  <c r="D24" i="24"/>
  <c r="D23" i="24"/>
  <c r="D22" i="24"/>
  <c r="A40" i="23"/>
  <c r="B35" i="22"/>
  <c r="B35" i="23"/>
  <c r="D35" i="23" s="1"/>
  <c r="B12" i="23"/>
  <c r="F7" i="23"/>
  <c r="C7" i="23"/>
  <c r="B7" i="23"/>
  <c r="D40" i="23"/>
  <c r="D47" i="22"/>
  <c r="D48" i="22"/>
  <c r="D49" i="22"/>
  <c r="D50" i="22"/>
  <c r="D46" i="22"/>
  <c r="B34" i="6"/>
  <c r="G98" i="23"/>
  <c r="G79" i="23"/>
  <c r="G75" i="23"/>
  <c r="H75" i="23" s="1"/>
  <c r="G72" i="23"/>
  <c r="H72" i="23" s="1"/>
  <c r="C50" i="23"/>
  <c r="B40" i="23"/>
  <c r="C40" i="23"/>
  <c r="C35" i="23"/>
  <c r="C34" i="23"/>
  <c r="B34" i="23"/>
  <c r="C12" i="23" s="1"/>
  <c r="D12" i="23" s="1"/>
  <c r="D33" i="23"/>
  <c r="D32" i="23"/>
  <c r="D31" i="23"/>
  <c r="D30" i="23"/>
  <c r="D29" i="23"/>
  <c r="D28" i="23"/>
  <c r="D27" i="23"/>
  <c r="D26" i="23"/>
  <c r="D25" i="23"/>
  <c r="D24" i="23"/>
  <c r="D23" i="23"/>
  <c r="D22" i="23"/>
  <c r="D35" i="28" l="1"/>
  <c r="E7" i="28"/>
  <c r="E12" i="29"/>
  <c r="D12" i="28"/>
  <c r="D17" i="28"/>
  <c r="E17" i="28" s="1"/>
  <c r="B41" i="28"/>
  <c r="D7" i="28"/>
  <c r="E12" i="28"/>
  <c r="C12" i="27"/>
  <c r="E7" i="27"/>
  <c r="D35" i="27"/>
  <c r="D7" i="27"/>
  <c r="D12" i="27"/>
  <c r="B41" i="27"/>
  <c r="E12" i="27"/>
  <c r="D7" i="26"/>
  <c r="D35" i="26"/>
  <c r="E7" i="26"/>
  <c r="C12" i="26"/>
  <c r="E12" i="26" s="1"/>
  <c r="B41" i="26"/>
  <c r="E7" i="24"/>
  <c r="D12" i="24"/>
  <c r="B41" i="25"/>
  <c r="E12" i="25"/>
  <c r="B41" i="24"/>
  <c r="D17" i="24"/>
  <c r="E17" i="24" s="1"/>
  <c r="D7" i="24"/>
  <c r="E12" i="24"/>
  <c r="B41" i="23"/>
  <c r="E7" i="23"/>
  <c r="D17" i="23"/>
  <c r="E17" i="23" s="1"/>
  <c r="D7" i="23"/>
  <c r="E12" i="23"/>
  <c r="A40" i="22"/>
  <c r="C40" i="22" s="1"/>
  <c r="B12" i="22"/>
  <c r="F7" i="22"/>
  <c r="C7" i="22"/>
  <c r="B7" i="22"/>
  <c r="G99" i="22"/>
  <c r="G79" i="22"/>
  <c r="G75" i="22"/>
  <c r="H75" i="22" s="1"/>
  <c r="G72" i="22"/>
  <c r="H72" i="22" s="1"/>
  <c r="C51" i="22"/>
  <c r="D40" i="22"/>
  <c r="B40" i="22"/>
  <c r="C35" i="22"/>
  <c r="C34" i="22"/>
  <c r="B34" i="22"/>
  <c r="D17" i="22" s="1"/>
  <c r="E17" i="22" s="1"/>
  <c r="D33" i="22"/>
  <c r="D32" i="22"/>
  <c r="D31" i="22"/>
  <c r="D30" i="22"/>
  <c r="D29" i="22"/>
  <c r="D28" i="22"/>
  <c r="D27" i="22"/>
  <c r="D26" i="22"/>
  <c r="D25" i="22"/>
  <c r="D24" i="22"/>
  <c r="D23" i="22"/>
  <c r="D22" i="22"/>
  <c r="B7" i="21"/>
  <c r="B35" i="21"/>
  <c r="D35" i="21" s="1"/>
  <c r="B12" i="21"/>
  <c r="F7" i="21"/>
  <c r="C7" i="21"/>
  <c r="A40" i="21"/>
  <c r="C40" i="21" s="1"/>
  <c r="C40" i="19"/>
  <c r="C7" i="19"/>
  <c r="B7" i="19"/>
  <c r="G89" i="21"/>
  <c r="G72" i="21"/>
  <c r="G68" i="21"/>
  <c r="H68" i="21" s="1"/>
  <c r="G65" i="21"/>
  <c r="H65" i="21" s="1"/>
  <c r="C47" i="21"/>
  <c r="D40" i="21"/>
  <c r="B40" i="21"/>
  <c r="C35" i="21"/>
  <c r="C34" i="21"/>
  <c r="B34" i="21"/>
  <c r="C12" i="21" s="1"/>
  <c r="D33" i="21"/>
  <c r="D32" i="21"/>
  <c r="D31" i="21"/>
  <c r="D30" i="21"/>
  <c r="D29" i="21"/>
  <c r="D28" i="21"/>
  <c r="D27" i="21"/>
  <c r="D26" i="21"/>
  <c r="D25" i="21"/>
  <c r="D24" i="21"/>
  <c r="D23" i="21"/>
  <c r="D22" i="21"/>
  <c r="B12" i="19"/>
  <c r="F7" i="19"/>
  <c r="F7" i="18"/>
  <c r="A40" i="19"/>
  <c r="B35" i="19"/>
  <c r="D12" i="26" l="1"/>
  <c r="B41" i="22"/>
  <c r="D7" i="22"/>
  <c r="C12" i="22"/>
  <c r="D12" i="22" s="1"/>
  <c r="E7" i="22"/>
  <c r="E12" i="22"/>
  <c r="E7" i="21"/>
  <c r="D7" i="21"/>
  <c r="B41" i="21"/>
  <c r="D12" i="21"/>
  <c r="D17" i="21"/>
  <c r="E17" i="21" s="1"/>
  <c r="E12" i="21"/>
  <c r="D35" i="14"/>
  <c r="B35" i="17"/>
  <c r="B35" i="18"/>
  <c r="D35" i="17"/>
  <c r="G89" i="19"/>
  <c r="G76" i="19"/>
  <c r="G72" i="19"/>
  <c r="H72" i="19" s="1"/>
  <c r="G69" i="19"/>
  <c r="H69" i="19" s="1"/>
  <c r="C47" i="19"/>
  <c r="D40" i="19"/>
  <c r="B40" i="19"/>
  <c r="C35" i="19"/>
  <c r="D35" i="19"/>
  <c r="C34" i="19"/>
  <c r="B34" i="19"/>
  <c r="D33" i="19"/>
  <c r="D32" i="19"/>
  <c r="D31" i="19"/>
  <c r="D30" i="19"/>
  <c r="D29" i="19"/>
  <c r="D28" i="19"/>
  <c r="D27" i="19"/>
  <c r="D26" i="19"/>
  <c r="D25" i="19"/>
  <c r="D24" i="19"/>
  <c r="D23" i="19"/>
  <c r="D22" i="19"/>
  <c r="B12" i="18"/>
  <c r="C7" i="18"/>
  <c r="B7" i="18"/>
  <c r="A40" i="18"/>
  <c r="D17" i="19" l="1"/>
  <c r="E17" i="19" s="1"/>
  <c r="C12" i="19"/>
  <c r="D12" i="19" s="1"/>
  <c r="E7" i="19"/>
  <c r="D7" i="19"/>
  <c r="B41" i="19"/>
  <c r="B34" i="17"/>
  <c r="E12" i="19" l="1"/>
  <c r="G88" i="18"/>
  <c r="G78" i="18"/>
  <c r="G74" i="18"/>
  <c r="H74" i="18" s="1"/>
  <c r="G71" i="18"/>
  <c r="H71" i="18" s="1"/>
  <c r="C47" i="18"/>
  <c r="D40" i="18"/>
  <c r="C40" i="18"/>
  <c r="B40" i="18"/>
  <c r="C35" i="18"/>
  <c r="D35" i="18" s="1"/>
  <c r="C34" i="18"/>
  <c r="B34" i="18"/>
  <c r="C12" i="18" s="1"/>
  <c r="D33" i="18"/>
  <c r="D32" i="18"/>
  <c r="D31" i="18"/>
  <c r="D30" i="18"/>
  <c r="D29" i="18"/>
  <c r="D28" i="18"/>
  <c r="D27" i="18"/>
  <c r="D26" i="18"/>
  <c r="D25" i="18"/>
  <c r="D24" i="18"/>
  <c r="D23" i="18"/>
  <c r="D22" i="18"/>
  <c r="G132" i="17"/>
  <c r="D40" i="17" s="1"/>
  <c r="G90" i="17"/>
  <c r="G76" i="17"/>
  <c r="G72" i="17"/>
  <c r="H72" i="17" s="1"/>
  <c r="G69" i="17"/>
  <c r="H69" i="17" s="1"/>
  <c r="C47" i="17"/>
  <c r="B40" i="17"/>
  <c r="A40" i="17"/>
  <c r="C40" i="17" s="1"/>
  <c r="C35" i="17"/>
  <c r="C34" i="17"/>
  <c r="D17" i="17"/>
  <c r="E17" i="17" s="1"/>
  <c r="D33" i="17"/>
  <c r="D32" i="17"/>
  <c r="D31" i="17"/>
  <c r="D30" i="17"/>
  <c r="D29" i="17"/>
  <c r="D28" i="17"/>
  <c r="D27" i="17"/>
  <c r="D26" i="17"/>
  <c r="D25" i="17"/>
  <c r="D24" i="17"/>
  <c r="D23" i="17"/>
  <c r="D22" i="17"/>
  <c r="B12" i="17"/>
  <c r="F7" i="17"/>
  <c r="C7" i="17"/>
  <c r="B7" i="17"/>
  <c r="E12" i="18" l="1"/>
  <c r="D7" i="18"/>
  <c r="D17" i="18"/>
  <c r="E17" i="18" s="1"/>
  <c r="B41" i="18"/>
  <c r="E7" i="18"/>
  <c r="D12" i="18"/>
  <c r="C12" i="17"/>
  <c r="D12" i="17" s="1"/>
  <c r="D7" i="17"/>
  <c r="B41" i="17"/>
  <c r="E7" i="17"/>
  <c r="E12" i="17" l="1"/>
  <c r="C7" i="14" l="1"/>
  <c r="B7" i="14"/>
  <c r="G66" i="14" l="1"/>
  <c r="B12" i="14" l="1"/>
  <c r="A40" i="14"/>
  <c r="B35" i="14"/>
  <c r="F7" i="14"/>
  <c r="B12" i="13" l="1"/>
  <c r="F7" i="13"/>
  <c r="B35" i="13"/>
  <c r="G92" i="14" l="1"/>
  <c r="G73" i="14"/>
  <c r="G69" i="14"/>
  <c r="H69" i="14" s="1"/>
  <c r="H66" i="14"/>
  <c r="C47" i="14"/>
  <c r="D40" i="14"/>
  <c r="B40" i="14"/>
  <c r="C40" i="14"/>
  <c r="C35" i="14"/>
  <c r="C34" i="14"/>
  <c r="B34" i="14"/>
  <c r="D17" i="14" s="1"/>
  <c r="E17" i="14" s="1"/>
  <c r="D33" i="14"/>
  <c r="D32" i="14"/>
  <c r="D31" i="14"/>
  <c r="D30" i="14"/>
  <c r="D29" i="14"/>
  <c r="D28" i="14"/>
  <c r="D27" i="14"/>
  <c r="D26" i="14"/>
  <c r="D25" i="14"/>
  <c r="D24" i="14"/>
  <c r="D23" i="14"/>
  <c r="D22" i="14"/>
  <c r="B41" i="14" l="1"/>
  <c r="E7" i="14"/>
  <c r="C12" i="14"/>
  <c r="D7" i="14"/>
  <c r="B35" i="12"/>
  <c r="D12" i="14" l="1"/>
  <c r="E12" i="14"/>
  <c r="B12" i="12" l="1"/>
  <c r="F7" i="12" l="1"/>
  <c r="G78" i="13" l="1"/>
  <c r="G67" i="13"/>
  <c r="G63" i="13"/>
  <c r="H63" i="13" s="1"/>
  <c r="G60" i="13"/>
  <c r="H60" i="13" s="1"/>
  <c r="C47" i="13"/>
  <c r="D40" i="13"/>
  <c r="B40" i="13"/>
  <c r="A40" i="13"/>
  <c r="C35" i="13"/>
  <c r="D35" i="13" s="1"/>
  <c r="C34" i="13"/>
  <c r="B34" i="13"/>
  <c r="C12" i="13" s="1"/>
  <c r="D33" i="13"/>
  <c r="D32" i="13"/>
  <c r="D31" i="13"/>
  <c r="D30" i="13"/>
  <c r="D29" i="13"/>
  <c r="D28" i="13"/>
  <c r="D27" i="13"/>
  <c r="D26" i="13"/>
  <c r="D25" i="13"/>
  <c r="D24" i="13"/>
  <c r="D23" i="13"/>
  <c r="D22" i="13"/>
  <c r="C7" i="13"/>
  <c r="E7" i="13" s="1"/>
  <c r="D7" i="13" l="1"/>
  <c r="C40" i="13"/>
  <c r="B41" i="13" s="1"/>
  <c r="E12" i="13"/>
  <c r="D12" i="13"/>
  <c r="D17" i="13"/>
  <c r="E17" i="13" s="1"/>
  <c r="A40" i="12"/>
  <c r="C40" i="12" s="1"/>
  <c r="C7" i="12"/>
  <c r="B7" i="12"/>
  <c r="B35" i="10" l="1"/>
  <c r="G81" i="12" l="1"/>
  <c r="G69" i="12"/>
  <c r="G65" i="12"/>
  <c r="H65" i="12" s="1"/>
  <c r="G62" i="12"/>
  <c r="H62" i="12" s="1"/>
  <c r="C47" i="12"/>
  <c r="D40" i="12"/>
  <c r="B40" i="12"/>
  <c r="C35" i="12"/>
  <c r="C34" i="12"/>
  <c r="D17" i="12"/>
  <c r="E17" i="12" s="1"/>
  <c r="D33" i="12"/>
  <c r="D32" i="12"/>
  <c r="D31" i="12"/>
  <c r="D30" i="12"/>
  <c r="D29" i="12"/>
  <c r="D28" i="12"/>
  <c r="D27" i="12"/>
  <c r="D26" i="12"/>
  <c r="D25" i="12"/>
  <c r="D24" i="12"/>
  <c r="D23" i="12"/>
  <c r="D22" i="12"/>
  <c r="E7" i="12"/>
  <c r="C12" i="12" l="1"/>
  <c r="E12" i="12" s="1"/>
  <c r="B41" i="12"/>
  <c r="D35" i="12"/>
  <c r="D7" i="12"/>
  <c r="D12" i="12"/>
  <c r="C7" i="10"/>
  <c r="F7" i="10"/>
  <c r="A40" i="10" l="1"/>
  <c r="C40" i="10" s="1"/>
  <c r="D40" i="9" l="1"/>
  <c r="B7" i="10" l="1"/>
  <c r="B12" i="10"/>
  <c r="G82" i="10"/>
  <c r="G70" i="10"/>
  <c r="G66" i="10"/>
  <c r="H66" i="10" s="1"/>
  <c r="G63" i="10"/>
  <c r="H63" i="10" s="1"/>
  <c r="C48" i="10"/>
  <c r="D40" i="10"/>
  <c r="B40" i="10"/>
  <c r="C35" i="10"/>
  <c r="C34" i="10"/>
  <c r="B34" i="10"/>
  <c r="C12" i="10" s="1"/>
  <c r="D33" i="10"/>
  <c r="D32" i="10"/>
  <c r="D31" i="10"/>
  <c r="D30" i="10"/>
  <c r="D29" i="10"/>
  <c r="D28" i="10"/>
  <c r="D27" i="10"/>
  <c r="D26" i="10"/>
  <c r="D25" i="10"/>
  <c r="D24" i="10"/>
  <c r="D23" i="10"/>
  <c r="D22" i="10"/>
  <c r="E7" i="10"/>
  <c r="E12" i="10" l="1"/>
  <c r="D35" i="10"/>
  <c r="B41" i="10"/>
  <c r="D17" i="10"/>
  <c r="E17" i="10" s="1"/>
  <c r="D7" i="10"/>
  <c r="D12" i="10"/>
  <c r="G65" i="9"/>
  <c r="G62" i="9"/>
  <c r="F7" i="9" l="1"/>
  <c r="B12" i="9"/>
  <c r="C7" i="9" l="1"/>
  <c r="A40" i="9"/>
  <c r="C40" i="9" s="1"/>
  <c r="B35" i="9"/>
  <c r="G84" i="9"/>
  <c r="G69" i="9"/>
  <c r="H65" i="9"/>
  <c r="H62" i="9"/>
  <c r="C48" i="9"/>
  <c r="B40" i="9"/>
  <c r="C35" i="9"/>
  <c r="C34" i="9"/>
  <c r="B34" i="9"/>
  <c r="D33" i="9"/>
  <c r="D32" i="9"/>
  <c r="D31" i="9"/>
  <c r="D30" i="9"/>
  <c r="D29" i="9"/>
  <c r="D28" i="9"/>
  <c r="D27" i="9"/>
  <c r="D26" i="9"/>
  <c r="D25" i="9"/>
  <c r="D24" i="9"/>
  <c r="D23" i="9"/>
  <c r="D22" i="9"/>
  <c r="E7" i="9"/>
  <c r="D35" i="9" l="1"/>
  <c r="D17" i="9"/>
  <c r="E17" i="9" s="1"/>
  <c r="C12" i="9"/>
  <c r="D12" i="9" s="1"/>
  <c r="B41" i="9"/>
  <c r="D7" i="9"/>
  <c r="A40" i="8"/>
  <c r="C40" i="8" s="1"/>
  <c r="E12" i="9" l="1"/>
  <c r="B12" i="8"/>
  <c r="B12" i="7" l="1"/>
  <c r="B35" i="8"/>
  <c r="C35" i="8"/>
  <c r="B34" i="8" l="1"/>
  <c r="C34" i="8" l="1"/>
  <c r="C7" i="8"/>
  <c r="B7" i="8"/>
  <c r="D27" i="8" l="1"/>
  <c r="D23" i="8"/>
  <c r="D24" i="8"/>
  <c r="D25" i="8"/>
  <c r="D26" i="8"/>
  <c r="D28" i="8"/>
  <c r="D22" i="8"/>
  <c r="D29" i="8" l="1"/>
  <c r="D31" i="8"/>
  <c r="D30" i="8"/>
  <c r="D40" i="8"/>
  <c r="G87" i="8"/>
  <c r="G73" i="8"/>
  <c r="G69" i="8"/>
  <c r="H69" i="8" s="1"/>
  <c r="G66" i="8"/>
  <c r="H66" i="8" s="1"/>
  <c r="C49" i="8"/>
  <c r="B40" i="8"/>
  <c r="D17" i="8"/>
  <c r="E17" i="8" s="1"/>
  <c r="D33" i="8" l="1"/>
  <c r="D7" i="8"/>
  <c r="C12" i="8"/>
  <c r="E7" i="8"/>
  <c r="B41" i="8"/>
  <c r="G70" i="7"/>
  <c r="D32" i="8" l="1"/>
  <c r="D35" i="8"/>
  <c r="E12" i="8"/>
  <c r="D46" i="7"/>
  <c r="D12" i="8" l="1"/>
  <c r="G163" i="7"/>
  <c r="G165" i="7" l="1"/>
  <c r="G63" i="7" l="1"/>
  <c r="H63" i="7" s="1"/>
  <c r="G62" i="6"/>
  <c r="C59" i="7" l="1"/>
  <c r="G161" i="7"/>
  <c r="D40" i="7" l="1"/>
  <c r="B7" i="7" l="1"/>
  <c r="C7" i="7"/>
  <c r="A40" i="7" s="1"/>
  <c r="C40" i="7" s="1"/>
  <c r="F7" i="7"/>
  <c r="G78" i="7" l="1"/>
  <c r="G66" i="7"/>
  <c r="H66" i="7" s="1"/>
  <c r="B59" i="7"/>
  <c r="D59" i="7" s="1"/>
  <c r="C50" i="7"/>
  <c r="B40" i="7"/>
  <c r="C35" i="7"/>
  <c r="B35" i="7"/>
  <c r="C34" i="7"/>
  <c r="B34" i="7"/>
  <c r="D17" i="7" s="1"/>
  <c r="E17" i="7" s="1"/>
  <c r="D33" i="7"/>
  <c r="D32" i="7"/>
  <c r="D31" i="7"/>
  <c r="D30" i="7"/>
  <c r="D29" i="7"/>
  <c r="E7" i="7"/>
  <c r="D7" i="7"/>
  <c r="C12" i="7" l="1"/>
  <c r="D12" i="7" s="1"/>
  <c r="D35" i="7"/>
  <c r="B41" i="7"/>
  <c r="G186" i="6"/>
  <c r="E12" i="7" l="1"/>
  <c r="G185" i="6"/>
  <c r="G187" i="6" l="1"/>
  <c r="C58" i="6" l="1"/>
  <c r="D40" i="6" l="1"/>
  <c r="A40" i="6"/>
  <c r="B12" i="6"/>
  <c r="F7" i="6"/>
  <c r="G137" i="4" l="1"/>
  <c r="G136" i="4"/>
  <c r="C58" i="4" l="1"/>
  <c r="B65" i="4" l="1"/>
  <c r="B62" i="4"/>
  <c r="G77" i="6" l="1"/>
  <c r="G69" i="6"/>
  <c r="G65" i="6"/>
  <c r="H65" i="6" s="1"/>
  <c r="H62" i="6"/>
  <c r="B58" i="6"/>
  <c r="C50" i="6"/>
  <c r="B40" i="6"/>
  <c r="C40" i="6"/>
  <c r="C35" i="6"/>
  <c r="B35" i="6"/>
  <c r="C34" i="6"/>
  <c r="C12" i="6"/>
  <c r="D33" i="6"/>
  <c r="D32" i="6"/>
  <c r="D31" i="6"/>
  <c r="D30" i="6"/>
  <c r="D29" i="6"/>
  <c r="E7" i="6"/>
  <c r="D7" i="6"/>
  <c r="A40" i="4"/>
  <c r="F7" i="4"/>
  <c r="B12" i="4"/>
  <c r="D58" i="6" l="1"/>
  <c r="D35" i="6"/>
  <c r="D40" i="4"/>
  <c r="E12" i="6"/>
  <c r="D12" i="6"/>
  <c r="B41" i="6"/>
  <c r="D17" i="6"/>
  <c r="E17" i="6" s="1"/>
  <c r="B12" i="3" l="1"/>
  <c r="G122" i="3" l="1"/>
  <c r="A40" i="3" l="1"/>
  <c r="G76" i="4" l="1"/>
  <c r="G69" i="4"/>
  <c r="G65" i="4"/>
  <c r="H65" i="4" s="1"/>
  <c r="G62" i="4"/>
  <c r="H62" i="4" s="1"/>
  <c r="B58" i="4"/>
  <c r="C50" i="4"/>
  <c r="C40" i="4"/>
  <c r="B40" i="4"/>
  <c r="C35" i="4"/>
  <c r="B35" i="4"/>
  <c r="C34" i="4"/>
  <c r="B34" i="4"/>
  <c r="D17" i="4" s="1"/>
  <c r="E17" i="4" s="1"/>
  <c r="D33" i="4"/>
  <c r="D32" i="4"/>
  <c r="D31" i="4"/>
  <c r="D30" i="4"/>
  <c r="D29" i="4"/>
  <c r="E7" i="4"/>
  <c r="D7" i="4"/>
  <c r="B41" i="4" l="1"/>
  <c r="C12" i="4"/>
  <c r="E12" i="4" s="1"/>
  <c r="D35" i="4"/>
  <c r="D58" i="4"/>
  <c r="D12" i="4" l="1"/>
  <c r="G121" i="3" l="1"/>
  <c r="D40" i="3" s="1"/>
  <c r="F7" i="3"/>
  <c r="C7" i="3"/>
  <c r="G112" i="1" l="1"/>
  <c r="D40" i="1" s="1"/>
  <c r="G76" i="3" l="1"/>
  <c r="G69" i="3"/>
  <c r="G65" i="3"/>
  <c r="H65" i="3" s="1"/>
  <c r="G62" i="3"/>
  <c r="H62" i="3" s="1"/>
  <c r="C58" i="3"/>
  <c r="B58" i="3"/>
  <c r="C50" i="3"/>
  <c r="B40" i="3"/>
  <c r="C40" i="3"/>
  <c r="C35" i="3"/>
  <c r="B35" i="3"/>
  <c r="C34" i="3"/>
  <c r="B34" i="3"/>
  <c r="C12" i="3" s="1"/>
  <c r="D33" i="3"/>
  <c r="D32" i="3"/>
  <c r="D31" i="3"/>
  <c r="D30" i="3"/>
  <c r="D29" i="3"/>
  <c r="D7" i="3"/>
  <c r="B41" i="3" l="1"/>
  <c r="E12" i="3"/>
  <c r="D17" i="3"/>
  <c r="E17" i="3" s="1"/>
  <c r="D58" i="3"/>
  <c r="D35" i="3"/>
  <c r="E7" i="3"/>
  <c r="D12" i="3"/>
  <c r="B63" i="1"/>
  <c r="B60" i="1"/>
  <c r="A40" i="1" l="1"/>
  <c r="C40" i="1" s="1"/>
  <c r="B35" i="1"/>
  <c r="D32" i="1"/>
  <c r="D33" i="1"/>
  <c r="C35" i="1"/>
  <c r="C7" i="1"/>
  <c r="B7" i="1"/>
  <c r="B12" i="1"/>
  <c r="B40" i="1" l="1"/>
  <c r="G67" i="1" l="1"/>
  <c r="G74" i="1"/>
  <c r="G63" i="1"/>
  <c r="G60" i="1"/>
  <c r="C56" i="1"/>
  <c r="B56" i="1"/>
  <c r="C48" i="1"/>
  <c r="D35" i="1"/>
  <c r="C34" i="1"/>
  <c r="D31" i="1"/>
  <c r="D30" i="1"/>
  <c r="D29" i="1"/>
  <c r="B34" i="1"/>
  <c r="D17" i="1" s="1"/>
  <c r="G7" i="1"/>
  <c r="C12" i="1" l="1"/>
  <c r="E7" i="1"/>
  <c r="B41" i="1"/>
  <c r="E17" i="1"/>
  <c r="D56" i="1"/>
  <c r="H63" i="1"/>
  <c r="H60" i="1"/>
  <c r="D7" i="1"/>
  <c r="E12" i="1" l="1"/>
  <c r="D1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F60" authorId="0" shapeId="0" xr:uid="{A85EFE1E-FE6D-4C00-A2F5-3E5FA3C1944C}">
      <text>
        <r>
          <rPr>
            <b/>
            <sz val="9"/>
            <color indexed="81"/>
            <rFont val="Tahoma"/>
            <family val="2"/>
            <charset val="204"/>
          </rPr>
          <t xml:space="preserve">Автор:
</t>
        </r>
        <r>
          <rPr>
            <sz val="9"/>
            <color indexed="81"/>
            <rFont val="Tahoma"/>
            <family val="2"/>
            <charset val="204"/>
          </rPr>
          <t>WorldClass (Монитор, Диски для СХД) - 10 тыс. руб.
ОТЦ (Монитор, комплектующие) - 3 тыс. руб.
Квартал (сетевое оборудование) - 13 тыс. руб.
ИП Филатов Владимир Анатольевич (Монитор) - 25 тыс. руб.</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E62" authorId="0" shapeId="0" xr:uid="{986A1F06-FE49-46C5-9DA2-4ACB274BB1B4}">
      <text>
        <r>
          <rPr>
            <b/>
            <sz val="9"/>
            <color indexed="81"/>
            <rFont val="Tahoma"/>
            <family val="2"/>
            <charset val="204"/>
          </rPr>
          <t>Автор:</t>
        </r>
        <r>
          <rPr>
            <sz val="9"/>
            <color indexed="81"/>
            <rFont val="Tahoma"/>
            <family val="2"/>
            <charset val="204"/>
          </rPr>
          <t xml:space="preserve">
Автор:
ООО "Мачт проект" работы и коммутатор - 51 тыс. руб.
ООО "ИОТК" МФУ - 5 тыс. руб.</t>
        </r>
      </text>
    </comment>
    <comment ref="F62" authorId="0" shapeId="0" xr:uid="{0EB0A8FA-BDC8-4A94-B111-8329095B6F7A}">
      <text>
        <r>
          <rPr>
            <b/>
            <sz val="9"/>
            <color indexed="81"/>
            <rFont val="Tahoma"/>
            <family val="2"/>
            <charset val="204"/>
          </rPr>
          <t>Автор:</t>
        </r>
        <r>
          <rPr>
            <sz val="9"/>
            <color indexed="81"/>
            <rFont val="Tahoma"/>
            <family val="2"/>
            <charset val="204"/>
          </rPr>
          <t xml:space="preserve">
ООО "Мачт проект" (ПО) - 9 тыс. руб.</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C62" authorId="0" shapeId="0" xr:uid="{C4D288B4-776B-4BAB-AA74-D645FA67CC6F}">
      <text>
        <r>
          <rPr>
            <b/>
            <sz val="9"/>
            <color indexed="81"/>
            <rFont val="Tahoma"/>
            <family val="2"/>
            <charset val="204"/>
          </rPr>
          <t>Автор:</t>
        </r>
        <r>
          <rPr>
            <sz val="9"/>
            <color indexed="81"/>
            <rFont val="Tahoma"/>
            <family val="2"/>
            <charset val="204"/>
          </rPr>
          <t xml:space="preserve">
Дента престиж - ПК и монитор 9 тыс. руб.
Мачт проект - оперативная 1 тыс. руб.</t>
        </r>
      </text>
    </comment>
    <comment ref="D62" authorId="0" shapeId="0" xr:uid="{4F025F4A-822E-48AC-BBE5-7CBEFE5527ED}">
      <text>
        <r>
          <rPr>
            <b/>
            <sz val="9"/>
            <color indexed="81"/>
            <rFont val="Tahoma"/>
            <family val="2"/>
            <charset val="204"/>
          </rPr>
          <t>Автор:</t>
        </r>
        <r>
          <rPr>
            <sz val="9"/>
            <color indexed="81"/>
            <rFont val="Tahoma"/>
            <family val="2"/>
            <charset val="204"/>
          </rPr>
          <t xml:space="preserve">
Мачт проект - Коммутатор 1 тыс. руб.
Мачт проект - работы 24 тыс. руб.</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D62" authorId="0" shapeId="0" xr:uid="{311F9F8A-3764-4431-906B-344DC560740E}">
      <text>
        <r>
          <rPr>
            <b/>
            <sz val="9"/>
            <color indexed="81"/>
            <rFont val="Tahoma"/>
            <family val="2"/>
            <charset val="204"/>
          </rPr>
          <t>Автор:</t>
        </r>
        <r>
          <rPr>
            <sz val="9"/>
            <color indexed="81"/>
            <rFont val="Tahoma"/>
            <family val="2"/>
            <charset val="204"/>
          </rPr>
          <t xml:space="preserve">
Мачт проект - Коммутатор 1 тыс. руб.
Мачт проект - Работы 24 тыс. руб.</t>
        </r>
      </text>
    </comment>
    <comment ref="E62" authorId="0" shapeId="0" xr:uid="{124B4284-BC0B-43C8-98BA-8F816A6BB115}">
      <text>
        <r>
          <rPr>
            <b/>
            <sz val="9"/>
            <color indexed="81"/>
            <rFont val="Tahoma"/>
            <family val="2"/>
            <charset val="204"/>
          </rPr>
          <t>Автор:</t>
        </r>
        <r>
          <rPr>
            <sz val="9"/>
            <color indexed="81"/>
            <rFont val="Tahoma"/>
            <family val="2"/>
            <charset val="204"/>
          </rPr>
          <t xml:space="preserve">
ООО Бетоникум - Инженерный проект 56 тыс. руб.
ООО Профилактика 2.0 - AI видеорегистратор 47 тыс. руб.</t>
        </r>
      </text>
    </comment>
    <comment ref="F62" authorId="0" shapeId="0" xr:uid="{3ABCDA34-9E7C-403A-8205-CE6EEB7D4B4C}">
      <text>
        <r>
          <rPr>
            <b/>
            <sz val="9"/>
            <color indexed="81"/>
            <rFont val="Tahoma"/>
            <family val="2"/>
            <charset val="204"/>
          </rPr>
          <t>Автор:</t>
        </r>
        <r>
          <rPr>
            <sz val="9"/>
            <color indexed="81"/>
            <rFont val="Tahoma"/>
            <family val="2"/>
            <charset val="204"/>
          </rPr>
          <t xml:space="preserve">
ИП Корякова - настройка роутера 6 тыс. руб. 
ИП Торопов - ПК 8 тыс. руб. 
ООО Рикорда - ПК Сервер 9 тыс. руб.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D63" authorId="0" shapeId="0" xr:uid="{55078D94-AAE5-429E-AB3A-94D36D100A70}">
      <text>
        <r>
          <rPr>
            <b/>
            <sz val="9"/>
            <color indexed="81"/>
            <rFont val="Tahoma"/>
            <family val="2"/>
            <charset val="204"/>
          </rPr>
          <t>Автор:</t>
        </r>
        <r>
          <rPr>
            <sz val="9"/>
            <color indexed="81"/>
            <rFont val="Tahoma"/>
            <family val="2"/>
            <charset val="204"/>
          </rPr>
          <t xml:space="preserve">
Экомера - Пк-сервер 60 тыс. руб.
Бетоникум - Инженерный проект работы 43 тыс. руб.
ИП Пипкин - ПО 61 тыс. руб.
Вент Маркет - Терминалы 15 тыс. руб</t>
        </r>
      </text>
    </comment>
    <comment ref="E63" authorId="0" shapeId="0" xr:uid="{21D5C69F-3E82-477E-8120-2B10B63B900B}">
      <text>
        <r>
          <rPr>
            <b/>
            <sz val="9"/>
            <color indexed="81"/>
            <rFont val="Tahoma"/>
            <family val="2"/>
            <charset val="204"/>
          </rPr>
          <t>Автор:</t>
        </r>
        <r>
          <rPr>
            <sz val="9"/>
            <color indexed="81"/>
            <rFont val="Tahoma"/>
            <family val="2"/>
            <charset val="204"/>
          </rPr>
          <t xml:space="preserve">
Мачт проект - работы 19 тыс. руб.
Антэкс - ноутбук 2 тыс. руб.</t>
        </r>
      </text>
    </comment>
    <comment ref="F66" authorId="0" shapeId="0" xr:uid="{95C969B3-9F84-4A4B-B92C-EB2E9B8D3415}">
      <text>
        <r>
          <rPr>
            <b/>
            <sz val="9"/>
            <color indexed="81"/>
            <rFont val="Tahoma"/>
            <family val="2"/>
            <charset val="204"/>
          </rPr>
          <t>Автор:</t>
        </r>
        <r>
          <rPr>
            <sz val="9"/>
            <color indexed="81"/>
            <rFont val="Tahoma"/>
            <family val="2"/>
            <charset val="204"/>
          </rPr>
          <t xml:space="preserve">
ИП Гончаров - СВН 351 тыс. руб.</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B22" authorId="0" shapeId="0" xr:uid="{BE3BD74F-81D2-485B-812D-1D76354DCCA9}">
      <text>
        <r>
          <rPr>
            <b/>
            <sz val="9"/>
            <color indexed="81"/>
            <rFont val="Tahoma"/>
            <family val="2"/>
            <charset val="204"/>
          </rPr>
          <t>Автор:</t>
        </r>
        <r>
          <rPr>
            <sz val="9"/>
            <color indexed="81"/>
            <rFont val="Tahoma"/>
            <family val="2"/>
            <charset val="204"/>
          </rPr>
          <t xml:space="preserve">
По Вн-196675 профит 37516,67</t>
        </r>
      </text>
    </comment>
    <comment ref="D66" authorId="0" shapeId="0" xr:uid="{EF5E3354-D6EA-4690-A131-8663E4819CA3}">
      <text>
        <r>
          <rPr>
            <b/>
            <sz val="9"/>
            <color indexed="81"/>
            <rFont val="Tahoma"/>
            <family val="2"/>
            <charset val="204"/>
          </rPr>
          <t>Автор:</t>
        </r>
        <r>
          <rPr>
            <sz val="9"/>
            <color indexed="81"/>
            <rFont val="Tahoma"/>
            <family val="2"/>
            <charset val="204"/>
          </rPr>
          <t xml:space="preserve">
ИП Федосеева - аутсорс СЦ - 40 тыс. руб.
Детский сад №47 г. Иваново - ПК - 2 тыс. руб.</t>
        </r>
      </text>
    </comment>
    <comment ref="E66" authorId="0" shapeId="0" xr:uid="{DA11A8E7-3172-4DE1-8A6B-98FEA20C8F7C}">
      <text>
        <r>
          <rPr>
            <b/>
            <sz val="9"/>
            <color indexed="81"/>
            <rFont val="Tahoma"/>
            <family val="2"/>
            <charset val="204"/>
          </rPr>
          <t>Автор:</t>
        </r>
        <r>
          <rPr>
            <sz val="9"/>
            <color indexed="81"/>
            <rFont val="Tahoma"/>
            <family val="2"/>
            <charset val="204"/>
          </rPr>
          <t xml:space="preserve">
Мачт проект - Услуги СЦ 19 тыс. руб.
ИП Гончаров - СВН - 88 тыс. руб.</t>
        </r>
      </text>
    </comment>
    <comment ref="F66" authorId="0" shapeId="0" xr:uid="{9A92C737-B0AA-4CEA-BEA6-5C32F160DC0E}">
      <text>
        <r>
          <rPr>
            <b/>
            <sz val="9"/>
            <color indexed="81"/>
            <rFont val="Tahoma"/>
            <family val="2"/>
            <charset val="204"/>
          </rPr>
          <t>Автор:</t>
        </r>
        <r>
          <rPr>
            <sz val="9"/>
            <color indexed="81"/>
            <rFont val="Tahoma"/>
            <family val="2"/>
            <charset val="204"/>
          </rPr>
          <t xml:space="preserve">
Древо - СВН - 55 тыс. руб.
СКБ ПА ОАО - МФУ - 85 тыс. руб.
Автопак - СВН - 50 тыс. руб.
ООО ИВСТРОЙИНВЕСТ - СВН - 100 тыс .руб.
Швейная фабрика Селтекс - СВН - 100 тыс. руб.
Молочные реки - Термопринтер - 50 тыс. руб.</t>
        </r>
      </text>
    </comment>
    <comment ref="E69" authorId="0" shapeId="0" xr:uid="{F3AF0E3B-0043-416F-9567-7D795D2581E3}">
      <text>
        <r>
          <rPr>
            <b/>
            <sz val="9"/>
            <color indexed="81"/>
            <rFont val="Tahoma"/>
            <family val="2"/>
            <charset val="204"/>
          </rPr>
          <t>Автор:</t>
        </r>
        <r>
          <rPr>
            <sz val="9"/>
            <color indexed="81"/>
            <rFont val="Tahoma"/>
            <family val="2"/>
            <charset val="204"/>
          </rPr>
          <t xml:space="preserve">
ИП Федосеева - аутсорс СЦ - 40 тыс. руб.</t>
        </r>
      </text>
    </comment>
    <comment ref="F69" authorId="0" shapeId="0" xr:uid="{7B747015-7D85-4533-859F-224BF89E7063}">
      <text>
        <r>
          <rPr>
            <b/>
            <sz val="9"/>
            <color indexed="81"/>
            <rFont val="Tahoma"/>
            <family val="2"/>
            <charset val="204"/>
          </rPr>
          <t>Автор:</t>
        </r>
        <r>
          <rPr>
            <sz val="9"/>
            <color indexed="81"/>
            <rFont val="Tahoma"/>
            <family val="2"/>
            <charset val="204"/>
          </rPr>
          <t xml:space="preserve">
ИП Федосеева - ПКсервер - 30 тыс. руб.
Централизованная библиотечная система детских библиотек города Иванова - ПК - 2.7 тыс. руб.
ООО Экомера - Термопринтер, видеокарта - 50 тыс. руб.</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B23" authorId="0" shapeId="0" xr:uid="{4C8F1A81-E8F2-491B-975C-FDE151220C88}">
      <text>
        <r>
          <rPr>
            <b/>
            <sz val="9"/>
            <color indexed="81"/>
            <rFont val="Tahoma"/>
            <family val="2"/>
            <charset val="204"/>
          </rPr>
          <t>Автор:</t>
        </r>
        <r>
          <rPr>
            <sz val="9"/>
            <color indexed="81"/>
            <rFont val="Tahoma"/>
            <family val="2"/>
            <charset val="204"/>
          </rPr>
          <t xml:space="preserve">
По Вн-198285 профит31 333 руб.</t>
        </r>
      </text>
    </comment>
    <comment ref="C40" authorId="0" shapeId="0" xr:uid="{E646B37B-27FB-4849-8153-C8D7D490E79A}">
      <text>
        <r>
          <rPr>
            <b/>
            <sz val="9"/>
            <color indexed="81"/>
            <rFont val="Tahoma"/>
            <family val="2"/>
            <charset val="204"/>
          </rPr>
          <t>Автор:</t>
        </r>
        <r>
          <rPr>
            <sz val="9"/>
            <color indexed="81"/>
            <rFont val="Tahoma"/>
            <family val="2"/>
            <charset val="204"/>
          </rPr>
          <t xml:space="preserve">
3 месяца выше 100к - 6,5% 
% просрочненной дебиторке менее 20% - 1,1 коэф</t>
        </r>
      </text>
    </comment>
    <comment ref="D62" authorId="0" shapeId="0" xr:uid="{E94C3510-3516-4CE1-AB87-5C8F7AD20D5E}">
      <text>
        <r>
          <rPr>
            <b/>
            <sz val="9"/>
            <color indexed="81"/>
            <rFont val="Tahoma"/>
            <family val="2"/>
            <charset val="204"/>
          </rPr>
          <t>Автор:</t>
        </r>
        <r>
          <rPr>
            <sz val="9"/>
            <color indexed="81"/>
            <rFont val="Tahoma"/>
            <family val="2"/>
            <charset val="204"/>
          </rPr>
          <t xml:space="preserve">
ИП Федосеева - аутсорс СЦ - 37 тыс. руб.
Детский сад №47 г. Иваново - ПК - 2 тыс. руб.
Охранное предприятие Кедр - Периферия - 1 тыс. руб.</t>
        </r>
      </text>
    </comment>
    <comment ref="E62" authorId="0" shapeId="0" xr:uid="{E8679AB4-5827-4D69-96F9-8E13F7A2CBA5}">
      <text>
        <r>
          <rPr>
            <b/>
            <sz val="9"/>
            <color indexed="81"/>
            <rFont val="Tahoma"/>
            <family val="2"/>
            <charset val="204"/>
          </rPr>
          <t>Автор:</t>
        </r>
        <r>
          <rPr>
            <sz val="9"/>
            <color indexed="81"/>
            <rFont val="Tahoma"/>
            <family val="2"/>
            <charset val="204"/>
          </rPr>
          <t xml:space="preserve">
Мачт проект - Услуги СЦ 19 тыс. руб.
Департамент конкурсов и аукционов Ивановской области  - Касперский - 9 тыс. руб.
Ультрастаб - Касперский - 9 тыс. руб.</t>
        </r>
      </text>
    </comment>
    <comment ref="F62" authorId="0" shapeId="0" xr:uid="{223E4457-716A-4FE8-8ABC-5F5D7D54A621}">
      <text>
        <r>
          <rPr>
            <b/>
            <sz val="9"/>
            <color indexed="81"/>
            <rFont val="Tahoma"/>
            <family val="2"/>
            <charset val="204"/>
          </rPr>
          <t xml:space="preserve">Автор:
</t>
        </r>
        <r>
          <rPr>
            <sz val="9"/>
            <color indexed="81"/>
            <rFont val="Tahoma"/>
            <family val="2"/>
            <charset val="204"/>
          </rPr>
          <t xml:space="preserve">ИП Федосеева - СКУД и Кондиционирование - 100 тыс. руб.
ИП Гончаров - СВН - 88 тыс. руб.
Древо - СВН - 55 тыс. руб.
Швейная Фабрика Селтекс - 54 тыс. руб.
Автопак - СВН - 50 тыс. руб.
Русский металл - Усилитель сигнала - 34 тыс. руб.
Экомера - Моноблоки - 15 тыс. руб.
</t>
        </r>
      </text>
    </comment>
    <comment ref="E65" authorId="0" shapeId="0" xr:uid="{D1AB0F01-0D8B-4605-AD44-BCC6C98763E0}">
      <text>
        <r>
          <rPr>
            <b/>
            <sz val="9"/>
            <color indexed="81"/>
            <rFont val="Tahoma"/>
            <family val="2"/>
            <charset val="204"/>
          </rPr>
          <t>Автор:</t>
        </r>
        <r>
          <rPr>
            <sz val="9"/>
            <color indexed="81"/>
            <rFont val="Tahoma"/>
            <family val="2"/>
            <charset val="204"/>
          </rPr>
          <t xml:space="preserve">
ИП Федосеева - аутсорс СЦ - 37 тыс. руб.</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B23" authorId="0" shapeId="0" xr:uid="{CBAA745E-F602-4DBC-9847-7F7AD9544E6C}">
      <text>
        <r>
          <rPr>
            <b/>
            <sz val="9"/>
            <color indexed="81"/>
            <rFont val="Tahoma"/>
            <family val="2"/>
            <charset val="204"/>
          </rPr>
          <t>Автор:</t>
        </r>
        <r>
          <rPr>
            <sz val="9"/>
            <color indexed="81"/>
            <rFont val="Tahoma"/>
            <family val="2"/>
            <charset val="204"/>
          </rPr>
          <t xml:space="preserve">
По Вн-198285 профит31 333 руб.
</t>
        </r>
      </text>
    </comment>
    <comment ref="B24" authorId="0" shapeId="0" xr:uid="{1DB92525-81C2-4882-A9C9-0CDD6BF9F27D}">
      <text>
        <r>
          <rPr>
            <b/>
            <sz val="9"/>
            <color indexed="81"/>
            <rFont val="Tahoma"/>
            <family val="2"/>
            <charset val="204"/>
          </rPr>
          <t>Автор:</t>
        </r>
        <r>
          <rPr>
            <sz val="9"/>
            <color indexed="81"/>
            <rFont val="Tahoma"/>
            <family val="2"/>
            <charset val="204"/>
          </rPr>
          <t xml:space="preserve">
Автор:
Аутсорс по Вн-199955 профит 39 833,33 руб.
Касперский по Вн-199338 профит 4 245,75 руб.
Итого 45 000 руб.</t>
        </r>
      </text>
    </comment>
    <comment ref="C40" authorId="0" shapeId="0" xr:uid="{C72D8D0F-FA72-4185-BCB2-DFAFDBAA4D7F}">
      <text>
        <r>
          <rPr>
            <b/>
            <sz val="9"/>
            <color indexed="81"/>
            <rFont val="Tahoma"/>
            <family val="2"/>
            <charset val="204"/>
          </rPr>
          <t>Автор:</t>
        </r>
        <r>
          <rPr>
            <sz val="9"/>
            <color indexed="81"/>
            <rFont val="Tahoma"/>
            <family val="2"/>
            <charset val="204"/>
          </rPr>
          <t xml:space="preserve">
2 месяца выше 100к - 6,5% </t>
        </r>
      </text>
    </comment>
    <comment ref="D63" authorId="0" shapeId="0" xr:uid="{5282D1E1-BEDF-4078-987E-0B42628B1748}">
      <text>
        <r>
          <rPr>
            <b/>
            <sz val="9"/>
            <color indexed="81"/>
            <rFont val="Tahoma"/>
            <family val="2"/>
            <charset val="204"/>
          </rPr>
          <t>Автор:</t>
        </r>
        <r>
          <rPr>
            <sz val="9"/>
            <color indexed="81"/>
            <rFont val="Tahoma"/>
            <family val="2"/>
            <charset val="204"/>
          </rPr>
          <t xml:space="preserve">
ИП Федосеева - аутсорс СЦ - 37 тыс. руб.
Мачт проект - Услуги СЦ 19 тыс. руб.</t>
        </r>
      </text>
    </comment>
    <comment ref="E63" authorId="0" shapeId="0" xr:uid="{C8B7423D-09B9-49A2-975D-742D9368A8A3}">
      <text>
        <r>
          <rPr>
            <b/>
            <sz val="9"/>
            <color indexed="81"/>
            <rFont val="Tahoma"/>
            <family val="2"/>
            <charset val="204"/>
          </rPr>
          <t>Автор:</t>
        </r>
        <r>
          <rPr>
            <sz val="9"/>
            <color indexed="81"/>
            <rFont val="Tahoma"/>
            <family val="2"/>
            <charset val="204"/>
          </rPr>
          <t xml:space="preserve">
Департамент конкурсов и аукционов Ивановской области  - Касперский - 9 тыс. руб.
</t>
        </r>
      </text>
    </comment>
    <comment ref="F63" authorId="0" shapeId="0" xr:uid="{C6392A17-5E87-47C9-AE39-A85F3EBD0E76}">
      <text>
        <r>
          <rPr>
            <b/>
            <sz val="9"/>
            <color indexed="81"/>
            <rFont val="Tahoma"/>
            <family val="2"/>
            <charset val="204"/>
          </rPr>
          <t xml:space="preserve">Автор:
</t>
        </r>
        <r>
          <rPr>
            <sz val="9"/>
            <color indexed="81"/>
            <rFont val="Tahoma"/>
            <family val="2"/>
            <charset val="204"/>
          </rPr>
          <t xml:space="preserve">ИП Федосеева - СКУД и Кондиционирование - 100 тыс. руб.
ИП Гончаров - СВН - 88 тыс. руб.
Автопак - СВН - 50 тыс. руб.
Экомера - ПК - 15 тыс. руб.
Мачт проект - Касперский 3 тыс. руб.
</t>
        </r>
      </text>
    </comment>
    <comment ref="E66" authorId="0" shapeId="0" xr:uid="{71090E05-1FFF-4A2E-91EE-79F4BE7D037C}">
      <text>
        <r>
          <rPr>
            <b/>
            <sz val="9"/>
            <color indexed="81"/>
            <rFont val="Tahoma"/>
            <family val="2"/>
            <charset val="204"/>
          </rPr>
          <t>Автор:</t>
        </r>
        <r>
          <rPr>
            <sz val="9"/>
            <color indexed="81"/>
            <rFont val="Tahoma"/>
            <family val="2"/>
            <charset val="204"/>
          </rPr>
          <t xml:space="preserve">
ИП Федосеева - аутсорс СЦ - 37 тыс. руб.</t>
        </r>
      </text>
    </comment>
    <comment ref="F66" authorId="0" shapeId="0" xr:uid="{EA70342D-4ADE-4351-818E-68015129EC5B}">
      <text>
        <r>
          <rPr>
            <b/>
            <sz val="9"/>
            <color indexed="81"/>
            <rFont val="Tahoma"/>
            <family val="2"/>
            <charset val="204"/>
          </rPr>
          <t>Автор:</t>
        </r>
        <r>
          <rPr>
            <sz val="9"/>
            <color indexed="81"/>
            <rFont val="Tahoma"/>
            <family val="2"/>
            <charset val="204"/>
          </rPr>
          <t xml:space="preserve">
308 Авиационный ремонтный завод - МФУ - 17 тыс. руб.
Древо - СВН - 55 тыс. руб.</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B23" authorId="0" shapeId="0" xr:uid="{5934E1B6-F138-4B2C-8E48-2A9100DCEB52}">
      <text>
        <r>
          <rPr>
            <b/>
            <sz val="9"/>
            <color indexed="81"/>
            <rFont val="Tahoma"/>
            <family val="2"/>
            <charset val="204"/>
          </rPr>
          <t>Автор:</t>
        </r>
        <r>
          <rPr>
            <sz val="9"/>
            <color indexed="81"/>
            <rFont val="Tahoma"/>
            <family val="2"/>
            <charset val="204"/>
          </rPr>
          <t xml:space="preserve">
По Вн-198285 профит31 333 руб.
</t>
        </r>
      </text>
    </comment>
    <comment ref="B24" authorId="0" shapeId="0" xr:uid="{CF4ECA0B-C5ED-4B21-AB2F-D37409655E4C}">
      <text>
        <r>
          <rPr>
            <b/>
            <sz val="9"/>
            <color indexed="81"/>
            <rFont val="Tahoma"/>
            <family val="2"/>
            <charset val="204"/>
          </rPr>
          <t>Автор:</t>
        </r>
        <r>
          <rPr>
            <sz val="9"/>
            <color indexed="81"/>
            <rFont val="Tahoma"/>
            <family val="2"/>
            <charset val="204"/>
          </rPr>
          <t xml:space="preserve">
Автор:
Аутсорс по Вн-199955 профит 39 833,33 руб.
Касперский по Вн-199338 профит 4 245,75 руб.
Итого 45 000 руб.</t>
        </r>
      </text>
    </comment>
    <comment ref="B25" authorId="0" shapeId="0" xr:uid="{8F063D67-AF19-49DB-AA4B-1DB34AC9707F}">
      <text>
        <r>
          <rPr>
            <b/>
            <sz val="9"/>
            <color indexed="81"/>
            <rFont val="Tahoma"/>
            <family val="2"/>
            <charset val="204"/>
          </rPr>
          <t>Автор:</t>
        </r>
        <r>
          <rPr>
            <sz val="9"/>
            <color indexed="81"/>
            <rFont val="Tahoma"/>
            <family val="2"/>
            <charset val="204"/>
          </rPr>
          <t xml:space="preserve">
Чистота производства Касперский по Вн-199338 профит 11303,55 руб.
Мачт проект Аутсорс по Вн-200795 профит 15 916 руб.
Итого 27 279,55 руб.
ИП Федосеева Аутсорс по Вн-202203 профит 39 833,33 руб.
Итого 67 145,55 руб.</t>
        </r>
      </text>
    </comment>
    <comment ref="C40" authorId="0" shapeId="0" xr:uid="{6A225D3B-0B4D-4D85-BEDC-7B100BB80669}">
      <text>
        <r>
          <rPr>
            <b/>
            <sz val="9"/>
            <color indexed="81"/>
            <rFont val="Tahoma"/>
            <family val="2"/>
            <charset val="204"/>
          </rPr>
          <t>Автор:</t>
        </r>
        <r>
          <rPr>
            <sz val="9"/>
            <color indexed="81"/>
            <rFont val="Tahoma"/>
            <family val="2"/>
            <charset val="204"/>
          </rPr>
          <t xml:space="preserve">
3 месяца выше 100к - 6,5% 
% просрочненной дебиторке менее 20% - 1,1 коэф</t>
        </r>
      </text>
    </comment>
    <comment ref="D62" authorId="0" shapeId="0" xr:uid="{381CF113-ECA6-4252-8580-0FA789D60002}">
      <text>
        <r>
          <rPr>
            <b/>
            <sz val="9"/>
            <color indexed="81"/>
            <rFont val="Tahoma"/>
            <family val="2"/>
            <charset val="204"/>
          </rPr>
          <t>Автор:</t>
        </r>
        <r>
          <rPr>
            <sz val="9"/>
            <color indexed="81"/>
            <rFont val="Tahoma"/>
            <family val="2"/>
            <charset val="204"/>
          </rPr>
          <t xml:space="preserve">
ИП Федосеева - аутсорс СЦ - 37 тыс. руб.</t>
        </r>
      </text>
    </comment>
    <comment ref="E62" authorId="0" shapeId="0" xr:uid="{2FB0FFCA-C608-408A-A0D1-969CE26B073D}">
      <text>
        <r>
          <rPr>
            <b/>
            <sz val="9"/>
            <color indexed="81"/>
            <rFont val="Tahoma"/>
            <family val="2"/>
            <charset val="204"/>
          </rPr>
          <t>Автор:</t>
        </r>
        <r>
          <rPr>
            <sz val="9"/>
            <color indexed="81"/>
            <rFont val="Tahoma"/>
            <family val="2"/>
            <charset val="204"/>
          </rPr>
          <t xml:space="preserve">
Дайдо Металл Русь - 14 тыс. руб.
Мачт проект - IT инфраструктура - 20 тыс. руб.
Экомера - Моноблоки - 15 тыс. руб.
</t>
        </r>
      </text>
    </comment>
    <comment ref="F62" authorId="0" shapeId="0" xr:uid="{B354E9EA-A9CF-4B89-B6E9-50C5DCA226D7}">
      <text>
        <r>
          <rPr>
            <b/>
            <sz val="9"/>
            <color indexed="81"/>
            <rFont val="Tahoma"/>
            <family val="2"/>
            <charset val="204"/>
          </rPr>
          <t xml:space="preserve">Автор:
</t>
        </r>
        <r>
          <rPr>
            <sz val="9"/>
            <color indexed="81"/>
            <rFont val="Tahoma"/>
            <family val="2"/>
            <charset val="204"/>
          </rPr>
          <t xml:space="preserve">Константа Юридическое Бюро - Запрос на оборудование для AI - 63 тыс. руб.
ИП Федосеева - СКУД и Кондиционирование - 100 тыс. руб.
Древо - СВН - 55 тыс. руб.
Мачт-Проект - ИБП и МФУ А3 - 29 тыс. руб.
Авангард Смоленск - АСМОграф - 40 тыс. руб.
308 Авиационный ремонтный завод - МФУ - 11 тыс. руб.
УЗТПА  -   1С   - 19 тыс. руб.
</t>
        </r>
      </text>
    </comment>
    <comment ref="E65" authorId="0" shapeId="0" xr:uid="{A0A22112-FB9E-468A-85CA-D1E837CA2F80}">
      <text>
        <r>
          <rPr>
            <b/>
            <sz val="9"/>
            <color indexed="81"/>
            <rFont val="Tahoma"/>
            <family val="2"/>
            <charset val="204"/>
          </rPr>
          <t>Автор:</t>
        </r>
        <r>
          <rPr>
            <sz val="9"/>
            <color indexed="81"/>
            <rFont val="Tahoma"/>
            <family val="2"/>
            <charset val="204"/>
          </rPr>
          <t xml:space="preserve">
ИП Федосеева - аутсорс СЦ - 37 тыс. руб.</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B23" authorId="0" shapeId="0" xr:uid="{7577E401-BEB7-41F0-B909-AFC5906071D7}">
      <text>
        <r>
          <rPr>
            <b/>
            <sz val="9"/>
            <color indexed="81"/>
            <rFont val="Tahoma"/>
            <family val="2"/>
            <charset val="204"/>
          </rPr>
          <t>Автор:</t>
        </r>
        <r>
          <rPr>
            <sz val="9"/>
            <color indexed="81"/>
            <rFont val="Tahoma"/>
            <family val="2"/>
            <charset val="204"/>
          </rPr>
          <t xml:space="preserve">
По Вн-198285 профит31 333 руб.
</t>
        </r>
      </text>
    </comment>
    <comment ref="B24" authorId="0" shapeId="0" xr:uid="{0C47BA5A-1A65-46BF-A4A1-D92CA44D6D97}">
      <text>
        <r>
          <rPr>
            <b/>
            <sz val="9"/>
            <color indexed="81"/>
            <rFont val="Tahoma"/>
            <family val="2"/>
            <charset val="204"/>
          </rPr>
          <t>Автор:</t>
        </r>
        <r>
          <rPr>
            <sz val="9"/>
            <color indexed="81"/>
            <rFont val="Tahoma"/>
            <family val="2"/>
            <charset val="204"/>
          </rPr>
          <t xml:space="preserve">
Автор:
Аутсорс по Вн-199955 профит 39 833,33 руб.
Касперский по Вн-199338 профит 4 245,75 руб.
Итого 45 000 руб.</t>
        </r>
      </text>
    </comment>
    <comment ref="B25" authorId="0" shapeId="0" xr:uid="{C535B719-CD6C-4396-BE4E-4EFD6A24BFCF}">
      <text>
        <r>
          <rPr>
            <b/>
            <sz val="9"/>
            <color indexed="81"/>
            <rFont val="Tahoma"/>
            <family val="2"/>
            <charset val="204"/>
          </rPr>
          <t>Автор:</t>
        </r>
        <r>
          <rPr>
            <sz val="9"/>
            <color indexed="81"/>
            <rFont val="Tahoma"/>
            <family val="2"/>
            <charset val="204"/>
          </rPr>
          <t xml:space="preserve">
Чистота производства Касперский по Вн-199338 профит 11303,55 руб.
Мачт проект Аутсорс по Вн-200795 профит 15 916 руб.
Итого 27 279,55 руб.
ИП Федосеева Аутсорс по Вн-202203 профит 39 833,33 руб.
Итого 67 145,55 руб.</t>
        </r>
      </text>
    </comment>
    <comment ref="B26" authorId="0" shapeId="0" xr:uid="{C45436BE-4290-4655-99C8-5F661B67BE0A}">
      <text>
        <r>
          <rPr>
            <b/>
            <sz val="9"/>
            <color indexed="81"/>
            <rFont val="Tahoma"/>
            <family val="2"/>
            <charset val="204"/>
          </rPr>
          <t>Автор:</t>
        </r>
        <r>
          <rPr>
            <sz val="9"/>
            <color indexed="81"/>
            <rFont val="Tahoma"/>
            <family val="2"/>
            <charset val="204"/>
          </rPr>
          <t xml:space="preserve">
ИП Федосеева Аутсорс по Вн-203957 профит 39 833,33 руб.</t>
        </r>
      </text>
    </comment>
    <comment ref="C40" authorId="0" shapeId="0" xr:uid="{A1BF4DB2-FFBE-49E1-844F-087B9422251A}">
      <text>
        <r>
          <rPr>
            <b/>
            <sz val="9"/>
            <color indexed="81"/>
            <rFont val="Tahoma"/>
            <family val="2"/>
            <charset val="204"/>
          </rPr>
          <t>Автор:</t>
        </r>
        <r>
          <rPr>
            <sz val="9"/>
            <color indexed="81"/>
            <rFont val="Tahoma"/>
            <family val="2"/>
            <charset val="204"/>
          </rPr>
          <t xml:space="preserve">
3 месяца выше 100к - 6,5% 
% просрочненной дебиторке менее 20% - 1,1 коэф</t>
        </r>
      </text>
    </comment>
    <comment ref="D60" authorId="0" shapeId="0" xr:uid="{41D1CE72-26AA-4353-92A0-748271C766B1}">
      <text>
        <r>
          <rPr>
            <b/>
            <sz val="9"/>
            <color indexed="81"/>
            <rFont val="Tahoma"/>
            <family val="2"/>
            <charset val="204"/>
          </rPr>
          <t>Автор:</t>
        </r>
        <r>
          <rPr>
            <sz val="9"/>
            <color indexed="81"/>
            <rFont val="Tahoma"/>
            <family val="2"/>
            <charset val="204"/>
          </rPr>
          <t xml:space="preserve">
ИП Федосеева - аутсорс СЦ - 37 тыс. руб.</t>
        </r>
      </text>
    </comment>
    <comment ref="E60" authorId="0" shapeId="0" xr:uid="{64817B4C-579C-45FE-87BA-7CAD17235668}">
      <text>
        <r>
          <rPr>
            <b/>
            <sz val="9"/>
            <color indexed="81"/>
            <rFont val="Tahoma"/>
            <family val="2"/>
            <charset val="204"/>
          </rPr>
          <t>Автор:</t>
        </r>
        <r>
          <rPr>
            <sz val="9"/>
            <color indexed="81"/>
            <rFont val="Tahoma"/>
            <family val="2"/>
            <charset val="204"/>
          </rPr>
          <t xml:space="preserve">
АВАНГАРД Смоленск - АСМограф - 40 тыс. руб.
МАЧТ-ПРОЕКТ ООО - ИБП и МФУ - 29 тыс. руб.
Экомера - Аутсорс - 10 тыс. руб.
МАЧТ-ПРОЕКТ ООО - Аутсорс - 10 тыс. руб.</t>
        </r>
      </text>
    </comment>
    <comment ref="F60" authorId="0" shapeId="0" xr:uid="{C4C2567F-246D-4CCD-B7A2-790269EE1AF6}">
      <text>
        <r>
          <rPr>
            <b/>
            <sz val="9"/>
            <color indexed="81"/>
            <rFont val="Tahoma"/>
            <family val="2"/>
            <charset val="204"/>
          </rPr>
          <t xml:space="preserve">Автор:
</t>
        </r>
        <r>
          <rPr>
            <sz val="9"/>
            <color indexed="81"/>
            <rFont val="Tahoma"/>
            <family val="2"/>
            <charset val="204"/>
          </rPr>
          <t xml:space="preserve">Древо - СВН - 55 тыс. руб.
УЗТПА - 10 лицензий 1С - 5 тыс. руб.
308 Авиационный ремонтный завод ОАО - 2 МФУ - 11 тыс. руб.
</t>
        </r>
      </text>
    </comment>
    <comment ref="E63" authorId="0" shapeId="0" xr:uid="{08AAA781-5857-4A0B-BF5C-0F4D3BA7C784}">
      <text>
        <r>
          <rPr>
            <b/>
            <sz val="9"/>
            <color indexed="81"/>
            <rFont val="Tahoma"/>
            <family val="2"/>
            <charset val="204"/>
          </rPr>
          <t>Автор:</t>
        </r>
        <r>
          <rPr>
            <sz val="9"/>
            <color indexed="81"/>
            <rFont val="Tahoma"/>
            <family val="2"/>
            <charset val="204"/>
          </rPr>
          <t xml:space="preserve">
ИП Федосеева - аутсорс СЦ - 37 тыс. руб.</t>
        </r>
      </text>
    </comment>
    <comment ref="F63" authorId="0" shapeId="0" xr:uid="{075C1083-5870-4B8D-AA01-4EF7BF145919}">
      <text>
        <r>
          <rPr>
            <b/>
            <sz val="9"/>
            <color indexed="81"/>
            <rFont val="Tahoma"/>
            <family val="2"/>
            <charset val="204"/>
          </rPr>
          <t>Автор:</t>
        </r>
        <r>
          <rPr>
            <sz val="9"/>
            <color indexed="81"/>
            <rFont val="Tahoma"/>
            <family val="2"/>
            <charset val="204"/>
          </rPr>
          <t xml:space="preserve">
ИП Федосеев - СКУД и Кондиционирование - 100 тыс. руб.
Константа Юридическое Бюро - Запрос на оборудование для AI - 63 тыс. руб.</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B23" authorId="0" shapeId="0" xr:uid="{C76524A4-E00D-4306-91A3-E37E8C83F587}">
      <text>
        <r>
          <rPr>
            <b/>
            <sz val="9"/>
            <color indexed="81"/>
            <rFont val="Tahoma"/>
            <family val="2"/>
            <charset val="204"/>
          </rPr>
          <t>Автор:</t>
        </r>
        <r>
          <rPr>
            <sz val="9"/>
            <color indexed="81"/>
            <rFont val="Tahoma"/>
            <family val="2"/>
            <charset val="204"/>
          </rPr>
          <t xml:space="preserve">
По Вн-198285 профит31 333 руб.
</t>
        </r>
      </text>
    </comment>
    <comment ref="B24" authorId="0" shapeId="0" xr:uid="{C5A7432E-F3BE-40B1-9AFC-CA7F6131E48C}">
      <text>
        <r>
          <rPr>
            <b/>
            <sz val="9"/>
            <color indexed="81"/>
            <rFont val="Tahoma"/>
            <family val="2"/>
            <charset val="204"/>
          </rPr>
          <t>Автор:</t>
        </r>
        <r>
          <rPr>
            <sz val="9"/>
            <color indexed="81"/>
            <rFont val="Tahoma"/>
            <family val="2"/>
            <charset val="204"/>
          </rPr>
          <t xml:space="preserve">
Автор:
Аутсорс по Вн-199955 профит 39 833,33 руб.
Касперский по Вн-199338 профит 4 245,75 руб.
Итого 45 000 руб.</t>
        </r>
      </text>
    </comment>
    <comment ref="B25" authorId="0" shapeId="0" xr:uid="{E752687C-1455-4E03-8853-3B63BD681B18}">
      <text>
        <r>
          <rPr>
            <b/>
            <sz val="9"/>
            <color indexed="81"/>
            <rFont val="Tahoma"/>
            <family val="2"/>
            <charset val="204"/>
          </rPr>
          <t>Автор:</t>
        </r>
        <r>
          <rPr>
            <sz val="9"/>
            <color indexed="81"/>
            <rFont val="Tahoma"/>
            <family val="2"/>
            <charset val="204"/>
          </rPr>
          <t xml:space="preserve">
ИП ФедосееваАутсорс по Вн-199955 профит 39 833,33 руб.
Чистота производстваКасперский по Вн-199338 профит 3 767,85 руб.
Мачт проект Аутсорс по ВН- профит 15 916 руб.
Итого 60 000 руб.</t>
        </r>
      </text>
    </comment>
    <comment ref="B27" authorId="0" shapeId="0" xr:uid="{1A4B6E1B-559C-4334-87A5-ECA1D76B9FCD}">
      <text>
        <r>
          <rPr>
            <b/>
            <sz val="9"/>
            <color indexed="81"/>
            <rFont val="Tahoma"/>
            <family val="2"/>
            <charset val="204"/>
          </rPr>
          <t>Автор:</t>
        </r>
        <r>
          <rPr>
            <sz val="9"/>
            <color indexed="81"/>
            <rFont val="Tahoma"/>
            <family val="2"/>
            <charset val="204"/>
          </rPr>
          <t xml:space="preserve">
Аутсорс по Вн-205302 профит 39 833,33 руб.</t>
        </r>
      </text>
    </comment>
    <comment ref="C40" authorId="0" shapeId="0" xr:uid="{0D886E47-8D59-48A6-91B6-0F0EA67CBF25}">
      <text>
        <r>
          <rPr>
            <b/>
            <sz val="9"/>
            <color indexed="81"/>
            <rFont val="Tahoma"/>
            <family val="2"/>
            <charset val="204"/>
          </rPr>
          <t>Автор:</t>
        </r>
        <r>
          <rPr>
            <sz val="9"/>
            <color indexed="81"/>
            <rFont val="Tahoma"/>
            <family val="2"/>
            <charset val="204"/>
          </rPr>
          <t xml:space="preserve">
3 месяца выше 100к - 6,5% 
% просрочненной дебиторке менее 20% - 1,1 коэф</t>
        </r>
      </text>
    </comment>
    <comment ref="D66" authorId="0" shapeId="0" xr:uid="{BF104FF0-FFD1-45FA-B5E6-78E119A84B2D}">
      <text>
        <r>
          <rPr>
            <b/>
            <sz val="9"/>
            <color indexed="81"/>
            <rFont val="Tahoma"/>
            <family val="2"/>
            <charset val="204"/>
          </rPr>
          <t>Автор:</t>
        </r>
        <r>
          <rPr>
            <sz val="9"/>
            <color indexed="81"/>
            <rFont val="Tahoma"/>
            <family val="2"/>
            <charset val="204"/>
          </rPr>
          <t xml:space="preserve">
ИП Федосеева - аутсорс СЦ - 37 тыс. руб.
Мачт проект - IT аутсорс - 21 тыс. руб.</t>
        </r>
      </text>
    </comment>
    <comment ref="E66" authorId="0" shapeId="0" xr:uid="{9426B5BE-612C-41D9-B186-BCB768711B48}">
      <text>
        <r>
          <rPr>
            <b/>
            <sz val="9"/>
            <color indexed="81"/>
            <rFont val="Tahoma"/>
            <family val="2"/>
            <charset val="204"/>
          </rPr>
          <t>Автор:</t>
        </r>
        <r>
          <rPr>
            <sz val="9"/>
            <color indexed="81"/>
            <rFont val="Tahoma"/>
            <family val="2"/>
            <charset val="204"/>
          </rPr>
          <t xml:space="preserve">
Альфа-строй - сервер - 46 тыс. руб.
Авангард Смоленск - Асмограф - 40 тыс. руб.
Костромской Лён - Касперский - 18 тыс. руб.
Экомера - IT аутсорс - 10 тыс. руб.
Альфа-строй - точки доступа - 4 тыс. руб.
</t>
        </r>
      </text>
    </comment>
    <comment ref="F66" authorId="0" shapeId="0" xr:uid="{84470581-8D22-4C52-B162-608F4B49E3C4}">
      <text>
        <r>
          <rPr>
            <b/>
            <sz val="9"/>
            <color indexed="81"/>
            <rFont val="Tahoma"/>
            <family val="2"/>
            <charset val="204"/>
          </rPr>
          <t xml:space="preserve">Автор:
</t>
        </r>
        <r>
          <rPr>
            <sz val="9"/>
            <color indexed="81"/>
            <rFont val="Tahoma"/>
            <family val="2"/>
            <charset val="204"/>
          </rPr>
          <t>Школа №18 - интерактивная панель - 200 тыс. руб.
Снабцентр - СКС - 500 тыс. руб.
Константа Юридическое Бюро - Оборудование для IA- 63 тыс. руб.
Полимерсбыт - сервер - 50 тыс. руб.
ИП Казанцев - ПК - 3 тыс. руб.
308 АРЗ - МФУ - 11 тыс. руб.
Полимер Экспорт - DLP - 20 тыс. руб.</t>
        </r>
      </text>
    </comment>
    <comment ref="E69" authorId="0" shapeId="0" xr:uid="{23A1CDCE-01D4-498B-B175-2CB10ABA06BF}">
      <text>
        <r>
          <rPr>
            <b/>
            <sz val="9"/>
            <color indexed="81"/>
            <rFont val="Tahoma"/>
            <family val="2"/>
            <charset val="204"/>
          </rPr>
          <t>Автор:</t>
        </r>
        <r>
          <rPr>
            <sz val="9"/>
            <color indexed="81"/>
            <rFont val="Tahoma"/>
            <family val="2"/>
            <charset val="204"/>
          </rPr>
          <t xml:space="preserve">
ИП Федосеева - аутсорс СЦ - 37 тыс. руб.</t>
        </r>
      </text>
    </comment>
    <comment ref="F69" authorId="0" shapeId="0" xr:uid="{951DDCD7-6A85-4EDC-AB5E-12D2B57E7207}">
      <text>
        <r>
          <rPr>
            <b/>
            <sz val="9"/>
            <color indexed="81"/>
            <rFont val="Tahoma"/>
            <family val="2"/>
            <charset val="204"/>
          </rPr>
          <t>Автор:</t>
        </r>
        <r>
          <rPr>
            <sz val="9"/>
            <color indexed="81"/>
            <rFont val="Tahoma"/>
            <family val="2"/>
            <charset val="204"/>
          </rPr>
          <t xml:space="preserve">
Древо - СВН - 113 тыс. руб.
УЗТПА - 1С лицензии -  19 тыс. руб.</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B23" authorId="0" shapeId="0" xr:uid="{6F9050B9-6A73-4D18-AE43-CB13C5F27193}">
      <text>
        <r>
          <rPr>
            <b/>
            <sz val="9"/>
            <color indexed="81"/>
            <rFont val="Tahoma"/>
            <family val="2"/>
            <charset val="204"/>
          </rPr>
          <t>Автор:</t>
        </r>
        <r>
          <rPr>
            <sz val="9"/>
            <color indexed="81"/>
            <rFont val="Tahoma"/>
            <family val="2"/>
            <charset val="204"/>
          </rPr>
          <t xml:space="preserve">
По Вн-198285 профит31 333 руб.
</t>
        </r>
      </text>
    </comment>
    <comment ref="B24" authorId="0" shapeId="0" xr:uid="{37132922-F61A-4705-B397-0BA189EEFAF3}">
      <text>
        <r>
          <rPr>
            <b/>
            <sz val="9"/>
            <color indexed="81"/>
            <rFont val="Tahoma"/>
            <family val="2"/>
            <charset val="204"/>
          </rPr>
          <t>Автор:</t>
        </r>
        <r>
          <rPr>
            <sz val="9"/>
            <color indexed="81"/>
            <rFont val="Tahoma"/>
            <family val="2"/>
            <charset val="204"/>
          </rPr>
          <t xml:space="preserve">
Автор:
Аутсорс по Вн-199955 профит 39 833,33 руб.
Касперский по Вн-199338 профит 4 245,75 руб.
Итого 45 000 руб.</t>
        </r>
      </text>
    </comment>
    <comment ref="B25" authorId="0" shapeId="0" xr:uid="{F83810CF-12F3-48C0-852B-C22997545CE0}">
      <text>
        <r>
          <rPr>
            <b/>
            <sz val="9"/>
            <color indexed="81"/>
            <rFont val="Tahoma"/>
            <family val="2"/>
            <charset val="204"/>
          </rPr>
          <t>Автор:</t>
        </r>
        <r>
          <rPr>
            <sz val="9"/>
            <color indexed="81"/>
            <rFont val="Tahoma"/>
            <family val="2"/>
            <charset val="204"/>
          </rPr>
          <t xml:space="preserve">
ИП ФедосееваАутсорс по Вн-199955 профит 39 833,33 руб.
Чистота производстваКасперский по Вн-199338 профит 3 767,85 руб.
Мачт проект Аутсорс по ВН- профит 15 916 руб.
Итого 60 000 руб.</t>
        </r>
      </text>
    </comment>
    <comment ref="B27" authorId="0" shapeId="0" xr:uid="{6E4E0D0D-B6FA-4174-9CC0-EFE474B033A7}">
      <text>
        <r>
          <rPr>
            <b/>
            <sz val="9"/>
            <color indexed="81"/>
            <rFont val="Tahoma"/>
            <family val="2"/>
            <charset val="204"/>
          </rPr>
          <t>Автор:</t>
        </r>
        <r>
          <rPr>
            <sz val="9"/>
            <color indexed="81"/>
            <rFont val="Tahoma"/>
            <family val="2"/>
            <charset val="204"/>
          </rPr>
          <t xml:space="preserve">
Аутсорс по Вн-205302 профит 39 833,33 руб.</t>
        </r>
      </text>
    </comment>
    <comment ref="B28" authorId="0" shapeId="0" xr:uid="{3578BDCB-2592-4117-994C-069F1418CE71}">
      <text>
        <r>
          <rPr>
            <b/>
            <sz val="11"/>
            <color indexed="81"/>
            <rFont val="Tahoma"/>
            <family val="2"/>
            <charset val="204"/>
          </rPr>
          <t>Автор:</t>
        </r>
        <r>
          <rPr>
            <sz val="11"/>
            <color indexed="81"/>
            <rFont val="Tahoma"/>
            <family val="2"/>
            <charset val="204"/>
          </rPr>
          <t xml:space="preserve">
ИП Федосеева Аутсорс по Вн-207736 профит 39 750 руб.
Мачт проект Аутсорс по Вн-206334 профит 21 600 руб. </t>
        </r>
      </text>
    </comment>
    <comment ref="C40" authorId="0" shapeId="0" xr:uid="{2592F5E7-CE87-4994-BE7A-8420BF87DEF9}">
      <text>
        <r>
          <rPr>
            <b/>
            <sz val="9"/>
            <color indexed="81"/>
            <rFont val="Tahoma"/>
            <family val="2"/>
            <charset val="204"/>
          </rPr>
          <t>Автор:</t>
        </r>
        <r>
          <rPr>
            <sz val="9"/>
            <color indexed="81"/>
            <rFont val="Tahoma"/>
            <family val="2"/>
            <charset val="204"/>
          </rPr>
          <t xml:space="preserve">
3 месяца выше 100к - 6,5% 
% просрочненной дебиторке менее 20% - 1,1 коэф</t>
        </r>
      </text>
    </comment>
    <comment ref="D69" authorId="0" shapeId="0" xr:uid="{912D997C-9485-4327-A7EA-7234E7A8C76C}">
      <text>
        <r>
          <rPr>
            <b/>
            <sz val="9"/>
            <color indexed="81"/>
            <rFont val="Tahoma"/>
            <family val="2"/>
            <charset val="204"/>
          </rPr>
          <t xml:space="preserve">Автор:
</t>
        </r>
        <r>
          <rPr>
            <sz val="9"/>
            <color indexed="81"/>
            <rFont val="Tahoma"/>
            <family val="2"/>
            <charset val="204"/>
          </rPr>
          <t>Школа №18 - Интерактивная панель 98 - 76 тыс. руб.
ИП Федосеева - Аутсорс СЦ - 39 тыс. руб.</t>
        </r>
      </text>
    </comment>
    <comment ref="E69" authorId="0" shapeId="0" xr:uid="{E840B5B8-AF46-408B-A9FE-BAC18977BAB7}">
      <text>
        <r>
          <rPr>
            <b/>
            <sz val="9"/>
            <color indexed="81"/>
            <rFont val="Tahoma"/>
            <family val="2"/>
            <charset val="204"/>
          </rPr>
          <t>Автор:</t>
        </r>
        <r>
          <rPr>
            <sz val="9"/>
            <color indexed="81"/>
            <rFont val="Tahoma"/>
            <family val="2"/>
            <charset val="204"/>
          </rPr>
          <t xml:space="preserve">
Альфа-строй - сервер - 46 тыс. руб.
Экомера - IT аутсорс - 10 тыс. руб.
308 АРЗ - картриджи - 9 тыс. руб.
Альфа-строй - точки доступа - 4 тыс. руб.
</t>
        </r>
      </text>
    </comment>
    <comment ref="F69" authorId="0" shapeId="0" xr:uid="{2F239B5A-5639-4539-9082-5C93D5A70FFB}">
      <text>
        <r>
          <rPr>
            <b/>
            <sz val="9"/>
            <color indexed="81"/>
            <rFont val="Tahoma"/>
            <family val="2"/>
            <charset val="204"/>
          </rPr>
          <t xml:space="preserve">Автор:
</t>
        </r>
        <r>
          <rPr>
            <sz val="9"/>
            <color indexed="81"/>
            <rFont val="Tahoma"/>
            <family val="2"/>
            <charset val="204"/>
          </rPr>
          <t>Позитив - Камеры - 74 тыс. руб.
Константа Юридическое Бюро - Оборудование для IA- 63 тыс. руб.
Полимерсбыт - сервер - 50 тыс. руб.
УЗТПА - 1С - 5 тыс. руб.</t>
        </r>
      </text>
    </comment>
    <comment ref="E72" authorId="0" shapeId="0" xr:uid="{00819DD5-9670-4CAA-B676-0A7A3F6D38AA}">
      <text>
        <r>
          <rPr>
            <b/>
            <sz val="9"/>
            <color indexed="81"/>
            <rFont val="Tahoma"/>
            <family val="2"/>
            <charset val="204"/>
          </rPr>
          <t>Автор:</t>
        </r>
        <r>
          <rPr>
            <sz val="9"/>
            <color indexed="81"/>
            <rFont val="Tahoma"/>
            <family val="2"/>
            <charset val="204"/>
          </rPr>
          <t xml:space="preserve">
ИП Федосеева - аутсорс СЦ - 39 тыс. руб.</t>
        </r>
      </text>
    </comment>
    <comment ref="F72" authorId="0" shapeId="0" xr:uid="{BE0BBD6D-F692-46BD-91D9-B001E9ECBCC1}">
      <text>
        <r>
          <rPr>
            <b/>
            <sz val="9"/>
            <color indexed="81"/>
            <rFont val="Tahoma"/>
            <family val="2"/>
            <charset val="204"/>
          </rPr>
          <t>Автор:</t>
        </r>
        <r>
          <rPr>
            <sz val="9"/>
            <color indexed="81"/>
            <rFont val="Tahoma"/>
            <family val="2"/>
            <charset val="204"/>
          </rPr>
          <t xml:space="preserve">
Авангард Смоленск - Асмограф - 40 тыс. руб.
308 АРЗ - МФУ - 11 тыс. руб.</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B23" authorId="0" shapeId="0" xr:uid="{44EFDA3D-80E8-4AD1-B8CA-6732AFE877A9}">
      <text>
        <r>
          <rPr>
            <b/>
            <sz val="9"/>
            <color indexed="81"/>
            <rFont val="Tahoma"/>
            <family val="2"/>
            <charset val="204"/>
          </rPr>
          <t>Автор:</t>
        </r>
        <r>
          <rPr>
            <sz val="9"/>
            <color indexed="81"/>
            <rFont val="Tahoma"/>
            <family val="2"/>
            <charset val="204"/>
          </rPr>
          <t xml:space="preserve">
По Вн-198285 профит31 333 руб.
</t>
        </r>
      </text>
    </comment>
    <comment ref="B24" authorId="0" shapeId="0" xr:uid="{E0703549-04C1-48B6-A958-0AE4A3BE689C}">
      <text>
        <r>
          <rPr>
            <b/>
            <sz val="9"/>
            <color indexed="81"/>
            <rFont val="Tahoma"/>
            <family val="2"/>
            <charset val="204"/>
          </rPr>
          <t>Автор:</t>
        </r>
        <r>
          <rPr>
            <sz val="9"/>
            <color indexed="81"/>
            <rFont val="Tahoma"/>
            <family val="2"/>
            <charset val="204"/>
          </rPr>
          <t xml:space="preserve">
Автор:
Аутсорс по Вн-199955 профит 39 833,33 руб.
Касперский по Вн-199338 профит 4 245,75 руб.
Итого 45 000 руб.</t>
        </r>
      </text>
    </comment>
    <comment ref="B25" authorId="0" shapeId="0" xr:uid="{094B08EB-8D73-4CE2-9689-8DD28C51120E}">
      <text>
        <r>
          <rPr>
            <b/>
            <sz val="9"/>
            <color indexed="81"/>
            <rFont val="Tahoma"/>
            <family val="2"/>
            <charset val="204"/>
          </rPr>
          <t>Автор:</t>
        </r>
        <r>
          <rPr>
            <sz val="9"/>
            <color indexed="81"/>
            <rFont val="Tahoma"/>
            <family val="2"/>
            <charset val="204"/>
          </rPr>
          <t xml:space="preserve">
ИП ФедосееваАутсорс по Вн-199955 профит 39 833,33 руб.
Чистота производстваКасперский по Вн-199338 профит 3 767,85 руб.
Мачт проект Аутсорс по ВН- профит 15 916 руб.
Итого 60 000 руб.</t>
        </r>
      </text>
    </comment>
    <comment ref="B27" authorId="0" shapeId="0" xr:uid="{CFD2938F-70B1-4F0F-B017-A92F442D4A4E}">
      <text>
        <r>
          <rPr>
            <b/>
            <sz val="9"/>
            <color indexed="81"/>
            <rFont val="Tahoma"/>
            <family val="2"/>
            <charset val="204"/>
          </rPr>
          <t>Автор:</t>
        </r>
        <r>
          <rPr>
            <sz val="9"/>
            <color indexed="81"/>
            <rFont val="Tahoma"/>
            <family val="2"/>
            <charset val="204"/>
          </rPr>
          <t xml:space="preserve">
Аутсорс по Вн-205302 профит 39 833,33 руб.</t>
        </r>
      </text>
    </comment>
    <comment ref="B28" authorId="0" shapeId="0" xr:uid="{701F6ACA-71CA-47FF-96F4-1B2722B284EE}">
      <text>
        <r>
          <rPr>
            <b/>
            <sz val="11"/>
            <color indexed="81"/>
            <rFont val="Tahoma"/>
            <family val="2"/>
            <charset val="204"/>
          </rPr>
          <t>Автор:</t>
        </r>
        <r>
          <rPr>
            <sz val="11"/>
            <color indexed="81"/>
            <rFont val="Tahoma"/>
            <family val="2"/>
            <charset val="204"/>
          </rPr>
          <t xml:space="preserve">
ИП Федосеева Аутсорс по Вн-207736 профит 39 833,33 руб.
Мачт проект Аутсорс по Вн-206334 профит 21 600 руб. </t>
        </r>
      </text>
    </comment>
    <comment ref="B29" authorId="0" shapeId="0" xr:uid="{C771E66A-4278-49B6-AE3A-9037373B6705}">
      <text>
        <r>
          <rPr>
            <b/>
            <sz val="9"/>
            <color indexed="81"/>
            <rFont val="Tahoma"/>
            <family val="2"/>
            <charset val="204"/>
          </rPr>
          <t>Автор:</t>
        </r>
        <r>
          <rPr>
            <sz val="9"/>
            <color indexed="81"/>
            <rFont val="Tahoma"/>
            <family val="2"/>
            <charset val="204"/>
          </rPr>
          <t xml:space="preserve">
ИП Федосеева Аутсорс по Вн-209695 профит 39 833,33 руб.</t>
        </r>
      </text>
    </comment>
    <comment ref="C40" authorId="0" shapeId="0" xr:uid="{ACA3EE8C-772C-460F-8855-75885124D99B}">
      <text>
        <r>
          <rPr>
            <b/>
            <sz val="9"/>
            <color indexed="81"/>
            <rFont val="Tahoma"/>
            <family val="2"/>
            <charset val="204"/>
          </rPr>
          <t>Автор:</t>
        </r>
        <r>
          <rPr>
            <sz val="9"/>
            <color indexed="81"/>
            <rFont val="Tahoma"/>
            <family val="2"/>
            <charset val="204"/>
          </rPr>
          <t xml:space="preserve">
3 месяца выше 100к - 6,5% 
% просрочненной дебиторке менее 20% - 1,1 коэф</t>
        </r>
      </text>
    </comment>
    <comment ref="C71" authorId="0" shapeId="0" xr:uid="{61C6FE74-92B1-4B53-B85B-A94C743B610C}">
      <text>
        <r>
          <rPr>
            <b/>
            <sz val="11"/>
            <color indexed="81"/>
            <rFont val="Tahoma"/>
            <family val="2"/>
            <charset val="204"/>
          </rPr>
          <t xml:space="preserve">Автор:
</t>
        </r>
      </text>
    </comment>
    <comment ref="D71" authorId="0" shapeId="0" xr:uid="{6DA3D548-8CCE-4313-A982-8F4F54614444}">
      <text>
        <r>
          <rPr>
            <b/>
            <sz val="9"/>
            <color indexed="81"/>
            <rFont val="Tahoma"/>
            <family val="2"/>
            <charset val="204"/>
          </rPr>
          <t>Автор:</t>
        </r>
        <r>
          <rPr>
            <sz val="9"/>
            <color indexed="81"/>
            <rFont val="Tahoma"/>
            <family val="2"/>
            <charset val="204"/>
          </rPr>
          <t xml:space="preserve">
ИП Федосеева - Аутсорс СЦ - 39 тыс. руб.
В заказах - комплектующие - 10 тыс. руб.</t>
        </r>
      </text>
    </comment>
    <comment ref="E71" authorId="0" shapeId="0" xr:uid="{2097DEC9-C250-4315-BF9C-CF8441F0AB9A}">
      <text>
        <r>
          <rPr>
            <b/>
            <sz val="9"/>
            <color indexed="81"/>
            <rFont val="Tahoma"/>
            <family val="2"/>
            <charset val="204"/>
          </rPr>
          <t>Автор:</t>
        </r>
        <r>
          <rPr>
            <sz val="9"/>
            <color indexed="81"/>
            <rFont val="Tahoma"/>
            <family val="2"/>
            <charset val="204"/>
          </rPr>
          <t xml:space="preserve">
Альфа-строй - сервер - 46 тыс. руб.
Школа №18 - ПК - 13 тыс. руб.
</t>
        </r>
      </text>
    </comment>
    <comment ref="F71" authorId="0" shapeId="0" xr:uid="{9A856DC4-2E91-4258-8D92-C68BB30C904C}">
      <text>
        <r>
          <rPr>
            <b/>
            <sz val="9"/>
            <color indexed="81"/>
            <rFont val="Tahoma"/>
            <family val="2"/>
            <charset val="204"/>
          </rPr>
          <t>Автор:</t>
        </r>
        <r>
          <rPr>
            <sz val="9"/>
            <color indexed="81"/>
            <rFont val="Tahoma"/>
            <family val="2"/>
            <charset val="204"/>
          </rPr>
          <t xml:space="preserve">
Константа Юридическое Бюро - Оборудование для IA- 63 тыс. руб.
Авангард Смоленск - Асмограф - 40 тыс. руб.
Экомера - IT аутсорс - 10 тыс. руб.</t>
        </r>
      </text>
    </comment>
    <comment ref="E74" authorId="0" shapeId="0" xr:uid="{44A90384-EB19-48CF-880A-06E687F69092}">
      <text>
        <r>
          <rPr>
            <b/>
            <sz val="9"/>
            <color indexed="81"/>
            <rFont val="Tahoma"/>
            <family val="2"/>
            <charset val="204"/>
          </rPr>
          <t>Автор:</t>
        </r>
        <r>
          <rPr>
            <sz val="9"/>
            <color indexed="81"/>
            <rFont val="Tahoma"/>
            <family val="2"/>
            <charset val="204"/>
          </rPr>
          <t xml:space="preserve">
ИП Федосеева - Аутсорс СЦ - 39 тыс. руб.</t>
        </r>
      </text>
    </comment>
    <comment ref="F74" authorId="0" shapeId="0" xr:uid="{6B5BDE20-1AA3-41CD-99BE-ADC1B34D67C8}">
      <text>
        <r>
          <rPr>
            <b/>
            <sz val="9"/>
            <color indexed="81"/>
            <rFont val="Tahoma"/>
            <family val="2"/>
            <charset val="204"/>
          </rPr>
          <t xml:space="preserve">Автор:
</t>
        </r>
        <r>
          <rPr>
            <sz val="9"/>
            <color indexed="81"/>
            <rFont val="Tahoma"/>
            <family val="2"/>
            <charset val="204"/>
          </rPr>
          <t xml:space="preserve">Снабцентр - СКС - 500 тыс. руб.
Полимерсбыт - сервер - 50 тыс. руб.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B23" authorId="0" shapeId="0" xr:uid="{4B889789-577C-4DF9-8227-F48ED5CAACDC}">
      <text>
        <r>
          <rPr>
            <b/>
            <sz val="9"/>
            <color indexed="81"/>
            <rFont val="Tahoma"/>
            <family val="2"/>
            <charset val="204"/>
          </rPr>
          <t>Автор:</t>
        </r>
        <r>
          <rPr>
            <sz val="9"/>
            <color indexed="81"/>
            <rFont val="Tahoma"/>
            <family val="2"/>
            <charset val="204"/>
          </rPr>
          <t xml:space="preserve">
По Вн-198285 профит31 333 руб.
</t>
        </r>
      </text>
    </comment>
    <comment ref="B24" authorId="0" shapeId="0" xr:uid="{E98501B1-D653-4F6C-B9F7-86387009DBB9}">
      <text>
        <r>
          <rPr>
            <b/>
            <sz val="9"/>
            <color indexed="81"/>
            <rFont val="Tahoma"/>
            <family val="2"/>
            <charset val="204"/>
          </rPr>
          <t>Автор:</t>
        </r>
        <r>
          <rPr>
            <sz val="9"/>
            <color indexed="81"/>
            <rFont val="Tahoma"/>
            <family val="2"/>
            <charset val="204"/>
          </rPr>
          <t xml:space="preserve">
Автор:
Аутсорс по Вн-199955 профит 39 833,33 руб.
Касперский по Вн-199338 профит 4 245,75 руб.
Итого 45 000 руб.</t>
        </r>
      </text>
    </comment>
    <comment ref="B25" authorId="0" shapeId="0" xr:uid="{BA3191D1-0735-4B7E-8C6C-F8C2717147B3}">
      <text>
        <r>
          <rPr>
            <b/>
            <sz val="9"/>
            <color indexed="81"/>
            <rFont val="Tahoma"/>
            <family val="2"/>
            <charset val="204"/>
          </rPr>
          <t>Автор:</t>
        </r>
        <r>
          <rPr>
            <sz val="9"/>
            <color indexed="81"/>
            <rFont val="Tahoma"/>
            <family val="2"/>
            <charset val="204"/>
          </rPr>
          <t xml:space="preserve">
ИП ФедосееваАутсорс по Вн-199955 профит 39 833,33 руб.
Чистота производстваКасперский по Вн-199338 профит 3 767,85 руб.
Мачт проект Аутсорс по ВН- профит 15 916 руб.
Итого 60 000 руб.</t>
        </r>
      </text>
    </comment>
    <comment ref="B27" authorId="0" shapeId="0" xr:uid="{3129ACB1-2069-4180-B89B-805BA2DBA81A}">
      <text>
        <r>
          <rPr>
            <b/>
            <sz val="9"/>
            <color indexed="81"/>
            <rFont val="Tahoma"/>
            <family val="2"/>
            <charset val="204"/>
          </rPr>
          <t>Автор:</t>
        </r>
        <r>
          <rPr>
            <sz val="9"/>
            <color indexed="81"/>
            <rFont val="Tahoma"/>
            <family val="2"/>
            <charset val="204"/>
          </rPr>
          <t xml:space="preserve">
Аутсорс по Вн-205302 профит 39 833,33 руб.</t>
        </r>
      </text>
    </comment>
    <comment ref="B28" authorId="0" shapeId="0" xr:uid="{A74FBCB6-F40D-4DA6-A6FA-E056FF7C5BD2}">
      <text>
        <r>
          <rPr>
            <b/>
            <sz val="11"/>
            <color indexed="81"/>
            <rFont val="Tahoma"/>
            <family val="2"/>
            <charset val="204"/>
          </rPr>
          <t>Автор:</t>
        </r>
        <r>
          <rPr>
            <sz val="11"/>
            <color indexed="81"/>
            <rFont val="Tahoma"/>
            <family val="2"/>
            <charset val="204"/>
          </rPr>
          <t xml:space="preserve">
ИП Федосеева Аутсорс по Вн-207736 профит 39 833,33 руб.
Мачт проект Аутсорс по Вн-206334 профит 21 600 руб. </t>
        </r>
      </text>
    </comment>
    <comment ref="B29" authorId="0" shapeId="0" xr:uid="{1964C87C-61E7-4338-81E0-8D568E8DC0F6}">
      <text>
        <r>
          <rPr>
            <b/>
            <sz val="9"/>
            <color indexed="81"/>
            <rFont val="Tahoma"/>
            <family val="2"/>
            <charset val="204"/>
          </rPr>
          <t>Автор:</t>
        </r>
        <r>
          <rPr>
            <sz val="9"/>
            <color indexed="81"/>
            <rFont val="Tahoma"/>
            <family val="2"/>
            <charset val="204"/>
          </rPr>
          <t xml:space="preserve">
ИП Федосеева Аутсорс по Вн-209695 профит 39 833,33 руб.</t>
        </r>
      </text>
    </comment>
    <comment ref="B30" authorId="0" shapeId="0" xr:uid="{E172A7B2-98B8-401B-8FFE-71877E54143F}">
      <text>
        <r>
          <rPr>
            <b/>
            <sz val="9"/>
            <color indexed="81"/>
            <rFont val="Tahoma"/>
            <family val="2"/>
            <charset val="204"/>
          </rPr>
          <t>Автор:</t>
        </r>
        <r>
          <rPr>
            <sz val="9"/>
            <color indexed="81"/>
            <rFont val="Tahoma"/>
            <family val="2"/>
            <charset val="204"/>
          </rPr>
          <t xml:space="preserve">
ИП Федосеева Аутсорс по Вн-212252ИП профит 39 833,33 руб.</t>
        </r>
      </text>
    </comment>
    <comment ref="C40" authorId="0" shapeId="0" xr:uid="{26622DA3-29D6-4A81-BF34-B01CFFC3E6D3}">
      <text>
        <r>
          <rPr>
            <b/>
            <sz val="9"/>
            <color indexed="81"/>
            <rFont val="Tahoma"/>
            <family val="2"/>
            <charset val="204"/>
          </rPr>
          <t>Автор:</t>
        </r>
        <r>
          <rPr>
            <sz val="9"/>
            <color indexed="81"/>
            <rFont val="Tahoma"/>
            <family val="2"/>
            <charset val="204"/>
          </rPr>
          <t xml:space="preserve">
3 месяца выше 100к - 6,5% 
% просрочненной дебиторке менее 20% - 1,1 коэф</t>
        </r>
      </text>
    </comment>
    <comment ref="D69" authorId="0" shapeId="0" xr:uid="{97F387DD-D93C-4303-BB30-00FEEAEC422B}">
      <text>
        <r>
          <rPr>
            <b/>
            <sz val="9"/>
            <color indexed="81"/>
            <rFont val="Tahoma"/>
            <family val="2"/>
            <charset val="204"/>
          </rPr>
          <t>Автор:</t>
        </r>
        <r>
          <rPr>
            <sz val="9"/>
            <color indexed="81"/>
            <rFont val="Tahoma"/>
            <family val="2"/>
            <charset val="204"/>
          </rPr>
          <t xml:space="preserve">
ИП Федосеева - Аутсорс СЦ - 39 тыс. руб.</t>
        </r>
      </text>
    </comment>
    <comment ref="E69" authorId="0" shapeId="0" xr:uid="{231F6893-108B-4010-8B5E-BCE5D2D989E0}">
      <text>
        <r>
          <rPr>
            <b/>
            <sz val="9"/>
            <color indexed="81"/>
            <rFont val="Tahoma"/>
            <family val="2"/>
            <charset val="204"/>
          </rPr>
          <t>Автор:</t>
        </r>
        <r>
          <rPr>
            <sz val="9"/>
            <color indexed="81"/>
            <rFont val="Tahoma"/>
            <family val="2"/>
            <charset val="204"/>
          </rPr>
          <t xml:space="preserve">
Экомера - IT аутсорс - 10 тыс. руб.
Альфа Транском - моноблок - 10 тыс. руб.
Полимер Экспорт ООО - видеокамера - 10 тыс. руб.
Новый город УК - МФУ - 5 тыс. руб.
НИИК - видеорегистратор 10 тыс. руб.
</t>
        </r>
      </text>
    </comment>
    <comment ref="F69" authorId="0" shapeId="0" xr:uid="{C03E2089-8F4E-4A9F-90C4-B61DE04D75C9}">
      <text>
        <r>
          <rPr>
            <b/>
            <sz val="9"/>
            <color indexed="81"/>
            <rFont val="Tahoma"/>
            <family val="2"/>
            <charset val="204"/>
          </rPr>
          <t>Автор:</t>
        </r>
        <r>
          <rPr>
            <sz val="9"/>
            <color indexed="81"/>
            <rFont val="Tahoma"/>
            <family val="2"/>
            <charset val="204"/>
          </rPr>
          <t xml:space="preserve">
Позитив (Орехово-Зуево) - бытовая техника - 87 тыс. руб.</t>
        </r>
      </text>
    </comment>
    <comment ref="E72" authorId="0" shapeId="0" xr:uid="{F2C6121C-839D-4C75-99DE-59EECD5CC1EC}">
      <text>
        <r>
          <rPr>
            <b/>
            <sz val="9"/>
            <color indexed="81"/>
            <rFont val="Tahoma"/>
            <family val="2"/>
            <charset val="204"/>
          </rPr>
          <t>Автор:</t>
        </r>
        <r>
          <rPr>
            <sz val="9"/>
            <color indexed="81"/>
            <rFont val="Tahoma"/>
            <family val="2"/>
            <charset val="204"/>
          </rPr>
          <t xml:space="preserve">
ИП Федосеева - Аутсорс СЦ - 39 тыс. руб.</t>
        </r>
      </text>
    </comment>
    <comment ref="F72" authorId="0" shapeId="0" xr:uid="{D6BF32D3-3CF6-4888-99C7-545E37FC72E3}">
      <text>
        <r>
          <rPr>
            <b/>
            <sz val="9"/>
            <color indexed="81"/>
            <rFont val="Tahoma"/>
            <family val="2"/>
            <charset val="204"/>
          </rPr>
          <t xml:space="preserve">Автор:
</t>
        </r>
        <r>
          <rPr>
            <sz val="9"/>
            <color indexed="81"/>
            <rFont val="Tahoma"/>
            <family val="2"/>
            <charset val="204"/>
          </rPr>
          <t>Снабцентр - СКС - 500 тыс. руб.
Древо - СВН - 113 тыс. руб.
Авангард Смоленск - Асмограф - 40 тыс. руб.
Бояртекс - камеры - 29 тыс. руб.</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B23" authorId="0" shapeId="0" xr:uid="{26BBBDC7-3133-4CCD-BF91-59CB73DB5609}">
      <text>
        <r>
          <rPr>
            <b/>
            <sz val="9"/>
            <color indexed="81"/>
            <rFont val="Tahoma"/>
            <family val="2"/>
            <charset val="204"/>
          </rPr>
          <t>Автор:</t>
        </r>
        <r>
          <rPr>
            <sz val="9"/>
            <color indexed="81"/>
            <rFont val="Tahoma"/>
            <family val="2"/>
            <charset val="204"/>
          </rPr>
          <t xml:space="preserve">
По Вн-198285 профит31 333 руб.
</t>
        </r>
      </text>
    </comment>
    <comment ref="B24" authorId="0" shapeId="0" xr:uid="{E325260A-1715-4B5B-9E99-ABE432B95410}">
      <text>
        <r>
          <rPr>
            <b/>
            <sz val="9"/>
            <color indexed="81"/>
            <rFont val="Tahoma"/>
            <family val="2"/>
            <charset val="204"/>
          </rPr>
          <t>Автор:</t>
        </r>
        <r>
          <rPr>
            <sz val="9"/>
            <color indexed="81"/>
            <rFont val="Tahoma"/>
            <family val="2"/>
            <charset val="204"/>
          </rPr>
          <t xml:space="preserve">
Автор:
Аутсорс по Вн-199955 профит 39 833,33 руб.
Касперский по Вн-199338 профит 4 245,75 руб.
Итого 45 000 руб.</t>
        </r>
      </text>
    </comment>
    <comment ref="B25" authorId="0" shapeId="0" xr:uid="{FFB361FC-D521-4E8F-9E05-8F063EB7EA39}">
      <text>
        <r>
          <rPr>
            <b/>
            <sz val="9"/>
            <color indexed="81"/>
            <rFont val="Tahoma"/>
            <family val="2"/>
            <charset val="204"/>
          </rPr>
          <t>Автор:</t>
        </r>
        <r>
          <rPr>
            <sz val="9"/>
            <color indexed="81"/>
            <rFont val="Tahoma"/>
            <family val="2"/>
            <charset val="204"/>
          </rPr>
          <t xml:space="preserve">
ИП ФедосееваАутсорс по Вн-199955 профит 39 833,33 руб.
Чистота производстваКасперский по Вн-199338 профит 3 767,85 руб.
Мачт проект Аутсорс по ВН- профит 15 916 руб.
Итого 60 000 руб.</t>
        </r>
      </text>
    </comment>
    <comment ref="B27" authorId="0" shapeId="0" xr:uid="{DFBF24D8-B8E7-4423-B096-9D6069E01827}">
      <text>
        <r>
          <rPr>
            <b/>
            <sz val="9"/>
            <color indexed="81"/>
            <rFont val="Tahoma"/>
            <family val="2"/>
            <charset val="204"/>
          </rPr>
          <t>Автор:</t>
        </r>
        <r>
          <rPr>
            <sz val="9"/>
            <color indexed="81"/>
            <rFont val="Tahoma"/>
            <family val="2"/>
            <charset val="204"/>
          </rPr>
          <t xml:space="preserve">
Аутсорс по Вн-205302 профит 39 833,33 руб.</t>
        </r>
      </text>
    </comment>
    <comment ref="B28" authorId="0" shapeId="0" xr:uid="{3C5E8D4C-8003-45F3-BC43-3339709C244C}">
      <text>
        <r>
          <rPr>
            <b/>
            <sz val="11"/>
            <color indexed="81"/>
            <rFont val="Tahoma"/>
            <family val="2"/>
            <charset val="204"/>
          </rPr>
          <t>Автор:</t>
        </r>
        <r>
          <rPr>
            <sz val="11"/>
            <color indexed="81"/>
            <rFont val="Tahoma"/>
            <family val="2"/>
            <charset val="204"/>
          </rPr>
          <t xml:space="preserve">
ИП Федосеева Аутсорс по Вн-207736 профит 39 833,33 руб.
Мачт проект Аутсорс по Вн-206334 профит 21 600 руб. </t>
        </r>
      </text>
    </comment>
    <comment ref="B29" authorId="0" shapeId="0" xr:uid="{067895B8-BE66-4360-BB5E-E1E71381B4F2}">
      <text>
        <r>
          <rPr>
            <b/>
            <sz val="9"/>
            <color indexed="81"/>
            <rFont val="Tahoma"/>
            <family val="2"/>
            <charset val="204"/>
          </rPr>
          <t>Автор:</t>
        </r>
        <r>
          <rPr>
            <sz val="9"/>
            <color indexed="81"/>
            <rFont val="Tahoma"/>
            <family val="2"/>
            <charset val="204"/>
          </rPr>
          <t xml:space="preserve">
ИП Федосеева Аутсорс по Вн-209695 профит 39 833,33 руб.</t>
        </r>
      </text>
    </comment>
    <comment ref="B31" authorId="0" shapeId="0" xr:uid="{71F77C97-8AC9-4158-AD07-E2D23110D166}">
      <text>
        <r>
          <rPr>
            <b/>
            <sz val="9"/>
            <color indexed="81"/>
            <rFont val="Tahoma"/>
            <family val="2"/>
            <charset val="204"/>
          </rPr>
          <t>Автор:</t>
        </r>
        <r>
          <rPr>
            <sz val="9"/>
            <color indexed="81"/>
            <rFont val="Tahoma"/>
            <family val="2"/>
            <charset val="204"/>
          </rPr>
          <t xml:space="preserve">
ИП Федосеева Аутсорс по Вн-213433 профит 39 832,79 руб.</t>
        </r>
      </text>
    </comment>
    <comment ref="C40" authorId="0" shapeId="0" xr:uid="{6A5C4C8E-3880-4C86-81DF-36811A901FD0}">
      <text>
        <r>
          <rPr>
            <b/>
            <sz val="9"/>
            <color indexed="81"/>
            <rFont val="Tahoma"/>
            <family val="2"/>
            <charset val="204"/>
          </rPr>
          <t>Автор:</t>
        </r>
        <r>
          <rPr>
            <sz val="9"/>
            <color indexed="81"/>
            <rFont val="Tahoma"/>
            <family val="2"/>
            <charset val="204"/>
          </rPr>
          <t xml:space="preserve">
2 месяца выше 150к - 7% 
% просрочненной дебиторке менее 20% - 1,1 коэф</t>
        </r>
      </text>
    </comment>
    <comment ref="D65" authorId="0" shapeId="0" xr:uid="{2B43318C-4F78-4D77-99D8-F2B3680B2A27}">
      <text>
        <r>
          <rPr>
            <b/>
            <sz val="9"/>
            <color indexed="81"/>
            <rFont val="Tahoma"/>
            <family val="2"/>
            <charset val="204"/>
          </rPr>
          <t>Автор:</t>
        </r>
        <r>
          <rPr>
            <sz val="9"/>
            <color indexed="81"/>
            <rFont val="Tahoma"/>
            <family val="2"/>
            <charset val="204"/>
          </rPr>
          <t xml:space="preserve">
ИП Федосеева - Аутсорс СЦ - 39 тыс. руб.</t>
        </r>
      </text>
    </comment>
    <comment ref="E65" authorId="0" shapeId="0" xr:uid="{5E876593-A7F0-4AEC-BDB9-65605E68ED77}">
      <text>
        <r>
          <rPr>
            <b/>
            <sz val="9"/>
            <color indexed="81"/>
            <rFont val="Tahoma"/>
            <family val="2"/>
            <charset val="204"/>
          </rPr>
          <t>Автор:</t>
        </r>
        <r>
          <rPr>
            <sz val="9"/>
            <color indexed="81"/>
            <rFont val="Tahoma"/>
            <family val="2"/>
            <charset val="204"/>
          </rPr>
          <t xml:space="preserve">
</t>
        </r>
      </text>
    </comment>
    <comment ref="F65" authorId="0" shapeId="0" xr:uid="{5014AD69-505D-475E-BA8B-12CD5B969ACF}">
      <text>
        <r>
          <rPr>
            <b/>
            <sz val="9"/>
            <color indexed="81"/>
            <rFont val="Tahoma"/>
            <family val="2"/>
            <charset val="204"/>
          </rPr>
          <t>Автор:</t>
        </r>
        <r>
          <rPr>
            <sz val="9"/>
            <color indexed="81"/>
            <rFont val="Tahoma"/>
            <family val="2"/>
            <charset val="204"/>
          </rPr>
          <t xml:space="preserve">
Омега 3 - оргтехника - 114 тыс. руб.
Древо - СВН - 113 тыс. руб.
Позитив (Орехово-Зуево) - бытовая техника - 87 тыс. руб.
Авангард Смоленск - Асмограф - 40 тыс. руб.
Экомера - IT аутсорс - 10 тыс. руб.
Стентекс - ноутбуки - 18 тыс. руб.
Новый город УК - МФУ - 3 тыс. руб. </t>
        </r>
      </text>
    </comment>
    <comment ref="E68" authorId="0" shapeId="0" xr:uid="{BA2C510C-F73B-4A53-AB00-35D026A6FC20}">
      <text>
        <r>
          <rPr>
            <b/>
            <sz val="9"/>
            <color indexed="81"/>
            <rFont val="Tahoma"/>
            <family val="2"/>
            <charset val="204"/>
          </rPr>
          <t>Автор:</t>
        </r>
        <r>
          <rPr>
            <sz val="9"/>
            <color indexed="81"/>
            <rFont val="Tahoma"/>
            <family val="2"/>
            <charset val="204"/>
          </rPr>
          <t xml:space="preserve">
ИП Федосеева - Аутсорс СЦ - 39 тыс. руб.
Полимерсбыт - витая пара - 35 тыс. руб.
Омега 3 - сканер паспорта - 23 тыс. руб.
</t>
        </r>
      </text>
    </comment>
    <comment ref="F68" authorId="0" shapeId="0" xr:uid="{8ADE74EE-D126-46A1-B278-7EB345FE6D22}">
      <text>
        <r>
          <rPr>
            <b/>
            <sz val="9"/>
            <color indexed="81"/>
            <rFont val="Tahoma"/>
            <family val="2"/>
            <charset val="204"/>
          </rPr>
          <t xml:space="preserve">Автор:
</t>
        </r>
        <r>
          <rPr>
            <sz val="9"/>
            <color indexed="81"/>
            <rFont val="Tahoma"/>
            <family val="2"/>
            <charset val="204"/>
          </rPr>
          <t>Снабцентр - СКС - 500 тыс. руб.
Полимерсбыт - сервер - 300 тыс. руб. 
Полимер Экспорт - DLP - 20 тыс. руб.
Хеликон - касперский - 21 тыс. руб.</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B23" authorId="0" shapeId="0" xr:uid="{88879CEC-C1E3-4D04-A5B1-B08724774757}">
      <text>
        <r>
          <rPr>
            <b/>
            <sz val="9"/>
            <color indexed="81"/>
            <rFont val="Tahoma"/>
            <family val="2"/>
            <charset val="204"/>
          </rPr>
          <t>Автор:</t>
        </r>
        <r>
          <rPr>
            <sz val="9"/>
            <color indexed="81"/>
            <rFont val="Tahoma"/>
            <family val="2"/>
            <charset val="204"/>
          </rPr>
          <t xml:space="preserve">
По Вн-198285 профит31 333 руб.
</t>
        </r>
      </text>
    </comment>
    <comment ref="B24" authorId="0" shapeId="0" xr:uid="{545885E0-BA05-4107-BEE4-9AAE33B73E6F}">
      <text>
        <r>
          <rPr>
            <b/>
            <sz val="9"/>
            <color indexed="81"/>
            <rFont val="Tahoma"/>
            <family val="2"/>
            <charset val="204"/>
          </rPr>
          <t>Автор:</t>
        </r>
        <r>
          <rPr>
            <sz val="9"/>
            <color indexed="81"/>
            <rFont val="Tahoma"/>
            <family val="2"/>
            <charset val="204"/>
          </rPr>
          <t xml:space="preserve">
Автор:
Аутсорс по Вн-199955 профит 39 833,33 руб.
Касперский по Вн-199338 профит 4 245,75 руб.
Итого 45 000 руб.</t>
        </r>
      </text>
    </comment>
    <comment ref="B25" authorId="0" shapeId="0" xr:uid="{B54F907E-A4B8-4D0B-97F9-99F0BD87FE62}">
      <text>
        <r>
          <rPr>
            <b/>
            <sz val="9"/>
            <color indexed="81"/>
            <rFont val="Tahoma"/>
            <family val="2"/>
            <charset val="204"/>
          </rPr>
          <t>Автор:</t>
        </r>
        <r>
          <rPr>
            <sz val="9"/>
            <color indexed="81"/>
            <rFont val="Tahoma"/>
            <family val="2"/>
            <charset val="204"/>
          </rPr>
          <t xml:space="preserve">
ИП ФедосееваАутсорс по Вн-199955 профит 39 833,33 руб.
Чистота производстваКасперский по Вн-199338 профит 3 767,85 руб.
Мачт проект Аутсорс по ВН- профит 15 916 руб.
Итого 60 000 руб.</t>
        </r>
      </text>
    </comment>
    <comment ref="B27" authorId="0" shapeId="0" xr:uid="{ADA28FDB-6559-452A-B8CB-5D6C203BE72E}">
      <text>
        <r>
          <rPr>
            <b/>
            <sz val="9"/>
            <color indexed="81"/>
            <rFont val="Tahoma"/>
            <family val="2"/>
            <charset val="204"/>
          </rPr>
          <t>Автор:</t>
        </r>
        <r>
          <rPr>
            <sz val="9"/>
            <color indexed="81"/>
            <rFont val="Tahoma"/>
            <family val="2"/>
            <charset val="204"/>
          </rPr>
          <t xml:space="preserve">
Аутсорс по Вн-205302 профит 39 833,33 руб.</t>
        </r>
      </text>
    </comment>
    <comment ref="B28" authorId="0" shapeId="0" xr:uid="{D67E3D82-B1E5-4197-B4B9-E699D34D4C1C}">
      <text>
        <r>
          <rPr>
            <b/>
            <sz val="11"/>
            <color indexed="81"/>
            <rFont val="Tahoma"/>
            <family val="2"/>
            <charset val="204"/>
          </rPr>
          <t>Автор:</t>
        </r>
        <r>
          <rPr>
            <sz val="11"/>
            <color indexed="81"/>
            <rFont val="Tahoma"/>
            <family val="2"/>
            <charset val="204"/>
          </rPr>
          <t xml:space="preserve">
ИП Федосеева Аутсорс по Вн-207736 профит 39 833,33 руб.
Мачт проект Аутсорс по Вн-206334 профит 21 600 руб. </t>
        </r>
      </text>
    </comment>
    <comment ref="B29" authorId="0" shapeId="0" xr:uid="{5CC8654B-4416-41C3-A54A-CDDA7FDC49A4}">
      <text>
        <r>
          <rPr>
            <b/>
            <sz val="9"/>
            <color indexed="81"/>
            <rFont val="Tahoma"/>
            <family val="2"/>
            <charset val="204"/>
          </rPr>
          <t>Автор:</t>
        </r>
        <r>
          <rPr>
            <sz val="9"/>
            <color indexed="81"/>
            <rFont val="Tahoma"/>
            <family val="2"/>
            <charset val="204"/>
          </rPr>
          <t xml:space="preserve">
ИП Федосеева Аутсорс по Вн-209695 профит 39 833,33 руб.</t>
        </r>
      </text>
    </comment>
    <comment ref="B31" authorId="0" shapeId="0" xr:uid="{191184C5-2811-40BC-80D5-EC2100943F44}">
      <text>
        <r>
          <rPr>
            <b/>
            <sz val="9"/>
            <color indexed="81"/>
            <rFont val="Tahoma"/>
            <family val="2"/>
            <charset val="204"/>
          </rPr>
          <t>Автор:</t>
        </r>
        <r>
          <rPr>
            <sz val="9"/>
            <color indexed="81"/>
            <rFont val="Tahoma"/>
            <family val="2"/>
            <charset val="204"/>
          </rPr>
          <t xml:space="preserve">
ИП Федосеева Аутсорс по Вн-213433 профит 39 832,79 руб.</t>
        </r>
      </text>
    </comment>
    <comment ref="B32" authorId="0" shapeId="0" xr:uid="{D640D56C-7BC6-49D2-8A37-BCDAA14144B1}">
      <text>
        <r>
          <rPr>
            <b/>
            <sz val="9"/>
            <color indexed="81"/>
            <rFont val="Tahoma"/>
            <family val="2"/>
            <charset val="204"/>
          </rPr>
          <t>Автор:</t>
        </r>
        <r>
          <rPr>
            <sz val="9"/>
            <color indexed="81"/>
            <rFont val="Tahoma"/>
            <family val="2"/>
            <charset val="204"/>
          </rPr>
          <t xml:space="preserve">
ИП Федосеева Аутсорс по Вн-214902 профит 39 832,79 руб.</t>
        </r>
      </text>
    </comment>
    <comment ref="C40" authorId="0" shapeId="0" xr:uid="{002F3E42-09B6-4A9B-8CBF-02C67C05EF59}">
      <text>
        <r>
          <rPr>
            <b/>
            <sz val="9"/>
            <color indexed="81"/>
            <rFont val="Tahoma"/>
            <family val="2"/>
            <charset val="204"/>
          </rPr>
          <t>Автор:</t>
        </r>
        <r>
          <rPr>
            <sz val="9"/>
            <color indexed="81"/>
            <rFont val="Tahoma"/>
            <family val="2"/>
            <charset val="204"/>
          </rPr>
          <t xml:space="preserve">
2 месяца выше 150к - 7% 
% просрочненной дебиторке менее 20% - 1,1 коэф</t>
        </r>
      </text>
    </comment>
    <comment ref="C72" authorId="0" shapeId="0" xr:uid="{028994DC-EBE6-4A2A-A002-108C2A100E88}">
      <text>
        <r>
          <rPr>
            <b/>
            <sz val="11"/>
            <color indexed="81"/>
            <rFont val="Tahoma"/>
            <family val="2"/>
            <charset val="204"/>
          </rPr>
          <t>Автор:</t>
        </r>
      </text>
    </comment>
    <comment ref="D72" authorId="0" shapeId="0" xr:uid="{A0FF99CE-D360-4806-9DF1-244CE8B11C9C}">
      <text>
        <r>
          <rPr>
            <b/>
            <sz val="9"/>
            <color indexed="81"/>
            <rFont val="Tahoma"/>
            <family val="2"/>
            <charset val="204"/>
          </rPr>
          <t>Автор:</t>
        </r>
        <r>
          <rPr>
            <sz val="9"/>
            <color indexed="81"/>
            <rFont val="Tahoma"/>
            <family val="2"/>
            <charset val="204"/>
          </rPr>
          <t xml:space="preserve">
ИП Федосеева - Аутсорс СЦ - 39 тыс. руб.
Омега 3 - Сканеры - 10 тыс. руб.</t>
        </r>
      </text>
    </comment>
    <comment ref="E72" authorId="0" shapeId="0" xr:uid="{E5C355D4-CDC4-4DFF-939D-019A22F7CC68}">
      <text>
        <r>
          <rPr>
            <b/>
            <sz val="9"/>
            <color indexed="81"/>
            <rFont val="Tahoma"/>
            <family val="2"/>
            <charset val="204"/>
          </rPr>
          <t xml:space="preserve">Автор:
</t>
        </r>
        <r>
          <rPr>
            <sz val="9"/>
            <color indexed="81"/>
            <rFont val="Tahoma"/>
            <family val="2"/>
            <charset val="204"/>
          </rPr>
          <t xml:space="preserve">Текучка 50 тыс. руб. </t>
        </r>
        <r>
          <rPr>
            <b/>
            <sz val="9"/>
            <color indexed="81"/>
            <rFont val="Tahoma"/>
            <family val="2"/>
            <charset val="204"/>
          </rPr>
          <t xml:space="preserve">
</t>
        </r>
        <r>
          <rPr>
            <sz val="9"/>
            <color indexed="81"/>
            <rFont val="Tahoma"/>
            <family val="2"/>
            <charset val="204"/>
          </rPr>
          <t>Полимерсбыт - витая пара - 35 тыс. руб.
Альфа-строй Иваново - ПК - 16 тыс .руб.</t>
        </r>
        <r>
          <rPr>
            <b/>
            <sz val="9"/>
            <color indexed="81"/>
            <rFont val="Tahoma"/>
            <family val="2"/>
            <charset val="204"/>
          </rPr>
          <t xml:space="preserve">
</t>
        </r>
        <r>
          <rPr>
            <sz val="9"/>
            <color indexed="81"/>
            <rFont val="Tahoma"/>
            <family val="2"/>
            <charset val="204"/>
          </rPr>
          <t>ГМЗ Агат - картриджи - 10 тыс. руб.
Спанлайн - ПК - 7 тыс. руб.
Новый город УК - МФУ - 5 тыс. руб.</t>
        </r>
      </text>
    </comment>
    <comment ref="F72" authorId="0" shapeId="0" xr:uid="{44A73CB4-8687-45F8-B2EB-CA1601F02EED}">
      <text>
        <r>
          <rPr>
            <b/>
            <sz val="9"/>
            <color indexed="81"/>
            <rFont val="Tahoma"/>
            <family val="2"/>
            <charset val="204"/>
          </rPr>
          <t>Автор:</t>
        </r>
        <r>
          <rPr>
            <sz val="9"/>
            <color indexed="81"/>
            <rFont val="Tahoma"/>
            <family val="2"/>
            <charset val="204"/>
          </rPr>
          <t xml:space="preserve">
МКС Луганск - телефония - 194 тыс. руб. 
Образовательный комплекс №36 - АКБ - 84 тыс. руб.
ЦКБ по СПК им. Р.Е. Алексеева - расходники - 47 тыс. руб.
Белгородский Молочный Комбинат - Расходники - 28 тыс. руб.
Хеликон - Касперский - 21 тыс. руб.
Гарпикс (garpix) - ноутбуки - 19 тыс. руб.
</t>
        </r>
      </text>
    </comment>
    <comment ref="C75" authorId="0" shapeId="0" xr:uid="{2A2FDB88-C864-46A6-B504-0B0469575FF0}">
      <text>
        <r>
          <rPr>
            <b/>
            <sz val="9"/>
            <color indexed="81"/>
            <rFont val="Tahoma"/>
            <family val="2"/>
            <charset val="204"/>
          </rPr>
          <t>Автор:</t>
        </r>
        <r>
          <rPr>
            <sz val="9"/>
            <color indexed="81"/>
            <rFont val="Tahoma"/>
            <family val="2"/>
            <charset val="204"/>
          </rPr>
          <t xml:space="preserve">
</t>
        </r>
      </text>
    </comment>
    <comment ref="D75" authorId="0" shapeId="0" xr:uid="{0FF876E9-CBEE-4032-91D1-257134CA74A8}">
      <text>
        <r>
          <rPr>
            <b/>
            <sz val="9"/>
            <color indexed="81"/>
            <rFont val="Tahoma"/>
            <family val="2"/>
            <charset val="204"/>
          </rPr>
          <t>Автор:</t>
        </r>
        <r>
          <rPr>
            <sz val="9"/>
            <color indexed="81"/>
            <rFont val="Tahoma"/>
            <family val="2"/>
            <charset val="204"/>
          </rPr>
          <t xml:space="preserve">
Связь ВСД - СХД - 400 тыс. руб.</t>
        </r>
      </text>
    </comment>
    <comment ref="E75" authorId="0" shapeId="0" xr:uid="{23C45521-E6F3-4C8E-BD12-0E6FF5B20016}">
      <text>
        <r>
          <rPr>
            <b/>
            <sz val="9"/>
            <color indexed="81"/>
            <rFont val="Tahoma"/>
            <family val="2"/>
            <charset val="204"/>
          </rPr>
          <t xml:space="preserve">Автор:
</t>
        </r>
        <r>
          <rPr>
            <sz val="9"/>
            <color indexed="81"/>
            <rFont val="Tahoma"/>
            <family val="2"/>
            <charset val="204"/>
          </rPr>
          <t>Текучка 50 тыс. руб. 
Комитас - точки доступа - 44 тыс. руб.
ИП Федосеева - Аутсорс СЦ - 39 тыс. руб.</t>
        </r>
      </text>
    </comment>
    <comment ref="F75" authorId="0" shapeId="0" xr:uid="{57D14E72-245F-40D1-9962-DD63C0A2B84E}">
      <text>
        <r>
          <rPr>
            <b/>
            <sz val="9"/>
            <color indexed="81"/>
            <rFont val="Tahoma"/>
            <family val="2"/>
            <charset val="204"/>
          </rPr>
          <t xml:space="preserve">Автор:
</t>
        </r>
        <r>
          <rPr>
            <sz val="9"/>
            <color indexed="81"/>
            <rFont val="Tahoma"/>
            <family val="2"/>
            <charset val="204"/>
          </rPr>
          <t>Снабцентр - СКС - 500 тыс. руб.
Древо - СВН - 113 тыс. руб.
Образовательный комплекс № 36 - ИБП - 84 тыс. руб.
Полимер Экспорт - DLP - 20 тыс. руб.</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B23" authorId="0" shapeId="0" xr:uid="{C241C542-B70C-4239-B4D0-B1FBFB30E6FB}">
      <text>
        <r>
          <rPr>
            <b/>
            <sz val="9"/>
            <color indexed="81"/>
            <rFont val="Tahoma"/>
            <family val="2"/>
            <charset val="204"/>
          </rPr>
          <t>Автор:</t>
        </r>
        <r>
          <rPr>
            <sz val="9"/>
            <color indexed="81"/>
            <rFont val="Tahoma"/>
            <family val="2"/>
            <charset val="204"/>
          </rPr>
          <t xml:space="preserve">
По Вн-198285 профит31 333 руб.
</t>
        </r>
      </text>
    </comment>
    <comment ref="B24" authorId="0" shapeId="0" xr:uid="{F4232287-44C0-471F-9815-A405388919BD}">
      <text>
        <r>
          <rPr>
            <b/>
            <sz val="9"/>
            <color indexed="81"/>
            <rFont val="Tahoma"/>
            <family val="2"/>
            <charset val="204"/>
          </rPr>
          <t>Автор:</t>
        </r>
        <r>
          <rPr>
            <sz val="9"/>
            <color indexed="81"/>
            <rFont val="Tahoma"/>
            <family val="2"/>
            <charset val="204"/>
          </rPr>
          <t xml:space="preserve">
Автор:
Аутсорс по Вн-199955 профит 39 833,33 руб.
Касперский по Вн-199338 профит 4 245,75 руб.
Итого 45 000 руб.</t>
        </r>
      </text>
    </comment>
    <comment ref="B25" authorId="0" shapeId="0" xr:uid="{5C84D155-7F2E-43CF-A605-5A613F29D966}">
      <text>
        <r>
          <rPr>
            <b/>
            <sz val="9"/>
            <color indexed="81"/>
            <rFont val="Tahoma"/>
            <family val="2"/>
            <charset val="204"/>
          </rPr>
          <t>Автор:</t>
        </r>
        <r>
          <rPr>
            <sz val="9"/>
            <color indexed="81"/>
            <rFont val="Tahoma"/>
            <family val="2"/>
            <charset val="204"/>
          </rPr>
          <t xml:space="preserve">
ИП ФедосееваАутсорс по Вн-199955 профит 39 833,33 руб.
Чистота производстваКасперский по Вн-199338 профит 3 767,85 руб.
Мачт проект Аутсорс по ВН- профит 15 916 руб.
Итого 60 000 руб.</t>
        </r>
      </text>
    </comment>
    <comment ref="B27" authorId="0" shapeId="0" xr:uid="{7693C2BE-4CA3-47B6-AAA4-69F228578844}">
      <text>
        <r>
          <rPr>
            <b/>
            <sz val="9"/>
            <color indexed="81"/>
            <rFont val="Tahoma"/>
            <family val="2"/>
            <charset val="204"/>
          </rPr>
          <t>Автор:</t>
        </r>
        <r>
          <rPr>
            <sz val="9"/>
            <color indexed="81"/>
            <rFont val="Tahoma"/>
            <family val="2"/>
            <charset val="204"/>
          </rPr>
          <t xml:space="preserve">
Аутсорс по Вн-205302 профит 39 833,33 руб.</t>
        </r>
      </text>
    </comment>
    <comment ref="B28" authorId="0" shapeId="0" xr:uid="{DAD8E029-823A-4FA6-8B14-3B7A162275AB}">
      <text>
        <r>
          <rPr>
            <b/>
            <sz val="11"/>
            <color indexed="81"/>
            <rFont val="Tahoma"/>
            <family val="2"/>
            <charset val="204"/>
          </rPr>
          <t>Автор:</t>
        </r>
        <r>
          <rPr>
            <sz val="11"/>
            <color indexed="81"/>
            <rFont val="Tahoma"/>
            <family val="2"/>
            <charset val="204"/>
          </rPr>
          <t xml:space="preserve">
ИП Федосеева Аутсорс по Вн-207736 профит 39 833,33 руб.
Мачт проект Аутсорс по Вн-206334 профит 21 600 руб. </t>
        </r>
      </text>
    </comment>
    <comment ref="B29" authorId="0" shapeId="0" xr:uid="{47F185CD-FCEE-434E-93C7-ECA251F516CB}">
      <text>
        <r>
          <rPr>
            <b/>
            <sz val="9"/>
            <color indexed="81"/>
            <rFont val="Tahoma"/>
            <family val="2"/>
            <charset val="204"/>
          </rPr>
          <t>Автор:</t>
        </r>
        <r>
          <rPr>
            <sz val="9"/>
            <color indexed="81"/>
            <rFont val="Tahoma"/>
            <family val="2"/>
            <charset val="204"/>
          </rPr>
          <t xml:space="preserve">
ИП Федосеева Аутсорс по Вн-209695 профит 39 833,33 руб.</t>
        </r>
      </text>
    </comment>
    <comment ref="B31" authorId="0" shapeId="0" xr:uid="{E10C2BAD-3CCE-4D9E-952C-2544C60FDBA0}">
      <text>
        <r>
          <rPr>
            <b/>
            <sz val="9"/>
            <color indexed="81"/>
            <rFont val="Tahoma"/>
            <family val="2"/>
            <charset val="204"/>
          </rPr>
          <t>Автор:</t>
        </r>
        <r>
          <rPr>
            <sz val="9"/>
            <color indexed="81"/>
            <rFont val="Tahoma"/>
            <family val="2"/>
            <charset val="204"/>
          </rPr>
          <t xml:space="preserve">
ИП Федосеева Аутсорс по Вн-213433 профит 39 832,79 руб.</t>
        </r>
      </text>
    </comment>
    <comment ref="B33" authorId="0" shapeId="0" xr:uid="{92764BD9-53A3-4A81-874F-BE71B9C7BC66}">
      <text>
        <r>
          <rPr>
            <b/>
            <sz val="9"/>
            <color indexed="81"/>
            <rFont val="Tahoma"/>
            <family val="2"/>
            <charset val="204"/>
          </rPr>
          <t>Автор:</t>
        </r>
        <r>
          <rPr>
            <sz val="9"/>
            <color indexed="81"/>
            <rFont val="Tahoma"/>
            <family val="2"/>
            <charset val="204"/>
          </rPr>
          <t xml:space="preserve">
ИП Федосеева Аутсорс по Вн-216576 профит 39 832 руб.</t>
        </r>
      </text>
    </comment>
    <comment ref="C40" authorId="0" shapeId="0" xr:uid="{3CBD990A-8142-4FFB-87B9-C4BCE3847A16}">
      <text>
        <r>
          <rPr>
            <b/>
            <sz val="9"/>
            <color indexed="81"/>
            <rFont val="Tahoma"/>
            <family val="2"/>
            <charset val="204"/>
          </rPr>
          <t>Автор:</t>
        </r>
        <r>
          <rPr>
            <sz val="9"/>
            <color indexed="81"/>
            <rFont val="Tahoma"/>
            <family val="2"/>
            <charset val="204"/>
          </rPr>
          <t xml:space="preserve">
2 месяца выше 150к - 7% 
% просрочненной дебиторке менее 20% - 1,1 коэф</t>
        </r>
      </text>
    </comment>
    <comment ref="C72" authorId="0" shapeId="0" xr:uid="{D5DCBF89-F4C9-48FB-B033-476D992E2986}">
      <text>
        <r>
          <rPr>
            <b/>
            <sz val="11"/>
            <color indexed="81"/>
            <rFont val="Tahoma"/>
            <family val="2"/>
            <charset val="204"/>
          </rPr>
          <t>Автор:</t>
        </r>
      </text>
    </comment>
    <comment ref="D72" authorId="0" shapeId="0" xr:uid="{2A71C4EF-F3E2-46ED-8DCF-9044575FE317}">
      <text>
        <r>
          <rPr>
            <b/>
            <sz val="9"/>
            <color indexed="81"/>
            <rFont val="Tahoma"/>
            <family val="2"/>
            <charset val="204"/>
          </rPr>
          <t>Автор:</t>
        </r>
        <r>
          <rPr>
            <sz val="9"/>
            <color indexed="81"/>
            <rFont val="Tahoma"/>
            <family val="2"/>
            <charset val="204"/>
          </rPr>
          <t xml:space="preserve">
ИП Федосеева - Аутсорс СЦ - 39 тыс. руб.</t>
        </r>
      </text>
    </comment>
    <comment ref="E72" authorId="0" shapeId="0" xr:uid="{35404308-CDE4-47A0-9F27-C67653A365B5}">
      <text>
        <r>
          <rPr>
            <b/>
            <sz val="9"/>
            <color indexed="81"/>
            <rFont val="Tahoma"/>
            <family val="2"/>
            <charset val="204"/>
          </rPr>
          <t>Автор:</t>
        </r>
        <r>
          <rPr>
            <sz val="9"/>
            <color indexed="81"/>
            <rFont val="Tahoma"/>
            <family val="2"/>
            <charset val="204"/>
          </rPr>
          <t xml:space="preserve">
Альфа-строй - сервер - 46 тыс. руб.
Костромской Лён - Касперский - 18 тыс. руб.
Экомера - IT аутсорс - 10 тыс. руб.
Альфа-строй - точки доступа - 4 тыс. руб.
Альфа-строй - сервер - 
</t>
        </r>
      </text>
    </comment>
    <comment ref="F72" authorId="0" shapeId="0" xr:uid="{68CCDA33-7866-4C4F-97B2-5A3CEE7B7034}">
      <text>
        <r>
          <rPr>
            <b/>
            <sz val="9"/>
            <color indexed="81"/>
            <rFont val="Tahoma"/>
            <family val="2"/>
            <charset val="204"/>
          </rPr>
          <t>Автор:</t>
        </r>
        <r>
          <rPr>
            <sz val="9"/>
            <color indexed="81"/>
            <rFont val="Tahoma"/>
            <family val="2"/>
            <charset val="204"/>
          </rPr>
          <t xml:space="preserve">
Снабцентр - СКС - 500 тыс. руб.
Константа Юридическое Бюро - Оборудование для IA- 63 тыс. руб.
Полимерсбыт - сервер - 50 тыс. руб.
ИП Казанцев - ПК - 3 тыс. руб.
308 АРЗ - МФУ - 11 тыс. руб.
Полимер Экспорт - DLP - 20 тыс. руб.
Авангард Смоленск - Асмограф - 40 тыс. руб.</t>
        </r>
      </text>
    </comment>
    <comment ref="E75" authorId="0" shapeId="0" xr:uid="{E0F88797-2622-4546-9994-D985936FC131}">
      <text>
        <r>
          <rPr>
            <b/>
            <sz val="9"/>
            <color indexed="81"/>
            <rFont val="Tahoma"/>
            <family val="2"/>
            <charset val="204"/>
          </rPr>
          <t>Автор:</t>
        </r>
        <r>
          <rPr>
            <sz val="9"/>
            <color indexed="81"/>
            <rFont val="Tahoma"/>
            <family val="2"/>
            <charset val="204"/>
          </rPr>
          <t xml:space="preserve">
ИП Федосеева - Аутсорс СЦ - 39 тыс. руб.</t>
        </r>
      </text>
    </comment>
    <comment ref="F75" authorId="0" shapeId="0" xr:uid="{11F31D25-8D88-480B-837E-2AAC02C26163}">
      <text>
        <r>
          <rPr>
            <b/>
            <sz val="9"/>
            <color indexed="81"/>
            <rFont val="Tahoma"/>
            <family val="2"/>
            <charset val="204"/>
          </rPr>
          <t>Автор:</t>
        </r>
        <r>
          <rPr>
            <sz val="9"/>
            <color indexed="81"/>
            <rFont val="Tahoma"/>
            <family val="2"/>
            <charset val="204"/>
          </rPr>
          <t xml:space="preserve">
Древо - СВН - 113 тыс. руб.
УЗТПА - 1С лицензии -  19 тыс. руб.</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B22" authorId="0" shapeId="0" xr:uid="{E005C19E-A8BA-4053-87C8-EA9B9299AB01}">
      <text>
        <r>
          <rPr>
            <b/>
            <sz val="9"/>
            <color indexed="81"/>
            <rFont val="Tahoma"/>
            <family val="2"/>
            <charset val="204"/>
          </rPr>
          <t>Автор:</t>
        </r>
        <r>
          <rPr>
            <sz val="9"/>
            <color indexed="81"/>
            <rFont val="Tahoma"/>
            <family val="2"/>
            <charset val="204"/>
          </rPr>
          <t xml:space="preserve">
ИП Федосеева Аутсорс по Вн-218428 профит 39 832,79 руб.</t>
        </r>
      </text>
    </comment>
    <comment ref="C40" authorId="0" shapeId="0" xr:uid="{ED08EFA9-0DA6-4307-A901-3D841F921AB8}">
      <text>
        <r>
          <rPr>
            <b/>
            <sz val="9"/>
            <color indexed="81"/>
            <rFont val="Tahoma"/>
            <family val="2"/>
            <charset val="204"/>
          </rPr>
          <t>Автор:</t>
        </r>
        <r>
          <rPr>
            <sz val="9"/>
            <color indexed="81"/>
            <rFont val="Tahoma"/>
            <family val="2"/>
            <charset val="204"/>
          </rPr>
          <t xml:space="preserve">
2 месяца выше 150к - 7% 
% просрочненной дебиторке менее 20% - 1,1 коэф</t>
        </r>
      </text>
    </comment>
    <comment ref="C70" authorId="0" shapeId="0" xr:uid="{5B5895AD-766E-49F7-9C95-57D3E2DEEE2B}">
      <text>
        <r>
          <rPr>
            <b/>
            <sz val="11"/>
            <color indexed="81"/>
            <rFont val="Tahoma"/>
            <family val="2"/>
            <charset val="204"/>
          </rPr>
          <t xml:space="preserve">Автор:
</t>
        </r>
        <r>
          <rPr>
            <sz val="11"/>
            <color indexed="81"/>
            <rFont val="Tahoma"/>
            <family val="2"/>
            <charset val="204"/>
          </rPr>
          <t>Комитас - Коробки - 35 тыс. руб.</t>
        </r>
      </text>
    </comment>
    <comment ref="D70" authorId="0" shapeId="0" xr:uid="{2E2ADC55-C8EB-4A99-8E80-940A15B518DC}">
      <text>
        <r>
          <rPr>
            <b/>
            <sz val="9"/>
            <color indexed="81"/>
            <rFont val="Tahoma"/>
            <family val="2"/>
            <charset val="204"/>
          </rPr>
          <t>Автор:</t>
        </r>
        <r>
          <rPr>
            <sz val="9"/>
            <color indexed="81"/>
            <rFont val="Tahoma"/>
            <family val="2"/>
            <charset val="204"/>
          </rPr>
          <t xml:space="preserve">
Связь ВСД - СХД и диски -   +-400 тыс. руб.
ИП Федосеева - Аутсорс СЦ - 39 тыс. руб.</t>
        </r>
      </text>
    </comment>
    <comment ref="E70" authorId="0" shapeId="0" xr:uid="{7B521E5B-0A8C-420F-8FCB-5CD620F8BDFA}">
      <text>
        <r>
          <rPr>
            <b/>
            <sz val="9"/>
            <color indexed="81"/>
            <rFont val="Tahoma"/>
            <family val="2"/>
            <charset val="204"/>
          </rPr>
          <t xml:space="preserve">Автор:
</t>
        </r>
        <r>
          <rPr>
            <sz val="9"/>
            <color indexed="81"/>
            <rFont val="Tahoma"/>
            <family val="2"/>
            <charset val="204"/>
          </rPr>
          <t xml:space="preserve">НИИК АО - видеорегистраторы - 100 тыс. руб.
ЦКБ по СПК им. Р.Е. Алексеева - расходники -  11 тыс. руб.
ЦКБ по СПК им. Р.Е. Алексеева - телефония - 16 тыс. руб.
СЕЛТЕКС ШВЕЙНАЯ ФАБРИКА - комплектующие 5 тыс. руб.
</t>
        </r>
      </text>
    </comment>
    <comment ref="F70" authorId="0" shapeId="0" xr:uid="{BB23EE51-8175-41E2-A5E9-B3F09DC5642D}">
      <text>
        <r>
          <rPr>
            <b/>
            <sz val="9"/>
            <color indexed="81"/>
            <rFont val="Tahoma"/>
            <family val="2"/>
            <charset val="204"/>
          </rPr>
          <t xml:space="preserve">Автор:
</t>
        </r>
        <r>
          <rPr>
            <sz val="9"/>
            <color indexed="81"/>
            <rFont val="Tahoma"/>
            <family val="2"/>
            <charset val="204"/>
          </rPr>
          <t>Новая ривьера - ПО - 93 тыс. руб.
Связь ВСД - проектор - 65 тыс. руб.</t>
        </r>
      </text>
    </comment>
    <comment ref="E73" authorId="0" shapeId="0" xr:uid="{9E61B770-5177-4A70-AC71-FC4E8A57BA99}">
      <text>
        <r>
          <rPr>
            <b/>
            <sz val="9"/>
            <color indexed="81"/>
            <rFont val="Tahoma"/>
            <family val="2"/>
            <charset val="204"/>
          </rPr>
          <t>Автор:</t>
        </r>
        <r>
          <rPr>
            <sz val="9"/>
            <color indexed="81"/>
            <rFont val="Tahoma"/>
            <family val="2"/>
            <charset val="204"/>
          </rPr>
          <t xml:space="preserve">
МФЦ Ярославской области - терминалы - 380 тыс. руб.
МФЦ Ярославской области - принтеры карт - 188 тыс. руб.
Костромская ПБСТИН - МФУ А3 - 50 тыс. руб.
ИП Федосеева - Аутсорс СЦ - 39 тыс. руб.
</t>
        </r>
      </text>
    </comment>
    <comment ref="F73" authorId="0" shapeId="0" xr:uid="{C1B290C7-D3E3-462E-BD3F-9E00E1701367}">
      <text>
        <r>
          <rPr>
            <b/>
            <sz val="9"/>
            <color indexed="81"/>
            <rFont val="Tahoma"/>
            <family val="2"/>
            <charset val="204"/>
          </rPr>
          <t>Автор:</t>
        </r>
        <r>
          <rPr>
            <sz val="9"/>
            <color indexed="81"/>
            <rFont val="Tahoma"/>
            <family val="2"/>
            <charset val="204"/>
          </rPr>
          <t xml:space="preserve">
МКС Луганск - джамперы - 832 тыс. руб.
Детская школа искусств № 6 г. Иваново - панели - 193 тыс. руб.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B22" authorId="0" shapeId="0" xr:uid="{C71FA7AA-A095-4EA8-852D-31CC491619FF}">
      <text>
        <r>
          <rPr>
            <b/>
            <sz val="9"/>
            <color indexed="81"/>
            <rFont val="Tahoma"/>
            <family val="2"/>
            <charset val="204"/>
          </rPr>
          <t>Автор:</t>
        </r>
        <r>
          <rPr>
            <sz val="9"/>
            <color indexed="81"/>
            <rFont val="Tahoma"/>
            <family val="2"/>
            <charset val="204"/>
          </rPr>
          <t xml:space="preserve">
ИП Федосеева Аутсорс по Вн-218428 профит 39 832,79 руб.</t>
        </r>
      </text>
    </comment>
    <comment ref="B23" authorId="0" shapeId="0" xr:uid="{E0465F55-D519-49D8-B760-6537286225E8}">
      <text>
        <r>
          <rPr>
            <b/>
            <sz val="9"/>
            <color indexed="81"/>
            <rFont val="Tahoma"/>
            <family val="2"/>
            <charset val="204"/>
          </rPr>
          <t xml:space="preserve">Автор:
</t>
        </r>
        <r>
          <rPr>
            <sz val="9"/>
            <color indexed="81"/>
            <rFont val="Tahoma"/>
            <family val="2"/>
            <charset val="204"/>
          </rPr>
          <t>ОП
809 113,92 руб
СЦ</t>
        </r>
        <r>
          <rPr>
            <sz val="9"/>
            <color indexed="81"/>
            <rFont val="Tahoma"/>
            <family val="2"/>
            <charset val="204"/>
          </rPr>
          <t xml:space="preserve">
ИП Федосеева Аутсорс по Вн-218428 профит39 832,00 руб.</t>
        </r>
      </text>
    </comment>
    <comment ref="C40" authorId="0" shapeId="0" xr:uid="{F9D977F7-540D-4F67-8450-0E163C49D1C5}">
      <text>
        <r>
          <rPr>
            <b/>
            <sz val="9"/>
            <color indexed="81"/>
            <rFont val="Tahoma"/>
            <family val="2"/>
            <charset val="204"/>
          </rPr>
          <t>Автор:</t>
        </r>
        <r>
          <rPr>
            <sz val="9"/>
            <color indexed="81"/>
            <rFont val="Tahoma"/>
            <family val="2"/>
            <charset val="204"/>
          </rPr>
          <t xml:space="preserve">
% просрочненной дебиторке менее 20% - 1,1 коэф</t>
        </r>
      </text>
    </comment>
    <comment ref="D65" authorId="0" shapeId="0" xr:uid="{2B0BE250-1A00-4CE8-8D81-9DAAC92415DE}">
      <text>
        <r>
          <rPr>
            <b/>
            <sz val="9"/>
            <color indexed="81"/>
            <rFont val="Tahoma"/>
            <family val="2"/>
            <charset val="204"/>
          </rPr>
          <t xml:space="preserve">Автор:
</t>
        </r>
        <r>
          <rPr>
            <sz val="9"/>
            <color indexed="81"/>
            <rFont val="Tahoma"/>
            <family val="2"/>
            <charset val="204"/>
          </rPr>
          <t>МФЦ Ярославской области  - принтеры - 258 тыс. руб.</t>
        </r>
        <r>
          <rPr>
            <b/>
            <sz val="9"/>
            <color indexed="81"/>
            <rFont val="Tahoma"/>
            <family val="2"/>
            <charset val="204"/>
          </rPr>
          <t xml:space="preserve">
</t>
        </r>
        <r>
          <rPr>
            <sz val="9"/>
            <color indexed="81"/>
            <rFont val="Tahoma"/>
            <family val="2"/>
            <charset val="204"/>
          </rPr>
          <t xml:space="preserve">НИИК - камеры регистраторы - 129 тыс. руб.
Текучка - 50 тыс. руб.
ИП Федосеева - Аутсорс СЦ - 39 тыс. руб.
Комитас - мини ПК - 35 тыс. руб.
</t>
        </r>
      </text>
    </comment>
    <comment ref="E65" authorId="0" shapeId="0" xr:uid="{4E5EA37E-4EC3-4A09-8310-26F326188231}">
      <text>
        <r>
          <rPr>
            <b/>
            <sz val="9"/>
            <color indexed="81"/>
            <rFont val="Tahoma"/>
            <family val="2"/>
            <charset val="204"/>
          </rPr>
          <t xml:space="preserve">Автор:
</t>
        </r>
        <r>
          <rPr>
            <sz val="9"/>
            <color indexed="81"/>
            <rFont val="Tahoma"/>
            <family val="2"/>
            <charset val="204"/>
          </rPr>
          <t xml:space="preserve">ЦКБ по СПК им. Р.Е. Алексеева - телефония - 16 тыс. руб.
Ультрастаб - касперский - 14 тыс  .руб.
</t>
        </r>
      </text>
    </comment>
    <comment ref="F65" authorId="0" shapeId="0" xr:uid="{019B3637-52BD-4925-84EB-14B1375435F9}">
      <text>
        <r>
          <rPr>
            <b/>
            <sz val="9"/>
            <color indexed="81"/>
            <rFont val="Tahoma"/>
            <family val="2"/>
            <charset val="204"/>
          </rPr>
          <t xml:space="preserve">Автор:
</t>
        </r>
        <r>
          <rPr>
            <sz val="9"/>
            <color indexed="81"/>
            <rFont val="Tahoma"/>
            <family val="2"/>
            <charset val="204"/>
          </rPr>
          <t>Родниковский комплексный центр соц.обслуживания населения - ПК и МФУ - 30 тыс. руб.
СПЕЦПЕТРОСЕРВИС - диски - 137 тыс. руб.</t>
        </r>
      </text>
    </comment>
    <comment ref="E68" authorId="0" shapeId="0" xr:uid="{6671122A-B525-44B2-845D-0B9198E04B9E}">
      <text>
        <r>
          <rPr>
            <b/>
            <sz val="9"/>
            <color indexed="81"/>
            <rFont val="Tahoma"/>
            <family val="2"/>
            <charset val="204"/>
          </rPr>
          <t>Автор:</t>
        </r>
        <r>
          <rPr>
            <sz val="9"/>
            <color indexed="81"/>
            <rFont val="Tahoma"/>
            <family val="2"/>
            <charset val="204"/>
          </rPr>
          <t xml:space="preserve">
МФЦ Ярославской области - терминалы - 380 тыс. руб.
ТТК Иваново - телефония расходники - 250 тыс. руб.
ИП Федосеева - Аутсорс СЦ - 39 тыс. руб.
</t>
        </r>
      </text>
    </comment>
    <comment ref="F68" authorId="0" shapeId="0" xr:uid="{5D8BB5E1-8D80-4BB2-A6F3-19FF9714E252}">
      <text>
        <r>
          <rPr>
            <b/>
            <sz val="9"/>
            <color indexed="81"/>
            <rFont val="Tahoma"/>
            <family val="2"/>
            <charset val="204"/>
          </rPr>
          <t xml:space="preserve">Автор:
</t>
        </r>
        <r>
          <rPr>
            <sz val="9"/>
            <color indexed="81"/>
            <rFont val="Tahoma"/>
            <family val="2"/>
            <charset val="204"/>
          </rPr>
          <t>Костромская ПБСТИН - МФУ А3 - 50 тыс. руб.</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B22" authorId="0" shapeId="0" xr:uid="{12EFB63C-27BA-4CEF-8068-5135A94B985A}">
      <text>
        <r>
          <rPr>
            <b/>
            <sz val="9"/>
            <color indexed="81"/>
            <rFont val="Tahoma"/>
            <family val="2"/>
            <charset val="204"/>
          </rPr>
          <t>Автор:</t>
        </r>
        <r>
          <rPr>
            <sz val="9"/>
            <color indexed="81"/>
            <rFont val="Tahoma"/>
            <family val="2"/>
            <charset val="204"/>
          </rPr>
          <t xml:space="preserve">
ИП Федосеева Аутсорс по Вн-218428 профит 39 832,79 руб.</t>
        </r>
      </text>
    </comment>
    <comment ref="B23" authorId="0" shapeId="0" xr:uid="{F1FB80BD-3D27-4175-AFF1-2FCEE7DC1B85}">
      <text>
        <r>
          <rPr>
            <b/>
            <sz val="9"/>
            <color indexed="81"/>
            <rFont val="Tahoma"/>
            <family val="2"/>
            <charset val="204"/>
          </rPr>
          <t xml:space="preserve">Автор:
</t>
        </r>
        <r>
          <rPr>
            <sz val="9"/>
            <color indexed="81"/>
            <rFont val="Tahoma"/>
            <family val="2"/>
            <charset val="204"/>
          </rPr>
          <t>ОП
809 113,92 руб
СЦ</t>
        </r>
        <r>
          <rPr>
            <sz val="9"/>
            <color indexed="81"/>
            <rFont val="Tahoma"/>
            <family val="2"/>
            <charset val="204"/>
          </rPr>
          <t xml:space="preserve">
ИП Федосеева Аутсорс по Вн-218428 профит39 832,00 руб.</t>
        </r>
      </text>
    </comment>
    <comment ref="B24" authorId="0" shapeId="0" xr:uid="{6FD60951-126E-4618-A69D-A418D54D1D0D}">
      <text>
        <r>
          <rPr>
            <b/>
            <sz val="9"/>
            <color indexed="81"/>
            <rFont val="Tahoma"/>
            <family val="2"/>
            <charset val="204"/>
          </rPr>
          <t>Автор:</t>
        </r>
        <r>
          <rPr>
            <sz val="9"/>
            <color indexed="81"/>
            <rFont val="Tahoma"/>
            <family val="2"/>
            <charset val="204"/>
          </rPr>
          <t xml:space="preserve">
СЦ
ИП Федосеева Аутсорс по Вн- профит39 832,00 руб.
Касперский (9%?)
Сч-196654  профит  8 558</t>
        </r>
      </text>
    </comment>
    <comment ref="C40" authorId="0" shapeId="0" xr:uid="{07D1AF78-ABDD-4F96-80A1-34003D59E335}">
      <text>
        <r>
          <rPr>
            <b/>
            <sz val="9"/>
            <color indexed="81"/>
            <rFont val="Tahoma"/>
            <family val="2"/>
            <charset val="204"/>
          </rPr>
          <t>Автор:</t>
        </r>
        <r>
          <rPr>
            <sz val="9"/>
            <color indexed="81"/>
            <rFont val="Tahoma"/>
            <family val="2"/>
            <charset val="204"/>
          </rPr>
          <t xml:space="preserve">
% просрочненной дебиторке менее 20% - 1,1 коэф</t>
        </r>
      </text>
    </comment>
    <comment ref="D70" authorId="0" shapeId="0" xr:uid="{0AE0E2EC-9874-4D3A-A59A-8862DC7A4D44}">
      <text>
        <r>
          <rPr>
            <b/>
            <sz val="9"/>
            <color indexed="81"/>
            <rFont val="Tahoma"/>
            <family val="2"/>
            <charset val="204"/>
          </rPr>
          <t xml:space="preserve">Автор:
</t>
        </r>
        <r>
          <rPr>
            <sz val="9"/>
            <color indexed="81"/>
            <rFont val="Tahoma"/>
            <family val="2"/>
            <charset val="204"/>
          </rPr>
          <t xml:space="preserve">Текучка - 50 тыс. руб.
ИП Федосеева - Аутсорс СЦ - 39 тыс. руб.
</t>
        </r>
      </text>
    </comment>
    <comment ref="E70" authorId="0" shapeId="0" xr:uid="{339EFA4C-59EE-4D03-BA06-D7562D8B40B7}">
      <text>
        <r>
          <rPr>
            <b/>
            <sz val="9"/>
            <color indexed="81"/>
            <rFont val="Tahoma"/>
            <family val="2"/>
            <charset val="204"/>
          </rPr>
          <t xml:space="preserve">Автор:
</t>
        </r>
        <r>
          <rPr>
            <sz val="9"/>
            <color indexed="81"/>
            <rFont val="Tahoma"/>
            <family val="2"/>
            <charset val="204"/>
          </rPr>
          <t>Омега 3 - планшеты - 30 тыс. руб.</t>
        </r>
      </text>
    </comment>
    <comment ref="F70" authorId="0" shapeId="0" xr:uid="{3AF11795-0E0C-4CAB-B97E-A2B35468C1C5}">
      <text>
        <r>
          <rPr>
            <b/>
            <sz val="9"/>
            <color indexed="81"/>
            <rFont val="Tahoma"/>
            <family val="2"/>
            <charset val="204"/>
          </rPr>
          <t xml:space="preserve">Автор:
</t>
        </r>
      </text>
    </comment>
    <comment ref="E73" authorId="0" shapeId="0" xr:uid="{0D056FD8-9F13-4E25-A69C-5BCC0BD41899}">
      <text>
        <r>
          <rPr>
            <b/>
            <sz val="9"/>
            <color indexed="81"/>
            <rFont val="Tahoma"/>
            <family val="2"/>
            <charset val="204"/>
          </rPr>
          <t>Автор:</t>
        </r>
        <r>
          <rPr>
            <sz val="9"/>
            <color indexed="81"/>
            <rFont val="Tahoma"/>
            <family val="2"/>
            <charset val="204"/>
          </rPr>
          <t xml:space="preserve">
МФЦ Ярославской области - терминалы - 380 тыс. руб.
ТТК Иваново - телефония расходники - 250 тыс. руб.
Текучка - 50 тыс. руб.
ИП Федосеева - Аутсорс СЦ - 39 тыс. руб.
Полимер Экспорт - DLP - 20 тыс. руб.
МФЦ Ярославской области - телевизоры - 10 тыс. руб.</t>
        </r>
      </text>
    </comment>
    <comment ref="F73" authorId="0" shapeId="0" xr:uid="{901A9974-9FDF-4DA3-927C-3DFF026F3A7A}">
      <text>
        <r>
          <rPr>
            <b/>
            <sz val="9"/>
            <color indexed="81"/>
            <rFont val="Tahoma"/>
            <family val="2"/>
            <charset val="204"/>
          </rPr>
          <t>Автор:</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B22" authorId="0" shapeId="0" xr:uid="{2F80757F-6A18-4F95-B69F-7B01964A8719}">
      <text>
        <r>
          <rPr>
            <b/>
            <sz val="9"/>
            <color indexed="81"/>
            <rFont val="Tahoma"/>
            <family val="2"/>
            <charset val="204"/>
          </rPr>
          <t>Автор:</t>
        </r>
        <r>
          <rPr>
            <sz val="9"/>
            <color indexed="81"/>
            <rFont val="Tahoma"/>
            <family val="2"/>
            <charset val="204"/>
          </rPr>
          <t xml:space="preserve">
ИП Федосеева Аутсорс по Вн-218428 профит 39 832,79 руб.</t>
        </r>
      </text>
    </comment>
    <comment ref="B23" authorId="0" shapeId="0" xr:uid="{7AD05C2F-B634-4D45-B0EB-AAD52DBEC914}">
      <text>
        <r>
          <rPr>
            <b/>
            <sz val="9"/>
            <color indexed="81"/>
            <rFont val="Tahoma"/>
            <family val="2"/>
            <charset val="204"/>
          </rPr>
          <t xml:space="preserve">Автор:
</t>
        </r>
        <r>
          <rPr>
            <sz val="9"/>
            <color indexed="81"/>
            <rFont val="Tahoma"/>
            <family val="2"/>
            <charset val="204"/>
          </rPr>
          <t>ОП
809 113,92 руб
СЦ</t>
        </r>
        <r>
          <rPr>
            <sz val="9"/>
            <color indexed="81"/>
            <rFont val="Tahoma"/>
            <family val="2"/>
            <charset val="204"/>
          </rPr>
          <t xml:space="preserve">
ИП Федосеева Аутсорс по Вн-218428 профит39 832,00 руб.</t>
        </r>
      </text>
    </comment>
    <comment ref="B24" authorId="0" shapeId="0" xr:uid="{F2DF7CDA-DA33-4DFE-8A2E-E8E9AFFB471C}">
      <text>
        <r>
          <rPr>
            <b/>
            <sz val="9"/>
            <color indexed="81"/>
            <rFont val="Tahoma"/>
            <family val="2"/>
            <charset val="204"/>
          </rPr>
          <t>Автор:</t>
        </r>
        <r>
          <rPr>
            <sz val="9"/>
            <color indexed="81"/>
            <rFont val="Tahoma"/>
            <family val="2"/>
            <charset val="204"/>
          </rPr>
          <t xml:space="preserve">
СЦ
ИП Федосеева Аутсорс по Вн- профит39 832,00 руб.
Касперский (9%?)
Сч-196654  профит  8 558</t>
        </r>
      </text>
    </comment>
    <comment ref="B25" authorId="0" shapeId="0" xr:uid="{5CB6918B-CF80-47F0-ABB6-992F9179D742}">
      <text>
        <r>
          <rPr>
            <b/>
            <sz val="9"/>
            <color indexed="81"/>
            <rFont val="Tahoma"/>
            <family val="2"/>
            <charset val="204"/>
          </rPr>
          <t>Автор:</t>
        </r>
        <r>
          <rPr>
            <sz val="9"/>
            <color indexed="81"/>
            <rFont val="Tahoma"/>
            <family val="2"/>
            <charset val="204"/>
          </rPr>
          <t xml:space="preserve">
СЦ
ИП Федосеева Аутсорс по Вн-221604 профит39 832,00 руб.</t>
        </r>
      </text>
    </comment>
    <comment ref="C40" authorId="0" shapeId="0" xr:uid="{78C77C20-ECB8-428D-900F-3C4C04CE3BB4}">
      <text>
        <r>
          <rPr>
            <b/>
            <sz val="9"/>
            <color indexed="81"/>
            <rFont val="Tahoma"/>
            <family val="2"/>
            <charset val="204"/>
          </rPr>
          <t>Автор:</t>
        </r>
        <r>
          <rPr>
            <sz val="9"/>
            <color indexed="81"/>
            <rFont val="Tahoma"/>
            <family val="2"/>
            <charset val="204"/>
          </rPr>
          <t xml:space="preserve">
% просрочненной дебиторке менее 20% - 1,1 коэф</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B22" authorId="0" shapeId="0" xr:uid="{52703F88-8000-4EAA-825F-B8ADB70AA995}">
      <text>
        <r>
          <rPr>
            <b/>
            <sz val="9"/>
            <color indexed="81"/>
            <rFont val="Tahoma"/>
            <family val="2"/>
            <charset val="204"/>
          </rPr>
          <t>Автор:</t>
        </r>
        <r>
          <rPr>
            <sz val="9"/>
            <color indexed="81"/>
            <rFont val="Tahoma"/>
            <family val="2"/>
            <charset val="204"/>
          </rPr>
          <t xml:space="preserve">
ИП Федосеева Аутсорс по Вн-218428 профит 39 832,79 руб.</t>
        </r>
      </text>
    </comment>
    <comment ref="B23" authorId="0" shapeId="0" xr:uid="{C92E478D-A3BB-4449-A606-CE8AEDC4C623}">
      <text>
        <r>
          <rPr>
            <b/>
            <sz val="9"/>
            <color indexed="81"/>
            <rFont val="Tahoma"/>
            <family val="2"/>
            <charset val="204"/>
          </rPr>
          <t xml:space="preserve">Автор:
</t>
        </r>
        <r>
          <rPr>
            <sz val="9"/>
            <color indexed="81"/>
            <rFont val="Tahoma"/>
            <family val="2"/>
            <charset val="204"/>
          </rPr>
          <t>ОП
809 113,92 руб
СЦ</t>
        </r>
        <r>
          <rPr>
            <sz val="9"/>
            <color indexed="81"/>
            <rFont val="Tahoma"/>
            <family val="2"/>
            <charset val="204"/>
          </rPr>
          <t xml:space="preserve">
ИП Федосеева Аутсорс по Вн-218428 профит39 832,00 руб.</t>
        </r>
      </text>
    </comment>
    <comment ref="B24" authorId="0" shapeId="0" xr:uid="{45483637-74DC-4F99-8648-8F97B1EA4955}">
      <text>
        <r>
          <rPr>
            <b/>
            <sz val="9"/>
            <color indexed="81"/>
            <rFont val="Tahoma"/>
            <family val="2"/>
            <charset val="204"/>
          </rPr>
          <t>Автор:</t>
        </r>
        <r>
          <rPr>
            <sz val="9"/>
            <color indexed="81"/>
            <rFont val="Tahoma"/>
            <family val="2"/>
            <charset val="204"/>
          </rPr>
          <t xml:space="preserve">
СЦ
ИП Федосеева Аутсорс по Вн- профит39 832,00 руб.
Касперский (9%?)
Сч-196654  профит  8 558</t>
        </r>
      </text>
    </comment>
    <comment ref="C40" authorId="0" shapeId="0" xr:uid="{9946ABC6-6AE7-4FA8-8126-E20897994406}">
      <text>
        <r>
          <rPr>
            <b/>
            <sz val="9"/>
            <color indexed="81"/>
            <rFont val="Tahoma"/>
            <family val="2"/>
            <charset val="204"/>
          </rPr>
          <t>Автор:</t>
        </r>
        <r>
          <rPr>
            <sz val="9"/>
            <color indexed="81"/>
            <rFont val="Tahoma"/>
            <family val="2"/>
            <charset val="204"/>
          </rPr>
          <t xml:space="preserve">
% просрочненной дебиторке менее 20% - 1,1 коэф</t>
        </r>
      </text>
    </comment>
    <comment ref="D70" authorId="0" shapeId="0" xr:uid="{6006912E-4AAF-4727-9616-730C23E30753}">
      <text>
        <r>
          <rPr>
            <b/>
            <sz val="9"/>
            <color indexed="81"/>
            <rFont val="Tahoma"/>
            <family val="2"/>
            <charset val="204"/>
          </rPr>
          <t xml:space="preserve">Автор:
</t>
        </r>
        <r>
          <rPr>
            <sz val="9"/>
            <color indexed="81"/>
            <rFont val="Tahoma"/>
            <family val="2"/>
            <charset val="204"/>
          </rPr>
          <t>МФЦ Ярославской области  - принтеры - 258 тыс. руб.</t>
        </r>
        <r>
          <rPr>
            <b/>
            <sz val="9"/>
            <color indexed="81"/>
            <rFont val="Tahoma"/>
            <family val="2"/>
            <charset val="204"/>
          </rPr>
          <t xml:space="preserve">
</t>
        </r>
        <r>
          <rPr>
            <sz val="9"/>
            <color indexed="81"/>
            <rFont val="Tahoma"/>
            <family val="2"/>
            <charset val="204"/>
          </rPr>
          <t xml:space="preserve">НИИК - камеры регистраторы - 129 тыс. руб.
Текучка - 50 тыс. руб.
ИП Федосеева - Аутсорс СЦ - 39 тыс. руб.
Комитас - мини ПК - 35 тыс. руб.
</t>
        </r>
      </text>
    </comment>
    <comment ref="E70" authorId="0" shapeId="0" xr:uid="{4967482A-4783-4819-B7DC-861C767D9169}">
      <text>
        <r>
          <rPr>
            <b/>
            <sz val="9"/>
            <color indexed="81"/>
            <rFont val="Tahoma"/>
            <family val="2"/>
            <charset val="204"/>
          </rPr>
          <t xml:space="preserve">Автор:
</t>
        </r>
        <r>
          <rPr>
            <sz val="9"/>
            <color indexed="81"/>
            <rFont val="Tahoma"/>
            <family val="2"/>
            <charset val="204"/>
          </rPr>
          <t xml:space="preserve">ЦКБ по СПК им. Р.Е. Алексеева - телефония - 16 тыс. руб.
Ультрастаб - касперский - 14 тыс  .руб.
</t>
        </r>
      </text>
    </comment>
    <comment ref="F70" authorId="0" shapeId="0" xr:uid="{D75CAC9F-1783-4C5B-928E-180F8B30A0CF}">
      <text>
        <r>
          <rPr>
            <b/>
            <sz val="9"/>
            <color indexed="81"/>
            <rFont val="Tahoma"/>
            <family val="2"/>
            <charset val="204"/>
          </rPr>
          <t xml:space="preserve">Автор:
</t>
        </r>
        <r>
          <rPr>
            <sz val="9"/>
            <color indexed="81"/>
            <rFont val="Tahoma"/>
            <family val="2"/>
            <charset val="204"/>
          </rPr>
          <t>Родниковский комплексный центр соц.обслуживания населения - ПК и МФУ - 30 тыс. руб.
СПЕЦПЕТРОСЕРВИС - диски - 137 тыс. руб.</t>
        </r>
      </text>
    </comment>
    <comment ref="E73" authorId="0" shapeId="0" xr:uid="{7056FDD1-FF18-42AB-9767-636AF470A8AF}">
      <text>
        <r>
          <rPr>
            <b/>
            <sz val="9"/>
            <color indexed="81"/>
            <rFont val="Tahoma"/>
            <family val="2"/>
            <charset val="204"/>
          </rPr>
          <t>Автор:</t>
        </r>
        <r>
          <rPr>
            <sz val="9"/>
            <color indexed="81"/>
            <rFont val="Tahoma"/>
            <family val="2"/>
            <charset val="204"/>
          </rPr>
          <t xml:space="preserve">
МФЦ Ярославской области - терминалы - 380 тыс. руб.
ТТК Иваново - телефония расходники - 250 тыс. руб.
ИП Федосеева - Аутсорс СЦ - 39 тыс. руб.
</t>
        </r>
      </text>
    </comment>
    <comment ref="F73" authorId="0" shapeId="0" xr:uid="{5A21ABB3-3300-4A32-9B18-5AD9D9B65E2D}">
      <text>
        <r>
          <rPr>
            <b/>
            <sz val="9"/>
            <color indexed="81"/>
            <rFont val="Tahoma"/>
            <family val="2"/>
            <charset val="204"/>
          </rPr>
          <t xml:space="preserve">Автор:
</t>
        </r>
        <r>
          <rPr>
            <sz val="9"/>
            <color indexed="81"/>
            <rFont val="Tahoma"/>
            <family val="2"/>
            <charset val="204"/>
          </rPr>
          <t>Костромская ПБСТИН - МФУ А3 - 50 тыс. руб.</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B23" authorId="0" shapeId="0" xr:uid="{052FBED0-9C0B-474B-A497-D19CC4D5B620}">
      <text>
        <r>
          <rPr>
            <b/>
            <sz val="9"/>
            <color indexed="81"/>
            <rFont val="Tahoma"/>
            <family val="2"/>
            <charset val="204"/>
          </rPr>
          <t>Автор:</t>
        </r>
        <r>
          <rPr>
            <sz val="9"/>
            <color indexed="81"/>
            <rFont val="Tahoma"/>
            <family val="2"/>
            <charset val="204"/>
          </rPr>
          <t xml:space="preserve">
По Вн-198285 профит31 333 руб.
</t>
        </r>
      </text>
    </comment>
    <comment ref="B24" authorId="0" shapeId="0" xr:uid="{48046774-6C88-4745-A3D9-1F5C61F67BBD}">
      <text>
        <r>
          <rPr>
            <b/>
            <sz val="9"/>
            <color indexed="81"/>
            <rFont val="Tahoma"/>
            <family val="2"/>
            <charset val="204"/>
          </rPr>
          <t>Автор:</t>
        </r>
        <r>
          <rPr>
            <sz val="9"/>
            <color indexed="81"/>
            <rFont val="Tahoma"/>
            <family val="2"/>
            <charset val="204"/>
          </rPr>
          <t xml:space="preserve">
Автор:
Аутсорс по Вн-199955 профит 39 833,33 руб.
Касперский по Вн-199338 профит 4 245,75 руб.
Итого 45 000 руб.</t>
        </r>
      </text>
    </comment>
    <comment ref="B25" authorId="0" shapeId="0" xr:uid="{C7982CFC-2546-4D12-8769-CABEC0041C13}">
      <text>
        <r>
          <rPr>
            <b/>
            <sz val="9"/>
            <color indexed="81"/>
            <rFont val="Tahoma"/>
            <family val="2"/>
            <charset val="204"/>
          </rPr>
          <t>Автор:</t>
        </r>
        <r>
          <rPr>
            <sz val="9"/>
            <color indexed="81"/>
            <rFont val="Tahoma"/>
            <family val="2"/>
            <charset val="204"/>
          </rPr>
          <t xml:space="preserve">
ИП ФедосееваАутсорс по Вн-199955 профит 39 833,33 руб.
Чистота производстваКасперский по Вн-199338 профит 3 767,85 руб.
Мачт проект Аутсорс по ВН- профит 15 916 руб.
Итого 60 000 руб.</t>
        </r>
      </text>
    </comment>
    <comment ref="B27" authorId="0" shapeId="0" xr:uid="{93706653-A5E7-4BFF-8C7D-4233C704E844}">
      <text>
        <r>
          <rPr>
            <b/>
            <sz val="9"/>
            <color indexed="81"/>
            <rFont val="Tahoma"/>
            <family val="2"/>
            <charset val="204"/>
          </rPr>
          <t>Автор:</t>
        </r>
        <r>
          <rPr>
            <sz val="9"/>
            <color indexed="81"/>
            <rFont val="Tahoma"/>
            <family val="2"/>
            <charset val="204"/>
          </rPr>
          <t xml:space="preserve">
Аутсорс по Вн-205302 профит 39 833,33 руб.</t>
        </r>
      </text>
    </comment>
    <comment ref="B28" authorId="0" shapeId="0" xr:uid="{A73C9A61-E470-48A0-97A8-819AFFE89207}">
      <text>
        <r>
          <rPr>
            <b/>
            <sz val="11"/>
            <color indexed="81"/>
            <rFont val="Tahoma"/>
            <family val="2"/>
            <charset val="204"/>
          </rPr>
          <t>Автор:</t>
        </r>
        <r>
          <rPr>
            <sz val="11"/>
            <color indexed="81"/>
            <rFont val="Tahoma"/>
            <family val="2"/>
            <charset val="204"/>
          </rPr>
          <t xml:space="preserve">
ИП Федосеева Аутсорс по Вн-207736 профит 39 833,33 руб.
Мачт проект Аутсорс по Вн-206334 профит 21 600 руб. </t>
        </r>
      </text>
    </comment>
    <comment ref="B29" authorId="0" shapeId="0" xr:uid="{3F2FB2CB-0701-47C1-8AA4-A00DEE36BC93}">
      <text>
        <r>
          <rPr>
            <b/>
            <sz val="9"/>
            <color indexed="81"/>
            <rFont val="Tahoma"/>
            <family val="2"/>
            <charset val="204"/>
          </rPr>
          <t>Автор:</t>
        </r>
        <r>
          <rPr>
            <sz val="9"/>
            <color indexed="81"/>
            <rFont val="Tahoma"/>
            <family val="2"/>
            <charset val="204"/>
          </rPr>
          <t xml:space="preserve">
ИП Федосеева Аутсорс по Вн-209695 профит 39 833,33 руб.</t>
        </r>
      </text>
    </comment>
    <comment ref="B31" authorId="0" shapeId="0" xr:uid="{108EDCD2-F01B-44FF-A5E3-C6AC31E7E533}">
      <text>
        <r>
          <rPr>
            <b/>
            <sz val="9"/>
            <color indexed="81"/>
            <rFont val="Tahoma"/>
            <family val="2"/>
            <charset val="204"/>
          </rPr>
          <t>Автор:</t>
        </r>
        <r>
          <rPr>
            <sz val="9"/>
            <color indexed="81"/>
            <rFont val="Tahoma"/>
            <family val="2"/>
            <charset val="204"/>
          </rPr>
          <t xml:space="preserve">
ИП Федосеева Аутсорс по Вн-213433 профит 39 832,79 руб.</t>
        </r>
      </text>
    </comment>
    <comment ref="B33" authorId="0" shapeId="0" xr:uid="{4588C3A3-92AF-4CD9-8AD1-70F93C365B61}">
      <text>
        <r>
          <rPr>
            <b/>
            <sz val="9"/>
            <color indexed="81"/>
            <rFont val="Tahoma"/>
            <family val="2"/>
            <charset val="204"/>
          </rPr>
          <t>Автор:</t>
        </r>
        <r>
          <rPr>
            <sz val="9"/>
            <color indexed="81"/>
            <rFont val="Tahoma"/>
            <family val="2"/>
            <charset val="204"/>
          </rPr>
          <t xml:space="preserve">
ИП Федосеева Аутсорс по Вн-216576 профит 39 832 руб.</t>
        </r>
      </text>
    </comment>
    <comment ref="C40" authorId="0" shapeId="0" xr:uid="{2B899BAD-2FEE-4332-9756-78E2C545DD6C}">
      <text>
        <r>
          <rPr>
            <b/>
            <sz val="9"/>
            <color indexed="81"/>
            <rFont val="Tahoma"/>
            <family val="2"/>
            <charset val="204"/>
          </rPr>
          <t>Автор:</t>
        </r>
        <r>
          <rPr>
            <sz val="9"/>
            <color indexed="81"/>
            <rFont val="Tahoma"/>
            <family val="2"/>
            <charset val="204"/>
          </rPr>
          <t xml:space="preserve">
2 месяца выше 150к - 7% 
% просрочненной дебиторке менее 20% - 1,1 коэф</t>
        </r>
      </text>
    </comment>
    <comment ref="C69" authorId="0" shapeId="0" xr:uid="{D55A8D94-E421-47C2-83BB-BAFE3D826510}">
      <text>
        <r>
          <rPr>
            <b/>
            <sz val="11"/>
            <color indexed="81"/>
            <rFont val="Tahoma"/>
            <family val="2"/>
            <charset val="204"/>
          </rPr>
          <t>Автор:</t>
        </r>
      </text>
    </comment>
    <comment ref="D69" authorId="0" shapeId="0" xr:uid="{5BA8BE2E-AEAC-430F-9DC3-649BD071D560}">
      <text>
        <r>
          <rPr>
            <b/>
            <sz val="9"/>
            <color indexed="81"/>
            <rFont val="Tahoma"/>
            <family val="2"/>
            <charset val="204"/>
          </rPr>
          <t>Автор:</t>
        </r>
        <r>
          <rPr>
            <sz val="9"/>
            <color indexed="81"/>
            <rFont val="Tahoma"/>
            <family val="2"/>
            <charset val="204"/>
          </rPr>
          <t xml:space="preserve">
ИП Федосеева - Аутсорс СЦ - 39 тыс. руб.</t>
        </r>
      </text>
    </comment>
    <comment ref="E69" authorId="0" shapeId="0" xr:uid="{3C26EB39-73FD-457A-B0E2-A2078C86645C}">
      <text>
        <r>
          <rPr>
            <b/>
            <sz val="9"/>
            <color indexed="81"/>
            <rFont val="Tahoma"/>
            <family val="2"/>
            <charset val="204"/>
          </rPr>
          <t>Автор:</t>
        </r>
        <r>
          <rPr>
            <sz val="9"/>
            <color indexed="81"/>
            <rFont val="Tahoma"/>
            <family val="2"/>
            <charset val="204"/>
          </rPr>
          <t xml:space="preserve">
Альфа-строй - сервер - 46 тыс. руб.
Костромской Лён - Касперский - 18 тыс. руб.
Экомера - IT аутсорс - 10 тыс. руб.
Альфа-строй - точки доступа - 4 тыс. руб.
Альфа-строй - сервер - 
</t>
        </r>
      </text>
    </comment>
    <comment ref="F69" authorId="0" shapeId="0" xr:uid="{40119A1C-1460-4013-BA73-8E60760A8DAE}">
      <text>
        <r>
          <rPr>
            <b/>
            <sz val="9"/>
            <color indexed="81"/>
            <rFont val="Tahoma"/>
            <family val="2"/>
            <charset val="204"/>
          </rPr>
          <t>Автор:</t>
        </r>
        <r>
          <rPr>
            <sz val="9"/>
            <color indexed="81"/>
            <rFont val="Tahoma"/>
            <family val="2"/>
            <charset val="204"/>
          </rPr>
          <t xml:space="preserve">
Снабцентр - СКС - 500 тыс. руб.
Константа Юридическое Бюро - Оборудование для IA- 63 тыс. руб.
Полимерсбыт - сервер - 50 тыс. руб.
ИП Казанцев - ПК - 3 тыс. руб.
308 АРЗ - МФУ - 11 тыс. руб.
Полимер Экспорт - DLP - 20 тыс. руб.
Авангард Смоленск - Асмограф - 40 тыс. руб.</t>
        </r>
      </text>
    </comment>
    <comment ref="E72" authorId="0" shapeId="0" xr:uid="{41C07580-51BD-4B4B-9991-2FDCC24FBAD0}">
      <text>
        <r>
          <rPr>
            <b/>
            <sz val="9"/>
            <color indexed="81"/>
            <rFont val="Tahoma"/>
            <family val="2"/>
            <charset val="204"/>
          </rPr>
          <t>Автор:</t>
        </r>
        <r>
          <rPr>
            <sz val="9"/>
            <color indexed="81"/>
            <rFont val="Tahoma"/>
            <family val="2"/>
            <charset val="204"/>
          </rPr>
          <t xml:space="preserve">
ИП Федосеева - Аутсорс СЦ - 39 тыс. руб.</t>
        </r>
      </text>
    </comment>
    <comment ref="F72" authorId="0" shapeId="0" xr:uid="{126C99AC-3BC4-4AAA-9E51-BD4BEA61FD61}">
      <text>
        <r>
          <rPr>
            <b/>
            <sz val="9"/>
            <color indexed="81"/>
            <rFont val="Tahoma"/>
            <family val="2"/>
            <charset val="204"/>
          </rPr>
          <t>Автор:</t>
        </r>
        <r>
          <rPr>
            <sz val="9"/>
            <color indexed="81"/>
            <rFont val="Tahoma"/>
            <family val="2"/>
            <charset val="204"/>
          </rPr>
          <t xml:space="preserve">
Древо - СВН - 113 тыс. руб.
УЗТПА - 1С лицензии -  19 тыс. руб.</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5DC923-2E0B-4823-8E8F-63B32B7DD518}" keepAlive="1" name="Запрос — Таблица1633465973871011151221341461581701902238547086102118134150166182254157738" description="Соединение с запросом &quot;Таблица1633465973871011151221341461581701902238547086102118134150166182254157738&quot; в книге." type="5" refreshedVersion="8" background="1" saveData="1">
    <dbPr connection="Provider=Microsoft.Mashup.OleDb.1;Data Source=$Workbook$;Location=Таблица1633465973871011151221341461581701902238547086102118134150166182254157738;Extended Properties=&quot;&quot;" command="SELECT * FROM [Таблица1633465973871011151221341461581701902238547086102118134150166182254157738]"/>
  </connection>
</connections>
</file>

<file path=xl/sharedStrings.xml><?xml version="1.0" encoding="utf-8"?>
<sst xmlns="http://schemas.openxmlformats.org/spreadsheetml/2006/main" count="9803" uniqueCount="2546">
  <si>
    <t>1. Финансы</t>
  </si>
  <si>
    <t xml:space="preserve"> </t>
  </si>
  <si>
    <t xml:space="preserve">  </t>
  </si>
  <si>
    <t>1.1. Выполнение плана продаж</t>
  </si>
  <si>
    <t>Менеджер</t>
  </si>
  <si>
    <t>План, руб.</t>
  </si>
  <si>
    <t>Факт, руб.</t>
  </si>
  <si>
    <t>Отклонение, %</t>
  </si>
  <si>
    <t>Отклонение, РУБ</t>
  </si>
  <si>
    <t>Столбец1</t>
  </si>
  <si>
    <t>Предыд месяц</t>
  </si>
  <si>
    <t>1.2. Выполнение плана продаж с НАЧАЛА ФГ апрель-апрель</t>
  </si>
  <si>
    <t>План с НАЧАЛА ФГ, руб.</t>
  </si>
  <si>
    <t>Факт с НАЧАЛА ФГ, руб.</t>
  </si>
  <si>
    <t>1.3. Динамика продаж год к году 2021/2022/2023 (апрель-апрель)</t>
  </si>
  <si>
    <t>Профит ФГ 22-23</t>
  </si>
  <si>
    <t>Профит ФГ 23-24</t>
  </si>
  <si>
    <t xml:space="preserve">Рост накопительно, % </t>
  </si>
  <si>
    <t>1.4. Динамика Профита с начала ФГ по анализируемый месяц</t>
  </si>
  <si>
    <t>Месяц</t>
  </si>
  <si>
    <t>Профит</t>
  </si>
  <si>
    <t>План</t>
  </si>
  <si>
    <t>Выполнение</t>
  </si>
  <si>
    <t>апрель</t>
  </si>
  <si>
    <t>-</t>
  </si>
  <si>
    <t>май</t>
  </si>
  <si>
    <t>июнь</t>
  </si>
  <si>
    <t>июль</t>
  </si>
  <si>
    <t>август</t>
  </si>
  <si>
    <t>сентябрь</t>
  </si>
  <si>
    <t>октябрь</t>
  </si>
  <si>
    <t>ноябрь</t>
  </si>
  <si>
    <t>декабрь</t>
  </si>
  <si>
    <t>январь</t>
  </si>
  <si>
    <t>февраль</t>
  </si>
  <si>
    <t>март</t>
  </si>
  <si>
    <t>Итого</t>
  </si>
  <si>
    <t>Среднее</t>
  </si>
  <si>
    <t>1.6. Просчет ЗП за анализируемый месяц</t>
  </si>
  <si>
    <t>Факт</t>
  </si>
  <si>
    <t>Оклад</t>
  </si>
  <si>
    <t>Премия</t>
  </si>
  <si>
    <t>Доплата за Задачи</t>
  </si>
  <si>
    <t>Штрафы</t>
  </si>
  <si>
    <t>Итого:</t>
  </si>
  <si>
    <r>
      <t>1.7. Дебиторская задолженность на последний день анализируемого месяца</t>
    </r>
    <r>
      <rPr>
        <b/>
        <sz val="11"/>
        <rFont val="Calibri"/>
        <family val="2"/>
        <scheme val="minor"/>
      </rPr>
      <t xml:space="preserve"> </t>
    </r>
    <r>
      <rPr>
        <sz val="11"/>
        <rFont val="Calibri"/>
        <family val="2"/>
        <scheme val="minor"/>
      </rPr>
      <t>(ТОП 10 просрочивших)</t>
    </r>
  </si>
  <si>
    <t>Холдинг</t>
  </si>
  <si>
    <t>Сумма просроченного долга</t>
  </si>
  <si>
    <t>Общая сумма долга</t>
  </si>
  <si>
    <t>% просрочки</t>
  </si>
  <si>
    <t xml:space="preserve">Итого: </t>
  </si>
  <si>
    <t>Процент просрочки за месяц</t>
  </si>
  <si>
    <t>1.8. Клиенты с наибольшим Профитом за анализируемый месяц</t>
  </si>
  <si>
    <t>Клиент</t>
  </si>
  <si>
    <t>Оборот</t>
  </si>
  <si>
    <t xml:space="preserve">Профит </t>
  </si>
  <si>
    <t>%</t>
  </si>
  <si>
    <t>Комментарий</t>
  </si>
  <si>
    <t>1.9. Прогноз выполнения плана</t>
  </si>
  <si>
    <t>Уже есть</t>
  </si>
  <si>
    <t>Точно будет</t>
  </si>
  <si>
    <t>Вероятно</t>
  </si>
  <si>
    <t>Маловероятно</t>
  </si>
  <si>
    <t>Взвешенный прогноз</t>
  </si>
  <si>
    <t>% выполнения</t>
  </si>
  <si>
    <t>2. Сделки</t>
  </si>
  <si>
    <t>2.1. Топ 10 сделок в работе (анализируемый + 2 мес. вперёд) без отмен и проигр</t>
  </si>
  <si>
    <t>Номер</t>
  </si>
  <si>
    <t>Проект</t>
  </si>
  <si>
    <t>Краткое описание проекта</t>
  </si>
  <si>
    <t>Дата завершения сделки</t>
  </si>
  <si>
    <t>Сумма, тыс. руб.</t>
  </si>
  <si>
    <t>Статус</t>
  </si>
  <si>
    <t>Коробки</t>
  </si>
  <si>
    <t>2.2. Генерация сделок в анализируемом месяце</t>
  </si>
  <si>
    <t>Сумма</t>
  </si>
  <si>
    <t>3. Активность</t>
  </si>
  <si>
    <t>3.1. Встречи с клиентами</t>
  </si>
  <si>
    <t>Дата</t>
  </si>
  <si>
    <t>Контакт в 1С</t>
  </si>
  <si>
    <t>№ сделки</t>
  </si>
  <si>
    <t>Цель</t>
  </si>
  <si>
    <t>Результат</t>
  </si>
  <si>
    <t>3.2. Звонки клиентам</t>
  </si>
  <si>
    <t>4. Задачи</t>
  </si>
  <si>
    <t>4.1. Задачи на анализируемый месяц (5 самых важных)</t>
  </si>
  <si>
    <t>Необходимый результат</t>
  </si>
  <si>
    <t>Выполнено да/нет</t>
  </si>
  <si>
    <t>Комментарий по выполненной задаче</t>
  </si>
  <si>
    <t>Мотивация</t>
  </si>
  <si>
    <t>К оплате</t>
  </si>
  <si>
    <t>Нет</t>
  </si>
  <si>
    <t>4.2. Задачи на следующий месяц (5 самых важных)</t>
  </si>
  <si>
    <t>Профит ФГ 24-25</t>
  </si>
  <si>
    <t>Мартынов А.А.</t>
  </si>
  <si>
    <t>Анализ деятельности Ноябрь 2024.</t>
  </si>
  <si>
    <t>ООО Полимер Экспорт</t>
  </si>
  <si>
    <t>Смартфоны</t>
  </si>
  <si>
    <t>Прошел обучение по блоку "Продажи" и сдал экзамен на 100 баллов.</t>
  </si>
  <si>
    <t>Матрица активностей за анализируемый месяц выполнена на 100%</t>
  </si>
  <si>
    <t>Оплата 8 000 - 100%</t>
  </si>
  <si>
    <t>НБС (Национальный Банк Сбережений)</t>
  </si>
  <si>
    <t>МФУ</t>
  </si>
  <si>
    <t>СДК-04016</t>
  </si>
  <si>
    <t>Полимер Экспорт ООО</t>
  </si>
  <si>
    <t>Закупка смартфонов для сотрудников</t>
  </si>
  <si>
    <t>Ноябрь 24 г.</t>
  </si>
  <si>
    <t>10 Выигрыш</t>
  </si>
  <si>
    <t>СУП-ДС-250</t>
  </si>
  <si>
    <t>Развитие КБ</t>
  </si>
  <si>
    <t xml:space="preserve">
Оплата 10 200 - 100%
min. 80%</t>
  </si>
  <si>
    <t>9 400
Вилка по таблице</t>
  </si>
  <si>
    <t>Оборот по новым клиентам за Ноябрь составил 
152 857 рублей</t>
  </si>
  <si>
    <t>Оборота по новым клиентам нет</t>
  </si>
  <si>
    <t>Не сдавал</t>
  </si>
  <si>
    <t>СДК-04023</t>
  </si>
  <si>
    <t>НБС (Национальный Банк Сбережений) (М)</t>
  </si>
  <si>
    <t>Покупка МФУ в офис</t>
  </si>
  <si>
    <t>Сис админ Сергей
WORLD CLASS, две организации в холдинге
более 60 пк, 3 сервера, есть системы видеонаблюдения
Закупаются часто, запросы есть, подготовить кп по позициям которые интересны
Закупаются часто, жесткие диски / мониторы
Есть выход на управляющую Екатерину если не получится через сис админа</t>
  </si>
  <si>
    <t>стр. 24</t>
  </si>
  <si>
    <t>ООО "СПОРТИВНЫЙ КОМПЛЕКС"</t>
  </si>
  <si>
    <t>Технический директор Сергей
50пк и 20 принтеров
Последний раз закупались год назад
Ничего не беспокоит, покупают по необходимости.
Предложил ему сравнить цены, но тк последняя закупка годовой давности он не увидел в этом смысла.
Договорились что отправлю ему на почту информационное.</t>
  </si>
  <si>
    <t>ООО " ТРК БАРС "</t>
  </si>
  <si>
    <t>стр. 36</t>
  </si>
  <si>
    <t>ООО "СПЕЦЛАБ"</t>
  </si>
  <si>
    <t>стр. 40</t>
  </si>
  <si>
    <t>Нет айтишника, сами собирают
Компьютеров не много, 6-7 
Имя своё не назвала, сказала позвонить в 16:00, будет человек который сможет на эту тему поговорить
Созвонился, сами собирают компьютеры полностью, ставят туда лицензионную винду OEM.
Взял личный номер сборщика, Артемий Виноградов, 89203608858, пришлю ему цены которые у нас на данный момент - тогда могут заказывать у нас. Понимает что на некоторые позиции цена может быть и не такой выгодной, ситуативно
Отправил коммерческое , связался узнать все ли устраивает и есть ли вопросы.
Сказал что цены у их поставщика интереснее. Попытался узнать на каких условиях сотрудничают и какие цены, мб смогу договориться о скидке с нашим поставщиком.
Не отвечает теперь</t>
  </si>
  <si>
    <t>ООО "Интер"</t>
  </si>
  <si>
    <t>стр. 295</t>
  </si>
  <si>
    <t>Тёплый клиент
Связался с Павлом Николаевичем
Будут покупать сканеры до конца года
интересуют сканеры миндео, на проводе, с com port (только такие рассматривают)
пока что 2-3 штуки
Связаться во вторник с предложением, возможно будет Валерий вместо него, оставить ему предложение
Запрос по ценам на сканеры, беспроводные, можно чтоб было подключение для считываения через com-port</t>
  </si>
  <si>
    <t>ООО "МАЧТ-ПРОЕКТ"</t>
  </si>
  <si>
    <t>"Контактное лицо - Инженер, Шовкун Максим Сергеевич
Офис и производство.
Офис за тц Шоколад
Производство в Ново талицах где-то.
В офисе сидят бухгалтера, финансисты менеджеры. - в районе 10 ПК
На производстве сидят инженеры. в районе 5 ПК
Несколько принтеров лазерных, струйное МФУ для печати А1
Есть так же сервер.
Их проблемы:
1) Удаленное подключение к Any Desk с тормозами, возможно серв не вывозит
2) Сис админ по найму, устраняет проблемы спустя неделю от их появляения
3) Трудности с принтером, постоянно что-то происходит, физического плана проблема
Потенциально можно взять на обслуживание"</t>
  </si>
  <si>
    <t>стр. 301</t>
  </si>
  <si>
    <t>ООО "Квартал"</t>
  </si>
  <si>
    <t>стр. 321</t>
  </si>
  <si>
    <t>"Сис админ Анатолий. Строительная компания. 70 ПК, 37 МФУ, есть широкоформатный плоттер.
Закупает обычно в ситилинке или днс.
Подключают новые рабочие места
Нужен - роутер на 8 портов, 3 управляемых коммутатора 10 гигабитных
1 коммутатор на 12 клиентов (13 слотов)
1 коммутатор на 12 клиентов (13 слотов)
1 коммутатор на 5 клиентов (6 слотов)
Витаая пара уже проброшена
Есть вопрос по приоритизации и делению трафика
Работал клиент в основном с Микротиками
Сроки важны, до 20х чисел необходимо закрыть вопрос
Можно писать звонить для уточнения каких либо моментов в телеграмм и вайбер
Очень актуаьно сроки горят"</t>
  </si>
  <si>
    <t>ООО "СОЮЗ ПРОИЗВОДИТЕЛЕЙ ИГРУШЕК"</t>
  </si>
  <si>
    <t>стр 329</t>
  </si>
  <si>
    <t>Сис админ  Александр за закупки отвечает
Покупают редко, берут в ДНС и Ситилинк
20ПК, принтеры киосера, заправляют в сторонней организации
Приобретают что-либо в основном когда ломается, особо сейчас запросов нет. Отправлю на почту информационное письмо, если будут планироваться покупки, свяжется. Периодически звонить ему!</t>
  </si>
  <si>
    <t>ООО "МОCНЕЙРО"</t>
  </si>
  <si>
    <t>стр. 352</t>
  </si>
  <si>
    <t>Дмитрий отдел закупок
89303531407
Спросил есть при сборке ПК будет ли от РСТ
Сказал закупаются в Ситилинке (задал еще вопросы про поставщиков, Нитлаб, Мерлион).
Отправить информацию про нашу фирму и сертификат который мы предоставляем.
Представитель нейрософта в москве и татарстане.
Продают мед.оборудование, услуги, и т.п.
У самих пара серверов и порядка 30 компов. Не смотря на то что компания москвоская, сидят они в Иваново. 
Антивирем не пользуются. Печатки не много. Пара телевизоров есть.</t>
  </si>
  <si>
    <t>ООО "ПРЕДПРИЯТИЕ РЕТЕКС"</t>
  </si>
  <si>
    <t>"Сис админ уже ушел, позвонить на следующей неделе
Системный адмнистратор Дмитрий
40 компьютеров, несколько лазерных принтеров, один принтер для цветной печати.
В основной ч/б печатают.
Приобретают в ДНС/Ситилинке всё
Есть сервер, но сис админ туда не лезет, вызывают удаленного специалиста.
С сервером проблем особо не бывает , почти не вызывают этого спеца.
Договорились что отправлю информационное письмо, они в ответ пришлю цены по которым покупали последний раз.
Адекватные)"</t>
  </si>
  <si>
    <t>стр. 363</t>
  </si>
  <si>
    <t>стр. 13</t>
  </si>
  <si>
    <t>стр. 6</t>
  </si>
  <si>
    <t>ООО "ЮБ "КОНСТАНТА"</t>
  </si>
  <si>
    <t>Дозвонился по 26 76 76
It специалист по найму, закупки согласовывает Руководитель.
Несколько организаций, компьютеры и принтеры не обновлялись вечность.
В организацию до которой дозвонился - 10 рабочих мест.
Принтер у сотрудника с кем связался струйный, в основном печатают черно - белое. Марка принтера Kyocepa 2040.
Договорился связаться, мб предложить принтер лучше</t>
  </si>
  <si>
    <t>стр. 57</t>
  </si>
  <si>
    <t>Компания маленькая сказали
20  компьютеров
Покупают только когда что-то ломается
Отправить на ватсап информацию об организации
89050581120</t>
  </si>
  <si>
    <t>ООО "ХОТ СТОРИ"</t>
  </si>
  <si>
    <t>ООО "ОПТИКОР"</t>
  </si>
  <si>
    <t>стр. 63</t>
  </si>
  <si>
    <t>"Маленькая организация, 6 компьютеров.
Заправляют на месте принтеры*
Сис админ приходящий
Закупаются очень редко
Запросов нет, отправить информационное можно"</t>
  </si>
  <si>
    <t>ООО "ЭТАЛОН СТРОЙ"</t>
  </si>
  <si>
    <t>стр. 83</t>
  </si>
  <si>
    <t>"Маленькая компания
3 компьютера
2 принтера и 1 мфу
Айтишник приходит когда что то надо, картриджи покупают в ДНС.
Отправлю информационное письмо"</t>
  </si>
  <si>
    <t>стр. 328</t>
  </si>
  <si>
    <t>ООО "ИВТЕНТ-СЕРВИС"</t>
  </si>
  <si>
    <t>Да</t>
  </si>
  <si>
    <t>Дозвонился по номеру 84932338903
it специалиста нет, компания маленькая, 2 рабочих места, ничего не требуется
Отправить информацию о нашей компании
Почта tent2004@mail.ru</t>
  </si>
  <si>
    <t>стр. 26</t>
  </si>
  <si>
    <r>
      <t>Фактическое выполнение 93</t>
    </r>
    <r>
      <rPr>
        <sz val="10"/>
        <rFont val="Calibri"/>
        <family val="2"/>
        <charset val="204"/>
        <scheme val="minor"/>
      </rPr>
      <t>%</t>
    </r>
  </si>
  <si>
    <t>СДК-04074</t>
  </si>
  <si>
    <t>ИП Филатов Владимир Анатольевич</t>
  </si>
  <si>
    <t>Монитор для видеонаблюдения</t>
  </si>
  <si>
    <t>Декабрь 24 г.</t>
  </si>
  <si>
    <t>05 Получаем бюджет и одобрение руководства</t>
  </si>
  <si>
    <t>СДК-04072</t>
  </si>
  <si>
    <t>ООО Квартал</t>
  </si>
  <si>
    <t>Коммутаторы и маршрутизаторы</t>
  </si>
  <si>
    <t>Фактическое выполнение 90%</t>
  </si>
  <si>
    <t xml:space="preserve">
Оплата 11 520 - 100%
min. 80%</t>
  </si>
  <si>
    <t>Оплата 5000 - 100%</t>
  </si>
  <si>
    <t>Анализ деятельности Декабрь 2024.</t>
  </si>
  <si>
    <t xml:space="preserve">
Оплата 17280 - 100%
min. 80%</t>
  </si>
  <si>
    <t>Мартынов</t>
  </si>
  <si>
    <t>Периферия/мониторы/кабели</t>
  </si>
  <si>
    <t>Прошел обучение по блоку "1С" и сдал экзамен на 100 баллов.</t>
  </si>
  <si>
    <t>Ноутбук</t>
  </si>
  <si>
    <t>ООО "Мачт проект"</t>
  </si>
  <si>
    <t>КНТ-86386</t>
  </si>
  <si>
    <t>СДК-04212</t>
  </si>
  <si>
    <t>ПО</t>
  </si>
  <si>
    <t>Мониторы, периферия</t>
  </si>
  <si>
    <t>ООО "ИГРУШКА"</t>
  </si>
  <si>
    <t>стр. 131</t>
  </si>
  <si>
    <t>4 пк и принтер
если закупаются, то это нужно как правило "вчера"
itшника нету
на будущее рассматривать не хочет нас</t>
  </si>
  <si>
    <t>ООО "ФАРМАЦИЯ" ФРУНЗЕНСКОГО РАЙОНА Г.ИВАНОВО</t>
  </si>
  <si>
    <t>стр. 158</t>
  </si>
  <si>
    <t>"8 (4932) 41-76-29
Аптека
Общался с бухгалтерией
15 компьютеров и 5 принтеров
Системного администратора нет, всем занимаются сами сотрудники
Ищет и закупает всё бухгалтерия
На данный момент запросов нет, на будущее могут рассмотреть
Договорились отправить информационное письмо, созвониться через пару дней"</t>
  </si>
  <si>
    <t>ООО "Т К "ИВАНОВСКАЯ ФАБРИКА ИГРУШКИ"</t>
  </si>
  <si>
    <t>"Директор Дмитрий Юрьевич
Небольшое производство
За всё отвечает директор
Есть несколько камер и чуть оборудования
Позвонить впервой половине дня+
Созвонились
Фирма ""не развивается"" и не планируют расшираться, покупают в ситилинке по необходимости, ответственный за закупки Директор. Закупки раз в год в лучшем случае и то если что-то ломается. 
Предложил сравнить цены с ситилинком и предложил обратиться к нам если будет какой-либо запрос"</t>
  </si>
  <si>
    <t>стр. 221</t>
  </si>
  <si>
    <t>"Глобус Иваново
Алексей Itшник
Закупаются в Этикетка37 - риббоны, аппликаторы, красящие ленты
6 сотрудников в офисе, часть удаленно работают за своими пк
Бюджетируемые покупки, примерно раз в полгода/год закупаются
Картриджи заправляемые используют
Интересно сотрудничать если предложим цены актуальнее чем в Этикетка37"</t>
  </si>
  <si>
    <t>стр. 235</t>
  </si>
  <si>
    <t>стр.245</t>
  </si>
  <si>
    <t>стр.256</t>
  </si>
  <si>
    <t>ООО ТД "ГЛОБУС"</t>
  </si>
  <si>
    <t>ООО "ПРОТЕКС ПИР"</t>
  </si>
  <si>
    <t>"Михаил и Николай
Компания маленькая, 2 пк и 1 принтер.
Редко что-либо покупают.
МФУ Canon ms443dw, проблемы с подачей бумаги
Обслуживает их компания Юмакс."</t>
  </si>
  <si>
    <t>ООО "ЭКСПОПРОФИ-ИВАНОВО"</t>
  </si>
  <si>
    <t>Системный администратор Алексей
Закупаются в основном в ситилинке и днс
Узнал что важно в поставщике, цена и доставка
В обслуживании порядка 50 ПК а также имеется и печатная техника.
Закупаются как при необходимости, так и для каких то проектов!
Прислать на почту информационное, перезвонить обязательно
vorobev@tp-iv.ru</t>
  </si>
  <si>
    <t>"сис админ станислав
работает на 2 клиники (стоматологии) - в одной 10 пк в другой 20 пк
вместо сервера используют ПК
Также есть печатная техника, покупали в 2014 году, картриджи заправляемые.
Ранее уже к нам обращался но не понравились сроки доставки и с наличием товара были какие-то проблемы.
Товар заказывают в днс, ситилинк онлайн трейд с доставкой ПЛАТНОЙ, предложил бесплатную доставку и короткие сроки поставки на типовые товары.
Закупаются по необходимости, пока обновлять ничего не планируют но можно в новом году по обновлению печатного парка вопросы задать.
Договорились о связа на ватсапе, будет при запросах закидывать нам"</t>
  </si>
  <si>
    <t>ООО СЦ "ДЕНТА ПРЕСТИЖ"</t>
  </si>
  <si>
    <t>стр. 258</t>
  </si>
  <si>
    <t>ООО "УК "ОЛИМП"</t>
  </si>
  <si>
    <t>"84932584952
Ирина бухгалтер
Много проблем в работе оборудования:
У ноутбуков клавиши западают, принтеры печатают с полосами, захватывают бумагу, замена фотобарабана не помогла, отвозят сами всё на обслуживание или ремонт, своего специалиста нет
5 рабочих мест, 4 принтера и Мфу
Печатают много
Консперативный переулок дом 11
Вход в подвал перед 1 подъездом
До НГ нет возможности на встречу, после НГ - согласна чтобы мы приехали познакомились с ними."</t>
  </si>
  <si>
    <t>стр. 271</t>
  </si>
  <si>
    <t>"Вадим
Планирует установку видеонаблюдения
На контакт идет хорошо, адекватен
Планируют установку видеонаблюдения, еще ничего не считали.
Узнать что нужно -тз/проект, какой парк техники в принципе, где приобретают детали
После 10 часов набирать
Компьютеров нет
Нужны камеры, видеорегистратор, монитор, клавиатура, мыш.
Пришлет план, посчитать примерные расходы.
Порекомендовать видеорегистратор с коммутатором, практичнее и дешевле + надежнее, чем видеорегистратор с портами POE.
цена за точку 3 700 руб,фирмы hiwatch ds400 / 405, poe коммутатор (+-10к), видеорегистратор hiwatch ds08 (обьем посчитать по калькулятору, на глаз 4ТБ если на месяц, перезаписывать начинает когда закагнчиватся свободное пространство). Расчет кабеля - либо план, либо по геолокации примерно посмотрим, но нужно знать где ставить камеры.
Можно выехать и посмотреть по цене сколько будет стоить."</t>
  </si>
  <si>
    <t>стр. 314</t>
  </si>
  <si>
    <t>ИП Гончаров Вадим Владимирович</t>
  </si>
  <si>
    <t>стр. 198</t>
  </si>
  <si>
    <t>ООО "ЭЛКОМ"</t>
  </si>
  <si>
    <t>стр. 242</t>
  </si>
  <si>
    <t>"itшника нет на месте, его контакт не дают, когда он будет не сказала
20 рабочих мест
закупаются при необходимости
покупают в ДНС и ситилинк
Отправить информационное письмо на почту
По почте - письмо дошло, но от руководителя ответа нет.
Периодически прозванивать"</t>
  </si>
  <si>
    <t>ООО "ФАБРИКА "АДЕЛИС"</t>
  </si>
  <si>
    <t>"Сергей
Обслуживает порядка 100 ПК
Приобретают в ситилинке и ДНС при возникновении потребностей
Договорились что отправлю информационное письмо
admin1@td-adel.ru"</t>
  </si>
  <si>
    <t>стр. 249</t>
  </si>
  <si>
    <t>ООО "СЕРВИСЭНЕРГО"</t>
  </si>
  <si>
    <t>"Связался с сергеем
Рабочих мест еще меньше стало, сотрудники работают удаленно., 60 рабочих мест осталось из 700.
Комплектующие не берут, подменный фонд большой. С серверами такая же история.
Бюджета нет от слова совсем, финансов у компании не имеется, 
По програмному обеспечению - ведут переговоры по приобретению антивируса - DR Web на 3 года. 
Предложение смотрят от Benefit (им предоставят скидку и еще какие то бонусы, не сказал какие)
Перевести на себя, можно потенциально пробить"</t>
  </si>
  <si>
    <t>стр. 404</t>
  </si>
  <si>
    <t>ООО "КОТТОН ТРЕЙД"</t>
  </si>
  <si>
    <t>"маленькая компания
1 пк 2 принтера
инфы больше не дала, отправить на почту сказала
k-t37@mail.ru"</t>
  </si>
  <si>
    <t>стр. 425</t>
  </si>
  <si>
    <t>ООО "МЕТАЛЛГАРАНТ"</t>
  </si>
  <si>
    <t>стр. 429</t>
  </si>
  <si>
    <t>"Своего itшника нет, вызывают
компьютеров меньше 10 шт и несколько принтеров
за закупку отвечает руководитель, по необходимости
Контактов его не дала, присылать на почту предлоежния"</t>
  </si>
  <si>
    <t>ООО "Космотекс. Мембраннаяодежда"</t>
  </si>
  <si>
    <t>стр. 432</t>
  </si>
  <si>
    <t>"Системный  администратор Кирилл в штате, появляется по необходимости.
Когда будет на месте не сказали, номер его не дают, покупает именно он компьютерное оборудование.
В компании 12 пк и принтеры"</t>
  </si>
  <si>
    <t>ООО "НОВАТОР"</t>
  </si>
  <si>
    <t>стр. 451</t>
  </si>
  <si>
    <t>"Руководства в отпуске
Аутсорс, своего специалиста нет
в компании порядка 15 компьютеров и печатной техники
Спросить Татьяну Киселеву, порекомендовали позвонить на 2 рабочей неделе 2025 года"</t>
  </si>
  <si>
    <t>ООО "Мелодия Текстиля"</t>
  </si>
  <si>
    <t>стр. 454</t>
  </si>
  <si>
    <t>"It специалист Алексей. Адекватен 
В компании 10 ПК , несколько принтеров и мфу
Сейчас ничего не требуется, предложение прислать на почту
extra-furnitura@yandex.ru с пометкой для Алексея"</t>
  </si>
  <si>
    <t>ООО "ИВАНОВСКИЙ ФОНД СЕРТИФИКАЦИИ"</t>
  </si>
  <si>
    <t>"Сис админа не было на месте, перезвонить в другой раз
Михаил (человек тактичный, разговоры по делу), отвечает за it оборудование.
Основной филиал в Москве, оттуда им привозят оборудование.
Готов рассмотреть нас как поставщика если
1) Время реагирования на его запросы будет максимально оперативное, 5 минут на ответ при запросе и 10-15 минут до выставления счета
2) Цена относительно ситилинка и днс будет не выше чем на 2% (это их расходы на доставку из москвы)
Остановились на том, что он ждет информационное письмо где будут ответы на эти пункты и описание организации. Как пример можно посчитать принтер Kyocepa 2040 DN.
Отправлю Информационное, позвонить ему получил ли и если что дублировать на whats'up."</t>
  </si>
  <si>
    <t>стр. 64</t>
  </si>
  <si>
    <t>ООО "Объединенный Торговый Центр"</t>
  </si>
  <si>
    <t>стр. 353</t>
  </si>
  <si>
    <t>"Сис админ Денис, адекватен
По сути у него собирает всё его руководитель, а сис админ забирает.
Контакты руководителя не дал, но договорились что вернусь к нему сравнив цены из ДНС/Никс с нашими.
Собирают на заказ оборудование, у самих 6 пк и МФУ, в обслуживании не нуждаются
Отправил ему сравнение цен, подумает, позвонить узнать что думает
Информационное получил, будет иметь ввиду, периодически позванивать.
Присылал на просчет ПК, предложение было выгоднее но не взяли в итоге.
Есть запрос на ноутбук, пришлет модель для поиска по рынку. Посмотрел модели по рынку, дешевле ДНС предложений не было, а основной параметр был цена - идентичных ноутов нет на рынке."</t>
  </si>
  <si>
    <t>ООО "ИОТК"</t>
  </si>
  <si>
    <t>КНТ-86342</t>
  </si>
  <si>
    <t>ООО "Ивстанкопром"</t>
  </si>
  <si>
    <t>Кариатида</t>
  </si>
  <si>
    <t>стр. 29</t>
  </si>
  <si>
    <t>По номерам не дозвонился.
Через бывших коллег узнаю контакты it специалиста и свяжусь с ним на этой неделе.
Проектировщики
Связался с Игорем -  it шником
Порядка 30 рабочих мест, используют в работе цветные принтеры и есть пара плоттеро. В работе все устраивает
Расширяться не планируют, максимум ремонт оборудования при выходе из строя. Есть сервер и коммутатор, бэкапы настроены. Закупаются в ДНС и Ситилинк.
Не сильно разговорчивы, отказался ничего не интересно ему</t>
  </si>
  <si>
    <t>Работы и коммутатор</t>
  </si>
  <si>
    <t>Комплектующие</t>
  </si>
  <si>
    <t>09 Проигрыш</t>
  </si>
  <si>
    <t>СДК-04237</t>
  </si>
  <si>
    <t>СДК-04230</t>
  </si>
  <si>
    <t>СДК-04229</t>
  </si>
  <si>
    <t>СДК-04235</t>
  </si>
  <si>
    <t>Новогодний сертификат на 1'000 рублей</t>
  </si>
  <si>
    <t>Изучить it-инфраструктуру клиента бследованием. Познакомиться с директором/учредителем компании.</t>
  </si>
  <si>
    <t>Предложить варианты решения проблем клиента.
Вывести на первую сделку.
1) КП на неуправляемый коммутатор Dlink 1гбит
2) ПО для ПДФ отечественные аналоги акробата
3) Клиенту нужны конфигурации их ПК, пришлют список всех сотрудников
4) Мфу LaserJet MFP M438n - печатает с полосами, возможно проблема с фотобарабаном, предложить решение
5) Расчет по аутсорсу прислать
6) 2 ПК у станков. Улучшить эти ПК если возможно.
7) Ежедневные бэкапы с периодом хранения в 1 месяц
8) Нужен вариант удаленного подключения
9) Разграничить доступы пользователям
Инфраструктура клиента
Проектировщики: 6 ПК, 1 плоттер, 1 МФУ 
Производство 8 ПК, 3 принтера
Офис порядка 25 ПК, 3 МФУ</t>
  </si>
  <si>
    <t>1) Заменить коммутатор Dlink на 1гбит
2) Кп на Content Reader (аналог ПДФ)
3) Настроить бэкапы (удаленно)
4) Настроить VPN для проектировщиков для удаленной работы
5) Разграничить доступы пользователям
6) Отправить отчет по аутсорсу (почасовой и время реагирования)
7) Удаленно сделать инвентаризацию всех ПК</t>
  </si>
  <si>
    <t>Выезд на территорию клиента с Сергеем Талановым, определить как устроена IT инфраструктура клиента, предложить план модернизации</t>
  </si>
  <si>
    <t>Фактическое выполнение 70%</t>
  </si>
  <si>
    <t>Фактическое выполнение 80%</t>
  </si>
  <si>
    <t>Оборот по новым клиентам за Ноябрь составил 
229 286 рублей</t>
  </si>
  <si>
    <t>Фактическое выполнение 62%</t>
  </si>
  <si>
    <t xml:space="preserve">
Оплата 19000 - 100%</t>
  </si>
  <si>
    <t>ООО Дента престиж</t>
  </si>
  <si>
    <t>Принтеры</t>
  </si>
  <si>
    <t>ООО Мачт проект</t>
  </si>
  <si>
    <t>ПК и монитор</t>
  </si>
  <si>
    <t>ООО Дента Престиж</t>
  </si>
  <si>
    <t>ПК и Монитор</t>
  </si>
  <si>
    <t>Шовкун Максим Сергеевич</t>
  </si>
  <si>
    <t>СДК-04445</t>
  </si>
  <si>
    <t>ООО Мачт-проект</t>
  </si>
  <si>
    <t>СДК-04447</t>
  </si>
  <si>
    <t>СДК-04448</t>
  </si>
  <si>
    <t>ООО Теплостроймеханика</t>
  </si>
  <si>
    <t>МФУ и Монитор</t>
  </si>
  <si>
    <t>08 Сделка на паузе</t>
  </si>
  <si>
    <t>Ип Гырдымов Игорь Эдуардович</t>
  </si>
  <si>
    <t>ПК</t>
  </si>
  <si>
    <t>СДК-04449</t>
  </si>
  <si>
    <t>11 Отмена</t>
  </si>
  <si>
    <t>ООО АВТОТРАКТ</t>
  </si>
  <si>
    <t>АО "ТУИР"</t>
  </si>
  <si>
    <t>ООО "Тейковская земельная компания"</t>
  </si>
  <si>
    <t>ООО Швейная фабрика "Селтекс"</t>
  </si>
  <si>
    <t>ООО "ЯРОСЛАВСКОЕ МАСЛО"</t>
  </si>
  <si>
    <t>стр. 336</t>
  </si>
  <si>
    <t>стр. 389</t>
  </si>
  <si>
    <t>стр. 401</t>
  </si>
  <si>
    <t>стр. 437</t>
  </si>
  <si>
    <t>стр. 467</t>
  </si>
  <si>
    <t>"Маленькая транспортная компания
Поговорил с бухгалтером
2 компьютизированных рабочих места
Клиент не интересен"</t>
  </si>
  <si>
    <t>"Отдел снабжения, Наталья. 
Закупаются редко по необходимости, удаленный itшник, контактов не дают.
30 Пк, принтеров меньше.
Можно периодически позванивать, но клиент не интересен"</t>
  </si>
  <si>
    <t>"Алексей Викторович -технический директор
В компании более 20пк (по старой инфе 20 пк + они еще купили в конце года), точное количество не назвали и 10 принтеров.
Есть задачи по скуду, сейчас планируют установку на лето Hikvision.
Также есть задачи по сетевому оборудованию, нужны будут микротики, но позже.
Отправить информационное, добавит в список поставщиков, периодически прозванивать"</t>
  </si>
  <si>
    <t>"Общался с Михаилом.
По рабочим местам изменений не было, по старым данным 20 АРМ
В планах установка СКУД к лету"</t>
  </si>
  <si>
    <t>Маленькая компания, нет ни сис админа ни it специалиста, руководитель нанимает в моменте если что то ломается кого-то. Компьютеров мало, меньше 50 и отсутсвует itшник, фирма не интересна.</t>
  </si>
  <si>
    <t>СУП-ДС-259</t>
  </si>
  <si>
    <t>ООО "ГОСТИНИЧНЫЙ КОМПЛЕКС "ТУРИСТ"</t>
  </si>
  <si>
    <t>ООО ТРАКТ</t>
  </si>
  <si>
    <t>ООО "Регион Аква"</t>
  </si>
  <si>
    <t>ООО "Техногрупп"</t>
  </si>
  <si>
    <t>ООО "Сигма СК"</t>
  </si>
  <si>
    <t>ООО "ТГВ Сервис"</t>
  </si>
  <si>
    <t>"Общался с директором - Александром
Компания занимается строительством
Есть проектировщики, используют достаточно мозное оборудование
15 компьютеров , есть принтеры
По инженерным направлениям задач нет, модернизацию и расширение пока что не планируют
Отправить информацию на почту
Компания маленькая, не интересна"</t>
  </si>
  <si>
    <t>"Пообщался с Оксаной, коммерческим директором
КОмпьютеров сейчас 10 штук
1 Сервер
В работе оборудования проблем нет
Itшник на аутсорсе
Планов на модернизацию, расширение нет
По инженерным направлениям нет задач
Связываемся по Whats'up"</t>
  </si>
  <si>
    <t>"Есть свой 1С специалист, который подсказывает по закупке 
Компания небольшая, 10пк
Если у них возникает потребность в сборке или комплектущих, обращаются в фирму в соседнем офисе. Собирают ""бесплатно"".
Панируют приобрести б/у сервер в дальнейшем, хотят максимально дешевый вариант подобрать для себя.
отправить на почту информацию sale@tg-dst.ru, позвонить по серверу в середине февраля"</t>
  </si>
  <si>
    <t>" +7 (4932) 93-72-00
info@ivbr.ru
Номер ивановского бройлера
It специалист Василий
Более 100 рабочих мест и принтеры, компания интересна
На этот год планов по приобретению it нет, по инженерным направлениям так же задач пока что не стоит
Закупаются в розницу, оборудование не часто ломается, пока что нет запросов
Отправить запрос на почту, с компанией можно работать, в СП добавить
Отрпавить информационное на почту"</t>
  </si>
  <si>
    <t>"Денис
Своего itшника нет
30 компьютеров
Занимается всем он. 
Есть проблемы в видеонаблюдении на их производстве в Тейково, и в компьютерах.
По компьютерам возможно поработать удаленно в решении проблем, предложить варианты.
По видеонаблюдению передал дмитрию гольцову информацию, он позвонит
+7 (962) 157-58-58 номер для связи
Дмитрий гольцов созвонился с ним, дговорились о созвоне в середине февраля для выезда"</t>
  </si>
  <si>
    <t>3 пк и мфу
в рознице закупаются
небольшая фирма
запросов в инженерке нет
Не интересны, отправить информационное</t>
  </si>
  <si>
    <t>стр. 15</t>
  </si>
  <si>
    <t>стр. 30</t>
  </si>
  <si>
    <t>стр. 117</t>
  </si>
  <si>
    <t>стр. 127</t>
  </si>
  <si>
    <t>стр. 129</t>
  </si>
  <si>
    <t>стр. 134</t>
  </si>
  <si>
    <t>стр. 193</t>
  </si>
  <si>
    <t>ТСМ-ПАРТС</t>
  </si>
  <si>
    <t>It специалиста нет
в компании 10 компьютеров
Если что то ломается идут в розницу покупать
Компания не интересна</t>
  </si>
  <si>
    <t>ООО "БИЗНЕС КОМТРАСТ"</t>
  </si>
  <si>
    <t>стр. 48</t>
  </si>
  <si>
    <t>"Компания небольшая, попал на директора
3 компьютера
Поставка оборудования и ПО, инженерные проекты не интересуют, больше вопросов по програмированию - но это не к нам
Компания не интересна"</t>
  </si>
  <si>
    <t>ООО "Знактекс"</t>
  </si>
  <si>
    <t>"Укомплектованы уже
Заключен договор с it компанией на осблуживание, они же поставляют
сравнить цены не против
Компания маленькая, меньше 10 ПК и несколько принтеров
Компания не интересна, отрпавить информационное"</t>
  </si>
  <si>
    <t>ООО ТК "Фасатекс"</t>
  </si>
  <si>
    <t>Сис админ у них не сидит, по вызову 
Компания не большая, 5 пк и мфу
Закупки по необходимости
Компания не интересна
Отрпавить информационное
fs_488946@mail.ru</t>
  </si>
  <si>
    <t>ООО "Акваальянс"</t>
  </si>
  <si>
    <t>Itшника нет
покупки по необоходимости
в компании 12 ПК и несколько принтеров
Компания не интересна, отрпавить информационное</t>
  </si>
  <si>
    <t>ООО "АГРОМАРКЕТ"</t>
  </si>
  <si>
    <t>Маленькая компаия, 3 компьютера
Занимается директор всем, обращаются в itsoft
компания не интересна
отправлю информационное
tak@tak-agro.ru</t>
  </si>
  <si>
    <t>стр. 114</t>
  </si>
  <si>
    <t>ООО "Артекс"</t>
  </si>
  <si>
    <t>стр. 133</t>
  </si>
  <si>
    <t>"it пециалист по неоюходимости приходит
В компании 3 компьютера, занимаются тканями
помещение арендуют, там ничего установить по инженерным не выйдет (тк не их помещение)
Почту владельцев не знают
Компания не интересна"</t>
  </si>
  <si>
    <t>ООО "ПК "Возрождение"</t>
  </si>
  <si>
    <t>стр. 135</t>
  </si>
  <si>
    <t>"Пообщался с директором Ильей
5 компьютеров в компании
По модернизации и расширению планов нет
Покупают в розницу если необходимо что то
По инженерным направлениям задач тоже нет
Настроен положительно
Написать на ватсап 8 930 347 55 11
Компания маленькая, не интересна"</t>
  </si>
  <si>
    <t>ООО "ИВТКАНИ"</t>
  </si>
  <si>
    <t>стр. 136</t>
  </si>
  <si>
    <t>В компании 3 человека работает, продажа ткани
Обращаются в аутсорс если что-то ломается, сами ничего не чинят
инженерных систем нет - арендуемое помещение где отвечает арендодатель за это
Компания не интересная, отправить инфомрационное</t>
  </si>
  <si>
    <t>ТРИО-ГРАНД</t>
  </si>
  <si>
    <t>Директор Роман, общался с ним
Компания маленькая, 3 компьютера
Есть склад, но там уже видеонаблюдение установлено, модернизаций не планируют, других задач нет
Отправить информационное, компания не интересна</t>
  </si>
  <si>
    <t>стр. 137</t>
  </si>
  <si>
    <t>ООО "СОДРУЖЕСТВО"</t>
  </si>
  <si>
    <t>стр. 192</t>
  </si>
  <si>
    <t>Общался с Директором - Михаилом
В компании 7 человек работает ( столько же и компьютеров)
По уже куплено наперед, офисы виндоусы и тд 
По инженерным направлениям - видеонаблюдение уже закрыт вопрос, а других не планируется
Расширений в планах нет, модернизаций тоже, серверов нет - в облаке все по подпискам.
Договорились в Ватсапе связаться
Компания не интересна, маленькие</t>
  </si>
  <si>
    <t>ООО "ИНВЕСТСТРОЙ"</t>
  </si>
  <si>
    <t>стр. 196</t>
  </si>
  <si>
    <t>Общался с Директором, Александр зовут.
Меньше 10 рабочих мест
Занимаются стройкой, есть проектировщики.
Рабочие места уже укомплектованы, модернизаций не планируется.
По инженерным направлениям нет задач.
Договорились связаться в ватсапе, отправить информацию о компании.</t>
  </si>
  <si>
    <t>ООО "Арвэль"</t>
  </si>
  <si>
    <t>стр. 206</t>
  </si>
  <si>
    <t>"Общался с директором, Дианой
Компания занимается продажей оборудования медицинского
3 рабочих места, маленькая фирма, уже укомплектованы, расширение не планируется
Информационное письмо отправлю, компания не интересна"</t>
  </si>
  <si>
    <t>ООО "РМА Башня Теслы"</t>
  </si>
  <si>
    <t>стр. 222</t>
  </si>
  <si>
    <t>Старый директор Максим больше не работает
Новый директор Анастасия Владимировна
В компании немного рабочих мест, меньше 10, стоят так же принтеры Epson.
It специалист на аутсорсе
Сейчас укомплектованы, пока ничего не требуется
Отправить информационное, возможно заинтересует печатное оборудование, сделать упор на это.</t>
  </si>
  <si>
    <t>ООО "Данко</t>
  </si>
  <si>
    <t>стр. 226</t>
  </si>
  <si>
    <t>"Пообщался с Ген Директором Дмитрием
У них самих компьютеров не много, не больше 6
Занимаются продажей it оборудования
Закупаются также как и мы в мерлионе, треолане
Пптенциально интересно посотрудничать в каких либо проектах
Предложил ему также сравнить цены, вдруг мы приобретаем по более выгодным ценам
Сейчас запросов нет"</t>
  </si>
  <si>
    <t>стр. 99</t>
  </si>
  <si>
    <t>стр. 101</t>
  </si>
  <si>
    <t>ООО "ТЕКСТИЛЬ БЕЗ ГРАНИЦ"</t>
  </si>
  <si>
    <t>стр. 185</t>
  </si>
  <si>
    <t>Общался с директором Андреем
В компании 5 компьютеров и несколько принтеров
По закупкам в it пока ничего не требуется, в планах расширений и модернизаций нет.
Спросил по наличию склада ведь швейкой занимаются - в ближайшее время по видеонаблюдению там не думают, но вполне возможно что понадобится.
Договорились что отправлю контакты на почту и периодически им набирать буду, по последнему номеру
почта katalov.2011@inbox.ru</t>
  </si>
  <si>
    <t>ООО "БРЕНД"</t>
  </si>
  <si>
    <t>стр. 174</t>
  </si>
  <si>
    <t>Общался с Директором Натальей
Компания маленькая, 5 компьютеров и несколько принтеров
Заниюматся текстилем, склад есть, но видеонаблюдение там не требуется
Отрправить информационное
Компания не интересна</t>
  </si>
  <si>
    <t>ООО "Васильевский Лесокомбинат"</t>
  </si>
  <si>
    <t>стр. 182</t>
  </si>
  <si>
    <t>"Менеджер Екатерина
В компании 15 компьютеров и 15 принтеров
Своих it специалистов нет, на аутсорсе, они и обслуживают, и комплектующие  тоже они поставляют. Компанию менять не планируют, давно с ними сотрудничают
По инженерным направлениям - по видеонаблюдению планов нет, хотя склад имеется
Отправить информационное, компания маленькая"</t>
  </si>
  <si>
    <t>ООО "Прориэлт"</t>
  </si>
  <si>
    <t>Рекламная фирма
Общался с менеджером Юлией
В компании 2 МФУ и менее 10 ПК
Обслуживает их по всем моментам (печатной, компьютерной технике и 1C компания "it решения Иваново", с ними долгосрочный договор заключен
По инженерным проектам ничего не планируется
Компания маленькая, не интересна</t>
  </si>
  <si>
    <t>стр. 183</t>
  </si>
  <si>
    <t>ООО "ЭЛЕВАЦИЯ"</t>
  </si>
  <si>
    <t>Анастасия. занимается закупками
Есть производство, установку видеонаблюдения не планируют
Модернизаций, расширений тоже не планируется
По компьютерам - не назвала точное количество, 10-20 шт 
Принтеры, термосканеры не нужны, уже имеются, все работает исправно
Договорились пообщаться по whats up</t>
  </si>
  <si>
    <t>стр. 204</t>
  </si>
  <si>
    <t>стр. 211</t>
  </si>
  <si>
    <t>Администратор Лариса, руководства контакты не дали
В компании используют моноблоки - 3 шт и пара компьютеров
Есть несколько старых принтеров, используют заправляемые карттриджи, жуют бумагу - скорее всего фотобарабаны давно не меняли
Также в установлена система видеонаблюдения, но вроде запросов в этом направлении нет
Руководство на почту отвечает, направить информационное
Компания маленькая, не интересна</t>
  </si>
  <si>
    <t>ООО "ГОРОДОК"</t>
  </si>
  <si>
    <t>10 100 - 100%
оплата по таблице</t>
  </si>
  <si>
    <t xml:space="preserve">
19 000 - 100%
min 80%</t>
  </si>
  <si>
    <t>стр. 81</t>
  </si>
  <si>
    <t>ООО "Терминал-Текстиль"</t>
  </si>
  <si>
    <t>Пообщался с руководителем
Оксана Валерьевна
у них по компьютерам парк не большой, 3 пк и 1 принтер
Но у них очень большая территория, часто ставят камеры и тд
Прислать на почту информацию о нас
Договорился созвониться  (главное не в понедельник)
Можно отправить на просчет ребят
Отправил информационное на почту</t>
  </si>
  <si>
    <t>ООО "ПК Гарант"</t>
  </si>
  <si>
    <t>Общался с Евгением, руководитель
Есть запрос на ПК, для работы с excel и 1c
В коомпании 10 пк и несколько принтеров
По инженерным направлениям нет запросов и даже в перспективе
Отправить КП и в понедельник
По срокам нет спешки, бюджет - не сильно дорогой в запросе
Списаться на ватсапе по номеру +7 (910) 997-38-20</t>
  </si>
  <si>
    <t>стр. 89</t>
  </si>
  <si>
    <t>СДК-04475</t>
  </si>
  <si>
    <t>04 Согласуем техническую часть КП</t>
  </si>
  <si>
    <t>ООО ПК Гарант</t>
  </si>
  <si>
    <t>Фактическое выполнение 59%</t>
  </si>
  <si>
    <t>1.3. Динамика продаж год к году 2023/2024/2025 (апрель-апрель)</t>
  </si>
  <si>
    <t>Фактическое выполнение 63%</t>
  </si>
  <si>
    <t>Оплата 13000 - 100%</t>
  </si>
  <si>
    <t xml:space="preserve">
Оплата 13200 - 100%</t>
  </si>
  <si>
    <t>Оборот по новым клиентам за Ноябрь составил 
363 018,81 рублей</t>
  </si>
  <si>
    <t>Фактическое выполнение 79%</t>
  </si>
  <si>
    <t>ООО "Торговый Центр "Купеческий"</t>
  </si>
  <si>
    <t>ООО "ТЕМП"</t>
  </si>
  <si>
    <t>ООО "Изыскания"</t>
  </si>
  <si>
    <t>ООО "Погрузчикцентр"</t>
  </si>
  <si>
    <t>ООО НТЦ "ПРОМЫШЛЕННАЯ ЭНЕРГЕТИКА"</t>
  </si>
  <si>
    <t>ООО "Дбо "Озерная"</t>
  </si>
  <si>
    <t>ООО "РУСХАЛАТ"</t>
  </si>
  <si>
    <t>ООО "Стройинвест"</t>
  </si>
  <si>
    <t>ООО "ИВЕНТ"</t>
  </si>
  <si>
    <t>ООО "ПРОФСТРОЙ"</t>
  </si>
  <si>
    <t>ООО "Ивстройресурс"</t>
  </si>
  <si>
    <t>чоу дпо "утц энергобезопасность"</t>
  </si>
  <si>
    <t>ООО "НИЦ "Экспертиза"</t>
  </si>
  <si>
    <t>ООО "Прометей"</t>
  </si>
  <si>
    <t>ООО "ЖБИ"</t>
  </si>
  <si>
    <t>АО "ИВАНОВОТОРГТЕХНИКА"</t>
  </si>
  <si>
    <t>ООО "Райдо"</t>
  </si>
  <si>
    <t>ООО "Ивдревплит"</t>
  </si>
  <si>
    <t>ООО "КОМПАНИЯ "СИМАГ"</t>
  </si>
  <si>
    <t>ООО "Системы Цвета"</t>
  </si>
  <si>
    <t>ООО "ИПЭР"</t>
  </si>
  <si>
    <t>ООО "КВАРТАЛ-ИНВЕСТ"</t>
  </si>
  <si>
    <t>ООО " НАТАША СК "</t>
  </si>
  <si>
    <t>ООО " НПФ "ЭЛИТА-ПЛЮС"</t>
  </si>
  <si>
    <t>ООО "268 МЗ"</t>
  </si>
  <si>
    <t>ООО "37ПРАВО"</t>
  </si>
  <si>
    <t>ООО "АВТОПАК"</t>
  </si>
  <si>
    <t>ООО "АВТОРСКОЕ БЮРО"</t>
  </si>
  <si>
    <t>ООО "АГЕНТСТВО "С- МАГ"</t>
  </si>
  <si>
    <t>ООО "АКВА СТРОЙ"</t>
  </si>
  <si>
    <t>ООО "АКС-ПРОЕКТ"</t>
  </si>
  <si>
    <t>ООО "АКЦЕНТ-ЭКСПЕРТ"</t>
  </si>
  <si>
    <t>ООО "АЛЕКС И К"</t>
  </si>
  <si>
    <t>ООО "АЛЕКС"</t>
  </si>
  <si>
    <t>ООО "АЛСТРОМ"</t>
  </si>
  <si>
    <t>ООО "АЛЬТАИР"</t>
  </si>
  <si>
    <t>ООО "АЛЬЯНС СТИЛЬ"</t>
  </si>
  <si>
    <t>ООО "АН ДЕЛЬТА РИЭЛТИ"</t>
  </si>
  <si>
    <t>ООО "АНТЭКС"</t>
  </si>
  <si>
    <t>ООО "АРДИС ГРУП"</t>
  </si>
  <si>
    <t>ООО "АРС-ИНЖИНИРИНГ"</t>
  </si>
  <si>
    <t>ООО "АРТ ДИЗАЙН"</t>
  </si>
  <si>
    <t>ООО "АСПЕКТ"</t>
  </si>
  <si>
    <t>ООО "АСТРОЙ"</t>
  </si>
  <si>
    <t>ООО "Б.П.ГРУПП"</t>
  </si>
  <si>
    <t>ООО "БАСК - 2"</t>
  </si>
  <si>
    <t>ООО "БЕСТ РЕГИОН"</t>
  </si>
  <si>
    <t>ООО "БИЗНЕС КОМТРАСТ ПЛЮС"</t>
  </si>
  <si>
    <t>ООО "БИОТЕХНОЛОГИИ"</t>
  </si>
  <si>
    <t>ООО "БЛЭКРАМ"</t>
  </si>
  <si>
    <t>ООО "ВЕНТСТРОЙ"</t>
  </si>
  <si>
    <t>ООО "ВЕТЕРАН СЕРВИС"</t>
  </si>
  <si>
    <t>ООО "ВИВАТ"</t>
  </si>
  <si>
    <t>ООО "ВИКТОРИЯ"</t>
  </si>
  <si>
    <t>ООО "ВИТАДЕНТ"</t>
  </si>
  <si>
    <t>ООО "ГАЗПРОФИ"</t>
  </si>
  <si>
    <t>ООО "ГАЗСТРОЙСЕРВИС"</t>
  </si>
  <si>
    <t>ООО "ГАЛИЯ"</t>
  </si>
  <si>
    <t>Общался с руководителем, Гафгаз 
В компании 3 компьютера
Видеонаблюдение уже есть
расширяться , модернизировать не планируют
В работе оборудования проблем никаких нет
По инн компания маленькая, не интересна
02081960@mail.ru</t>
  </si>
  <si>
    <t>Общался с Директором Еленой
В компании 5 ПК и пара принтеров
Плановпо развитию модернизации нет
В работе оборудования всё устраивает
ПО не приобретают
Есть сис админ, она согласовывает покупки
Отправить информационное, компания неинтересна.
Почти opt37@vk.ru</t>
  </si>
  <si>
    <t>Общался с директором Алексеем
В компании 12 компьютеров и 1 сервер
Все исправно работает, расширений не планируют, в работе оборудования ничего не беспокоит
ПО инженерным направлениям планов нет
Маленькая фирма, не интересна
написал на ватсап ему</t>
  </si>
  <si>
    <t>Руководитель Алексей Виноградов
В компании 1 ПК, занимаются грузоперевозками
Есть склад, но по видеонаблюдению пока что планов нет
Отправить информационное на почту ivbrt@mail.ru
Компания маленькая, не интересна</t>
  </si>
  <si>
    <t>Много отделов
Общался с Бухгалтером Еленой  +7 (4932) 41-76-95
It специалист наемный
В компании 15 компьютеров и несколько МФУ
С работой МФУ есть проблемы
Прислать расчет на какое нибудь МФУ (wifi не обязательно, можно не отечественное, не принципиально, печатают много, сканирование двух сторон было бы интересным бонусом. ДВа варианта рассмотреть с двойным сканом и без)
Также их инженер пришлет по последним закупкам запросы для сравнения
Отправить информационное на почту
info@ivpromenergo.ru
Игнатьева спросил, сказал компания глухая и маленькая,  ему она не интересна</t>
  </si>
  <si>
    <t>Общался с Николаем
Заместитель генерального директора по ученическим вопросам
Детский лагерь
1пк и 1 принтер
Иногда устанавливают видеонаблюдение, но редко
Других запросов не бывает, ничего не приобретают
Отправил информацию на ватсап и почту
+79605076231
не интересна фирма</t>
  </si>
  <si>
    <t>Общался с Михаилом (директор видимо)
По количеству оборудования не сказал, пока что укомплектованы, проблем нет.
It на аутсорсе, закупают всё сами выбирая по цене
Есть планы по инженерным направлениям. Также готовы сравнить цены.
Я бы позвонил через месяц, узнал по задачам связанным с видеонаблюдением.
info@roshalat.ru</t>
  </si>
  <si>
    <t>В компании 15 компьютеров
it специалист на аутсорсе
Всё у них есть и тд и тп
Отправить на почту информационное
Я бы позвонил по 2 номеру</t>
  </si>
  <si>
    <t>Общался с Михаилом, руководителем
в компании 3 пк
укомплектованы, расширяться не планируют, планов на модернизации нет
по инженерным проектам планов тоже нет</t>
  </si>
  <si>
    <t>Общался с менеджером
В компании несколько ноутбуков у менеджеров и бухгалтерии
менее 10 пк сказала и несколько приентеров
инженерных задач нет
сами чинят если что то ломается
не интересны</t>
  </si>
  <si>
    <t>Общался с директором - Романом
в компании 2 пк
ПО лицензионное не используют
Планов на расширение нет
По инженерным проектам тоже ничего не планируют
Компания не интересна</t>
  </si>
  <si>
    <t>ivenegobez@yandex.ru
Общался с Дмитрием - директором
Компьютеров мало в компании , меньше 10
Укомплектованы, планов по расширению, модернизации нет
По инженерным проектам тоже нет задач
Приобретают по необходимости в розницу, сами занимаются it
По ПО тоже нет потребностей</t>
  </si>
  <si>
    <t>Общался с IT директором Евгением Васильевичем
В компании всё плохо, еле на плаву держатся
Руководство сидит в тюрьме :D
Для работы офиса используют подменное оборудование, новое не приобретают
Планов по развитию, расширению нет, в конеце весны созвон</t>
  </si>
  <si>
    <t>Общался с директором Александром
Компания маленькая, 7 ПК и несколько принтеров
Планов по расширению и модернизации нет, приобретают по необходимости если ломается что то
На ближайший год конкретных планов нет, если что то и будет - в моменте будут искать решения. Предложил чуть что писать мне - любым вопросом займуь.
Отправить на почту инфомрацию, позвонить ему узнать ознакомился ли</t>
  </si>
  <si>
    <t>Сказал менее 10 пк, ничего не нужно
По инженерке уже всё есть
Отрпавить информационное, набрать еще раз</t>
  </si>
  <si>
    <t>Общался с бухгалтерией
В компании всего 3 компьютера и принтер
ПО не приобретают, по инженерным в принципе задач не было и не будет 
Компания маленькая , не интересна
В компании сотрудник который занимается всем сразу, и разнорабочий, и компьютеры чинит 
Закупаются по необходимости когда ломается что-то</t>
  </si>
  <si>
    <t>тур агенство
Общался с менеджером Ириной
в компании менее 10 компьютеров и несколько принтеров
мало на что смогла ответить
клиент не интересен, инфомрационное отправил</t>
  </si>
  <si>
    <t>В компании всего 3 человека, укомплектованы , ничего не нужно
по инженерным тоже нет задач
компания не интересна</t>
  </si>
  <si>
    <t>Общался с Директором, Василием Вячеславовичем
Сейчас укомплектованы, ничего не нужно
есть свой сотрудник который занимается этим 
Компания маленькая, менее 4 компьютеров
По инженерным проектам нет никаких задач и планов на будущее
Не интересны</t>
  </si>
  <si>
    <t>Общался с директором - Денисом
1 пк и ноутбук + принтер
не интересны
Есть своё производство
по инженерным проектам нет планов, уже есть видеонаблюдение
можно созвониться, вдруг ситуация изменится финансовая и планы появятся</t>
  </si>
  <si>
    <t>Общался с секретарем Анной Владимировной, номер 84932328525
В компании 30 компьютеров и принтеры
Принтеры обслуживает компания, которая находится рядом
У нее ничего никогда не ломается и не сломается, ПО используют специфическое, название не скажет, но " у вас его нет". 
Я бы позвонил еще раз по другим номера, она очень странная.</t>
  </si>
  <si>
    <t>IT специалист Анатолий
89106901684
Под его крылом 65 ПК, 12 шт принтеров А3, 10 шт МФУ А4, 20 шт .canon а4 
Серверов своих нет - всё в облаке
Телефония Panasonic, исправно работает
Аутсорс не планируют, сами успевают.
Есть запрос на принтер а3.
Планов много на этот год
Инженерными проектами занимается другой человек, его контакты дадут в телеграмме.
Очень интересный клиент
Дубль Квартала, видимо холдинг, работает на несколько фирм
ДУБЛЬ</t>
  </si>
  <si>
    <t>Общался с Еленой, менеджером 89065127777
В компании менее 10 ПК
Есть сис админ который всем занимается
ПО модернизации и расширениям планов нет
Инженерные проекты тоже мимо
Договорились что спишемся в ватсапе, вдруг задачи появятся
Не интересны</t>
  </si>
  <si>
    <t>Общался с Алексеем, инженером
Он же отвечает за компьютерную технику ( но он не it специалист)
компания маленькая, менее 10 пк
Руководитель Денис Владимирович, в офисе редко бывает, по обьектам в основном.
Планов по расширению, модернизации нет. По инженеркам тоже в рамках фирмы нет планов. Сервера нет в фирме, ПК используют. струйный принтер, сами заправляют.
Созвониться, попасть на него, узнать мб по инженерным направлениям можно будет посотрудничать.
Не сильно интересны, разве что инженерка</t>
  </si>
  <si>
    <t>Общался с Андреем, директором
В компании 2 компьютера
Никаких планов по расширению, развитию нет.
Но мой контакт передадут "инженеру", вдруг задачи какие будут.
Почта 268mz@mail.ru
Не интересны</t>
  </si>
  <si>
    <t>Общался с Артемом, руководителем
В компании менее 10 человек
Расширяться, модернизироваться не планируют, укомплектнованы
Сервисами в облаке пользуются, лицензионное ничего не покупают
Компания маленькая, не интересна
По инженерным направлениям планов нет
На почту отправить инфу 37pravo@gmail.com</t>
  </si>
  <si>
    <t>Общался с руководителем Владимиром.
Компания занимается производством  упаковки.
Парк компьютерной техники маленький, менее 10 ПК
ПО лицензионное не приобретают, он специфично к тому относится.
ПО инженерным направлениям - планирует устанавливать дома систему видеонаблюдения, можно связаться с ним по этому направлению.
Веселый мужик, адекватный. По инженерке набрать, а так фирма не сильно интересна
avtopak@yandex.ru</t>
  </si>
  <si>
    <t>Общался с Михаилом, руководителем
Компьютеров много, количество не сказал (по инн 29 человек)
Сейчас укомплектованы, расширяться не планируют или модернизироваться
По инженерным проектам есть интерес, попросил прислать информацию о нас, по мультимедиа будет в дальнейшем интерес.
Еще раз набрать ему после того как отправлю инфу, узнать что по мультимедиа планируют</t>
  </si>
  <si>
    <t>Общался с Петром, руководитель
В компании 8 компьютеров
Планов по расширению, модернизаци нет
ПО лицензионное периодически не приобретают, ставит свой специалист что надо (пиратку)
По инженерным направлениям задач тоже никаких нет.
Компания маленькая, не интересны</t>
  </si>
  <si>
    <t>Общался с директором - Ринатом
1 ПК. По оборудованию запросов нет расширяться и модернизироваться не планирует. ПО тоже не нужно
По инженерным направлениям - есть запрос, но срочный. 2 камеры на улице, одна внутри,1 ТБ жесткий, возможность подключить ноут и подключение с мобильного, 10м между камерами, монтаж на высоте 3м в стену</t>
  </si>
  <si>
    <t>Общался с Директором Александром Михайловичем
Компьютерной техники не много
Есть два принтера А3, один уже умирает, второй норм.
Будут приобретать ще один принтер А3, модель пришлет
По инженерным проектам - сами они проектировщики, не интересно это направление.</t>
  </si>
  <si>
    <t>Общался с руководителем, Юлией
В компании менее 10 ПК
ПО не нужно, расширяться не планируют
По инженерке тоже глухо, по инн маленькие, не интересны</t>
  </si>
  <si>
    <t>Общался с Еленой, руководителем
В компании 4 ПК
Расширяться, модернизироваться не планирую.
По инженерным проектам также глухо всё
Маленькие, не интересны</t>
  </si>
  <si>
    <t>Менее 10 ПК в компании, иногда приобретают ПО, какое не назвали
Попросили прислать на почту инфу о нас
Все есть ничего не нужно
по инн маленькие не интересны</t>
  </si>
  <si>
    <t>Общался с секретарем (по совместительству экономистом)
В компании менее 10 пк
есть сис админ, за оборудование отвечает
Планов по приобретению или проблем нет
По инженерным проектам тоже глухо
Не интересны</t>
  </si>
  <si>
    <t>Общался с руководителем Владимиром Генндьевичем
4 ПК в компании
ПО используют "специализированное", поставщиков менять не будут и рассматривать других
по инженерным проектам планов никаких нет
компания не интересна</t>
  </si>
  <si>
    <t>В компании 3 компьютера
На утсорсе itшники
по инженерным проектам ничего не нужно, уже стоит видеонаблюдение
все устраивает в работе
компания маленькая не интересна</t>
  </si>
  <si>
    <t>Общался с Виорикой - директором
it Оборудование не интересно ей, есть компания, которая их обслуживает и всё покупает / настраивает
повесила трубку 
по инн 4 человека
не интересно</t>
  </si>
  <si>
    <t>Находятся на октябрьской, рядом
Общался с Алексеем, руководителем (+79038881108)
У них приходящий it специалист, покупают в днс, недавно покупку сделали на 80 000 руб.
5 принтеров
1 сервер
10 пк
По картриджам цены бы посмотрели, нравится что мы рядом и бесплатная доставка.
Не против выйти на встречу, но нужно чтобы it специалист был тоже на ней
Сам Алексей по инженерным направлениям больше шарит, тоже можно поработать будет</t>
  </si>
  <si>
    <t>Общался с Светланой, бухгалтером
Компьютеров менее 10 и несколько принтеров
ПО не приобретат
Планов по расширению нет
По инженерным направлениям тоже глухо
По инн маленькие, не интересны</t>
  </si>
  <si>
    <t>Общался с Алексеем руководителем
По инженерным проектам - они сами монтажом занимаются, не  вариант.
По ПО и IT оборудованию - есть поставщик, но в принципе нас может рассмотреть (замешкался, мб даже в розницу берут)
По ПО -UA и DA Сервера интересны, Simple Scada
Почта alexdandy36@gmail.com (или dandu).
Я бы еще набрал.
Закупаются под проекты, предложить разные варианты</t>
  </si>
  <si>
    <t>+7 (4932) 93-88-03 - общий номер, соединить с IT
Общался с IT специалистом - Алексеем
Компьютерный парк в 50+ машин + печатка
В работе оборудования ничего не беспокоит, модернизаций не планируются ,приобретают по необходимости.
Есть 2 сервера, один купили в прошлом году, все устраивает.
по ПО - приобрели все необходимое на несколько лет вперед, пока нет запросов.
По инженерке - пусто, нет задач 
Договорились на почту отправлю инфу, записал мой номер также 
 договорились что могу периодически звонить (раз в 1 - 2 месяца)
gavrilov@art-detex.ru</t>
  </si>
  <si>
    <t>Фирма занимается сборкой ПК, принтерами и ПО для клиентов
Itшник Никита, он дает по комплектующим рекомендации, закупки согласовывает руководитель - Дмитрий Геннадьевич.
Дмитрия на месте не было.
Серверным оборудованием не занимаются , его нет в принципе у них. Сами расширяться не планируют, все есть, закупки у них под клиентов.
В компании компьютеров мало.
По инженерке нужно общаться с Руководителем также.
Никите написать на телеграмм 89051060449 , вдруг удастся и через него поработать.ъ
Набрать в компанию, спросить руководителя</t>
  </si>
  <si>
    <t>Общался с директором, Андреем 
компания маленькая, не интересно
1 ноутбук в фирме, расширяться не планируют
по инженерке задач нет</t>
  </si>
  <si>
    <t>Ответила Бухгалтер, 1 ПК, работает удаленно
itшника нет, контактов никаких нет даже почты
по инн 1 человек - не актуально</t>
  </si>
  <si>
    <t>2ой номер домашний
Дозвонился по первому номеру 
Руководитель Александр, с ним общался
в компании принтер и пара ноутбуков
Планов по расширению, модернизации нет, в работе все утраивает. ПО не приобретают дицензионное.
По инженерным направлениям так же ничего не требуется, видеонаблюдение уже есть.
Отрпавить информационное, не интересны</t>
  </si>
  <si>
    <t>Общался с Владимиром - руководителем
Парк техники небольшой, до 10 ПК.
Планов по расширению, модернизации нет, и а ближайший год не планируется.
По инженерке - тоже глухо.
Не интересны</t>
  </si>
  <si>
    <t>Общался с Директором Александром
Компания закрывается. ничего не требуется , увы
Ни по компьютерам ни по инженерным направлениям</t>
  </si>
  <si>
    <t>В компании менее 10 ПК и печатки
ПО инженерным направлениям нет задач
Расширяться не планируют
it специалиста нет, вызывают по необходимости человека по найму</t>
  </si>
  <si>
    <t>Общался с Инженеров Владимиром Викторовичем (или наоборот) 
Задач по инженерному направлению нет, все работает исправно (видеонаблюдение)
ПО It оборудованию - позвонить на следующей неделе, itшник будет на месте, имя не сказали.
По ИНН 300 человек ,звони сюда</t>
  </si>
  <si>
    <t>Общался с Алексеем, менеджером
В компании до 10 ПК
ПО лицензионное не приобретают, по инженерному направлению также глухо всё.
Не интересны. по инн тоже маленькие</t>
  </si>
  <si>
    <t>Общался с руководителем Александром
ЗАнимается установкой систем видеонаблюдения, пожарной сигнализацией
ПО сути компьютеров нет, потому не сильно интересно
По инженерным - можно поработать с ними по поставке камер, датчиков и тд.
Напишу на ватсап, будет писать по запросам.
А так маленькая компания, не интересны</t>
  </si>
  <si>
    <t>Общался с Юлией Николаевной (учредитель)
По компьютерам - им поставляет и настраивает всё друг директора, менять ничего и сравнивать цены не будут.
По инженерным проектам планов нет, у них есть охрана которая занимается всем нужным.
не интересны, мелкие</t>
  </si>
  <si>
    <t>Общался с Директором - Михаилом.
В компании 5 компьютеров , принтер обычный и один а3
В работе оборудования проблем нет, расширений не планируется.
По инженерным направлениям также задач нет, ПО так же не интересно
Компания маленькая, не интересна
artex37@mail.ru</t>
  </si>
  <si>
    <t>Общался с учредителем Селиным Виталием Владимировичем
По it оборудованию пока что нет потребностей и планов
В компании небольшое количество оборудования, мнее 5ПК.
По инженерным направлениям также нет задач.
Договорились о созвоне</t>
  </si>
  <si>
    <t>Общался с Михаилом, ответственным за it направление
По оборудованию - парк не большой до 10 ПК (точное не назвал), укомплектованы, планов по расширению или модернизации нет
По инженерным проектам - задач нет, 6 камер уже стоит, этого достаточно.
Маленькие, не интересны</t>
  </si>
  <si>
    <t>занимаются газопроводом
в компании 2 человека
общался с бухгалтером
в офисе 2пк,  принтер , картриджи заправляют, есть компания которая обслуживает их (аутсорс)
инженерных проектов не бывает
не интересны</t>
  </si>
  <si>
    <t>Директор Ольга
1 ПК в компании, 3 сотрудника
не интересны</t>
  </si>
  <si>
    <t>стр. 02</t>
  </si>
  <si>
    <t>стр. 554</t>
  </si>
  <si>
    <t>стр. 550</t>
  </si>
  <si>
    <t>стр. 549</t>
  </si>
  <si>
    <t>стр. 517</t>
  </si>
  <si>
    <t>стр. 510</t>
  </si>
  <si>
    <t>стр. 504</t>
  </si>
  <si>
    <t>стр. 502</t>
  </si>
  <si>
    <t>стр. 488</t>
  </si>
  <si>
    <t>стр. 418</t>
  </si>
  <si>
    <t>стр. 414</t>
  </si>
  <si>
    <t>стр. 402</t>
  </si>
  <si>
    <t>стр. 397</t>
  </si>
  <si>
    <t>стр. 384</t>
  </si>
  <si>
    <t>стр. 377</t>
  </si>
  <si>
    <t>стр. 355</t>
  </si>
  <si>
    <t>стр. 337</t>
  </si>
  <si>
    <t>стр. 319</t>
  </si>
  <si>
    <t>стр. 311</t>
  </si>
  <si>
    <t>стр. 305</t>
  </si>
  <si>
    <t>стр. 284</t>
  </si>
  <si>
    <t>стр. 277</t>
  </si>
  <si>
    <t>стр. 273</t>
  </si>
  <si>
    <t>стр. 270</t>
  </si>
  <si>
    <t>стр. 266</t>
  </si>
  <si>
    <t>стр. 260</t>
  </si>
  <si>
    <t>стр. 229</t>
  </si>
  <si>
    <t>стр. 184</t>
  </si>
  <si>
    <t>стр. 147</t>
  </si>
  <si>
    <t>стр. 125</t>
  </si>
  <si>
    <t>стр. 115</t>
  </si>
  <si>
    <t>стр. 111</t>
  </si>
  <si>
    <t>стр. 110</t>
  </si>
  <si>
    <t>стр. 98</t>
  </si>
  <si>
    <t>стр. 90</t>
  </si>
  <si>
    <t>стр. 84</t>
  </si>
  <si>
    <t>стр. 79</t>
  </si>
  <si>
    <t>стр. 69</t>
  </si>
  <si>
    <t>стр. 68</t>
  </si>
  <si>
    <t>стр. 56</t>
  </si>
  <si>
    <t>стр. 44</t>
  </si>
  <si>
    <t>стр. 34</t>
  </si>
  <si>
    <t>стр. 27</t>
  </si>
  <si>
    <t>стр. 12</t>
  </si>
  <si>
    <t xml:space="preserve"> стр. 04</t>
  </si>
  <si>
    <t>стр. 10</t>
  </si>
  <si>
    <t>ООО "РИКОРДА"</t>
  </si>
  <si>
    <t>ООО РИКОРДА"</t>
  </si>
  <si>
    <t>ООО Профилактика 2.0</t>
  </si>
  <si>
    <t>ООО Бетоникум</t>
  </si>
  <si>
    <t>ООО Молочные Реки</t>
  </si>
  <si>
    <t>Блинов Сергей Александрович</t>
  </si>
  <si>
    <t>СДК-04753</t>
  </si>
  <si>
    <t>СДК-04729</t>
  </si>
  <si>
    <t>СДК-04645</t>
  </si>
  <si>
    <t>СДК-04509</t>
  </si>
  <si>
    <t>СДК-04640</t>
  </si>
  <si>
    <t>Сервер</t>
  </si>
  <si>
    <t>Инженерка</t>
  </si>
  <si>
    <t>Видеонаблюдение</t>
  </si>
  <si>
    <t>Мини АТС</t>
  </si>
  <si>
    <t>ПК сервер</t>
  </si>
  <si>
    <t>AI видеорегистратор, модули</t>
  </si>
  <si>
    <t>КНТ-88166</t>
  </si>
  <si>
    <t>Предложить несколько вариантов серверов.
Предложить варианты по информационной безопасности - межсетевые экраны.
Предложить компании, которым смогут закрыть некоторые другие запросы клиента.
Вывести на первую сделку.</t>
  </si>
  <si>
    <t>Предложили КП по северам, отправили варианты по межсетевым экранам, прислали список компаний по другим задачам клиента</t>
  </si>
  <si>
    <t>Проведена встреча с клиентом, результаты записаны в 1С
1 000 / шт.
Max 8</t>
  </si>
  <si>
    <t>ООО "ВЕСТАН"</t>
  </si>
  <si>
    <t>стр. 500</t>
  </si>
  <si>
    <t>Общался с Андреем, руководителем
Своего it специалиста нет, работают по потребностям приобретают когда ломается
Компьютером менее 10 шт, обновляться не планирую
Изредка антивирусы приобретают
Есть 1 сервер, но трудности в некоторой работе. Бэкапы + удаленное подключение не настраивается.
Прислат инфу о нас и цену на лицензионный виндовс для сервера.
так же вопрос - можем ли мы настроить удаленное подключение + бэкапы на пиратской винде?
По инженерным направлениям нет задач
89203450517@yandex.ru</t>
  </si>
  <si>
    <t>ООО "ИБИС-ПРИНТ"</t>
  </si>
  <si>
    <t>стр. 722</t>
  </si>
  <si>
    <t>ООО "БК-ГРУПП"</t>
  </si>
  <si>
    <t>стр. 416</t>
  </si>
  <si>
    <t>"Общался с Директором - Андреем 89109940046
Работают с населением
Компьютерный парк маленький до 10
Расширений, модернизаций не планируют.
ПО редко приобретают
По инженерным направлениям глухо.
Компания не интересна
bkgrup@bk.ru"</t>
  </si>
  <si>
    <t>ООО "БМ ТЕКСТИЛЬ"</t>
  </si>
  <si>
    <t>стр. 419</t>
  </si>
  <si>
    <t>"Общался с Александром, руководителем
В компании 1 человек - бухгалтер, 1 ПК
Расширений не планируют, по инженерным глухо
Не интересна компания"</t>
  </si>
  <si>
    <t>ООО "БПС"</t>
  </si>
  <si>
    <t>"+7 (49354) 2-11-00, переключить на Владимира it
it отдел который занимается компьютерами и принтерами
в компании порядка 70 ПК, сервера так же имеются
Пока модернизаций не планируется, напишет если что будет
По инженерным направлениям - сотрудники сови, но оборудование приобретать могут у нас.
Есть запросы по принтерам, голованя боль с тем, что часто заканчиваются картриджи. Печатают много при средней скорости, порядка 300-400 страниц в день.. Сейчас модели Hp m604, плюс минус устраивают, но вопрос картриджей.
Отрпавить на потчу инфу о нас и решение по картриджам.
Договорились созвониться. Можно вытащить на встречу."</t>
  </si>
  <si>
    <t>стр. 424</t>
  </si>
  <si>
    <t>ООО "БУМЕРАНГ"</t>
  </si>
  <si>
    <t>"Общался с Ладой,бухгалтер
В компании до 10 ПК
Рашсиряться не планируют, все устраивает
IT специалист на аутсорсе
По инженерным направлениям планов нет
Маленькая компания, не интересна"</t>
  </si>
  <si>
    <t>стр. 439</t>
  </si>
  <si>
    <t>"Общался с бухгалтером
 компании менее 10 пк, ПО уже купили бессрчное
Есть сис админ всем занимается, номера не дали
По инженерным планов не было
компания маленькая, не интересны"</t>
  </si>
  <si>
    <t>ООО "БУХГАЛТЕРИЯ БЕЗ ПРОБЛЕМ"</t>
  </si>
  <si>
    <t>ООО "ВЕКТОР"</t>
  </si>
  <si>
    <t>Звонил по первому номеру
Компьютеров чуть больше 10
Не разговорчивая женщина
Itшник приходящий, он дает иформацию что купить они покупают
Закупки редко, по инженерным направлениям глухо
Маленькая фирма, не интересны</t>
  </si>
  <si>
    <t>стр. 477</t>
  </si>
  <si>
    <t>ООО "ГРАНД-ИКС"</t>
  </si>
  <si>
    <t>"Общался с Системный администратором Игорем
В компании чуть больше 10 рабочих мест и печатка
Расширяться или модернизироваться не планируют
По инженерным глухо
Написать на почту
Компания не интересна"</t>
  </si>
  <si>
    <t>стр. 600</t>
  </si>
  <si>
    <t>ООО "ДЖЕНТРИ"</t>
  </si>
  <si>
    <t>стр. 639</t>
  </si>
  <si>
    <t>"Общался с Татьяной, руководителем
Компьютеров меньше 10
Ничего не нужно
itшника нет своего, когда нужно обращаются в компании
По инн тоже маленькие
Не интересны"</t>
  </si>
  <si>
    <t>"Общался с бухгалетром по номеру +7 (493) 220-49-50
Своего IT специалиста нет
В компании чуть больше 10 компьютеров
Обороты небольшие сказала, приобретают очень редко, когда что-то ломается
Отправить на почту предложение можно
По инженерным проектам не может ответить"</t>
  </si>
  <si>
    <t>ООО "ИВАНОВСКАЯ ТИПОГРАФИЯ"</t>
  </si>
  <si>
    <t>стр. 738</t>
  </si>
  <si>
    <t>ООО "ИНМИС"</t>
  </si>
  <si>
    <t>"Общался с Заместителем Директора Викторией (+7 (4932) 58-80-85)
В компании чуть больше 10 ПК
Обслуживает их компанию одна и таже фирма уже 7 лет, менять и сравнивать цены не хотят.
ПО сами производят и им же пользуются.
По инженерным проектам тоже глухо, сами всё могут.
информационное info@inmis.ru для Виктории"</t>
  </si>
  <si>
    <t>стр. 846</t>
  </si>
  <si>
    <t>ООО "ИНСИ"</t>
  </si>
  <si>
    <t>"Руководитель Сергей Валерьевич 84932414565
Компания занимается подшипниками
В компании менее 10 ПК
ПО инженерке глухо, расширяться не планируют, ПО также не интересно
Не наш клиент"</t>
  </si>
  <si>
    <t>стр. 849</t>
  </si>
  <si>
    <t>ООО "ИНТЕРАКТИВ.РУ.ИТ"</t>
  </si>
  <si>
    <t>"Общался с Марией, директором
В компании 1 рабочее место, ноутбук
ПО пиратское, инженерки нет
Расширяться не плнируют
Не интересны"</t>
  </si>
  <si>
    <t>стр. 854</t>
  </si>
  <si>
    <t>ООО "ИНТЕРСТРОЙ"</t>
  </si>
  <si>
    <t>"Общался с Павлом
Управляющая компания
В компании менее 10 ПК, редко что либо приобретают
Есть системный администратор, работает только на их компанию.
ПО не приобретают
По инженерным преоктам нет задач.
Не интересны"</t>
  </si>
  <si>
    <t>стр. 861</t>
  </si>
  <si>
    <t>"Общался с Сергеем, директором
Компания заморожена, по смежным фирмам задач нет
Используют ноутбуки, менее 10 шт и пара принтеров
Расширяться не планируют, ПО тоже не приобретают.
ПО инженерным проектам также нет задач.
Не интересны"</t>
  </si>
  <si>
    <t>ООО "ИНТЕХСТРОЙ"</t>
  </si>
  <si>
    <t>стр. 867</t>
  </si>
  <si>
    <t>Общался с Директором Олегом, +7 (920) 357-1606
Компьютерной техники у них много, запасов коплектующих тоже.
Лежит всего на несколько лет вперед, покупать ничего не будут
По ПО глухо
По инженерным направлениям тоже задач нет.
По инн маленькие, не интересны</t>
  </si>
  <si>
    <t>Анализ деятельности Февраль 2025.</t>
  </si>
  <si>
    <t>Анализ деятельности Январь 2025.</t>
  </si>
  <si>
    <t>стр. 824</t>
  </si>
  <si>
    <t>ООО "ИМИДЖ ТЕКСТИЛЬ"</t>
  </si>
  <si>
    <t>It специалист удаленный
по компьютеров планов по расширению ент
ПО не приобретают
По инженерным проектам - видеонаблюдение есть, больше ничего не требуется.
Не интересны</t>
  </si>
  <si>
    <t>ООО "БИЗНЕС-ЦЕНТР "ПАРТНЕР"</t>
  </si>
  <si>
    <t>стр. 411</t>
  </si>
  <si>
    <t>1 компьютизированное рабочее место, по инженерным направлениям нет задач
Не интересны</t>
  </si>
  <si>
    <t>СДК-04784</t>
  </si>
  <si>
    <t>Чеснок Дискаунтер</t>
  </si>
  <si>
    <t>Весы,ТСД, маршрутизаторы</t>
  </si>
  <si>
    <t>Проведена одна встреча
КНТ-88166</t>
  </si>
  <si>
    <t>Оплата 8000 - 100%</t>
  </si>
  <si>
    <t>ИВСТРОЙТЕХ стоматология Здравушка</t>
  </si>
  <si>
    <t>стр. 05</t>
  </si>
  <si>
    <t>"В компании порядка 30 пк, 20 печатной техники, 3 сервера DEll и 1 ручной сборки (пк). Есть 3 СХД . от них будут отказываться.
Винда по корпоративной подписке, ключ у директора, не может дать информации. Антивирус используют родной от винды, касперский их подвел и не хотят работать с этим.
Оказалось уже работает с Первушкиным Сергеем, есть заказ, КНТ-86449
По Здравушке я буду работать, по А-Грифу Сергей"</t>
  </si>
  <si>
    <t>Кинешемский ДСК</t>
  </si>
  <si>
    <t>стр. 07</t>
  </si>
  <si>
    <t>"Познакомились с Алексеем, адекватный 
В компании 3 этажа сотрудников, более 100 ПК
ПО используют не лицензионное, не интересует
По компьютерам - только только обновились, если будут запросы напишет
Есть 2 сервера, проблем в работе нет
По модернизации на этот год никак планов/задач нет
Инженерных проектов тоже нет"</t>
  </si>
  <si>
    <t>ООО "Лифтремонт"</t>
  </si>
  <si>
    <t>стр. 70</t>
  </si>
  <si>
    <t>"Общался с Директором - Верой Анатольевной +7 (910) 981-98-91
Компьютеров порядка 20ти
Есть сервак проблемный
Дала контакт своего сына, расскажет подробно о том, какие проблемы с сервером и что нужно улучшить. Если найдем общий язык - дадут контакты айтишников и можно поработать. 
Сына зовут Дмитрий, набрать в четверг - пятницу, он болеет
Номер сына 89303584637"</t>
  </si>
  <si>
    <t>ООО "ШИН-ТРЕЙД"</t>
  </si>
  <si>
    <t>стр. 76</t>
  </si>
  <si>
    <t>"itшник удаленный , контакты не дали
менее 10 ПК, укомплектованы, пара принтеров.Компания не интересна"</t>
  </si>
  <si>
    <t>ООО "Стайер Текс"</t>
  </si>
  <si>
    <t>стр. 82</t>
  </si>
  <si>
    <t>"Общался с Татьяной, менеджером по закупкам
Специалиста своего в компании у них нет
Новое здание, укомплектованы по рабочим местам.
В компании 30ПК и есть сервер. 
В планах делать свой сайт и хотели бы хранить на сервере
Списались в ватсапе, пришлю ей информацию по размещению сайта на серваке (для безопасности и тд).
 +7 (906) 512-25-55,"</t>
  </si>
  <si>
    <t>ООО "Навигатор"</t>
  </si>
  <si>
    <t>стр. 92</t>
  </si>
  <si>
    <t>"вонил по +7 (4932) 35-98-54, Общался с Дарьей, юр отдел/договора
Решения о покупках принимает руководитель, Егор Владимирович
itшника своего нет, аутсорс
В компании 20 компьютеров, печатная техника
Сейчас укомплектованы, проблем нет в работе
Есть сервер, но понему не подскажет
Контактов руководителя не дали, сказала написать на почту, передаст информацию
ivnavigator37@yandex.ru"</t>
  </si>
  <si>
    <t>ООО КОМПАНИЯ "СЕРВИС ТВ-ИНФО"</t>
  </si>
  <si>
    <t>"Общался с руководителем - Анатолием
Укомплектованы, они сами занимаются поставкой оборудования
Сказал ему что мы в больших обьемах приобретаем, может быть нам поставщики делают предложения интереснее и мы могли бы посотрудничать
отправить на почту информацию о нас, созвониться на следующей неделе
anatoly@stv.indi.ru"</t>
  </si>
  <si>
    <t>Анализ деятельности Март 2025.</t>
  </si>
  <si>
    <t xml:space="preserve">
12 000 - 100%
оплата по таблице</t>
  </si>
  <si>
    <t>5 000 - 100%</t>
  </si>
  <si>
    <t>6 000 - 100%</t>
  </si>
  <si>
    <t>Подготовить файл с интересными клиентами, согласовать его с руководителем и обзвонить все компании с целью назначения встречи на нашей конференции. Минимальное количество компаний в списке - 50 штук</t>
  </si>
  <si>
    <t>1 000 / штука
Max 6</t>
  </si>
  <si>
    <t>Проведено 3 результативные встречи с новыми клиентами или клиентами из СП. Результат встречи записан в 1С</t>
  </si>
  <si>
    <t>6 000 / 8 штук
Max 15 штук</t>
  </si>
  <si>
    <t>"В учет идут активности по СП и новым клиентам: 
1. Оплаченные счета от 50 т.р.,
2. Договора (отсрочка/рассрочка) от 100 т.р.,
3. СДК, занесенные в 1С от 350 т.р.,
* В рамках одного клиента идет в отчет один из перечисленных пунктов.</t>
  </si>
  <si>
    <t>ООО "ВАШ ЛОМБАРД"</t>
  </si>
  <si>
    <t>"Общался сс Андреем Фантиным
Специалист it отдела
В его подчинениее чуть более 10 ПК
ПО приобретено наперед, сроки не называют.
Приобретают что-либо по необходимости, новые рабочие места очень редко появляются.
По инженерным проектам глухо.
Маленькие, не интересны"</t>
  </si>
  <si>
    <t>стр. 452</t>
  </si>
  <si>
    <t>стр. 534</t>
  </si>
  <si>
    <t>ООО "ВОСПАК"</t>
  </si>
  <si>
    <t>Общался с Руководителем, Енок
В компании менее 10 пк и несколько принтеров
Сейчас укомплектованы, ничего не планируют приобретать
По инженерным проектам также задач нет
Компания не интересна</t>
  </si>
  <si>
    <t>ООО "ГЕОПРОЕКТИЗЫСКАНИЯ"</t>
  </si>
  <si>
    <t>стр. 569</t>
  </si>
  <si>
    <t>"Общался с Дарьей, бухгалтером
В компании 1 ПК
ПО не покупают, расширяться не будут
Сразу отказ дала
Не интересна фирма"</t>
  </si>
  <si>
    <t>ООО "ФУРМАНОВСКАЯ ЗЕМЕЛЬНАЯ КОМПАНИЯ"</t>
  </si>
  <si>
    <t>"Общался с Алексеем, it специалист
Оборудования порядка 50шт, часто появляются рабочие места где сразу нужен полный комплект - телефон, принтер, компьютер, монитор.
Также есть интерес по Скуду.
Отправить информацию на почту it@ivku.ru
+ в холдинге ООО ""ГОРМАШИНВЕСТ"" 3711019685"</t>
  </si>
  <si>
    <t>стр. 592</t>
  </si>
  <si>
    <t>стр. 629</t>
  </si>
  <si>
    <t>ООО "ДЕМЕТРА"</t>
  </si>
  <si>
    <t>Общался с Директором - Александром
В компании всего 2 компьютера и принтер
Расширяться на ближайший год не планирую
По инженерным направлениям всё уже есть и исправно работают.
Расширяться не планируют
Адекватный</t>
  </si>
  <si>
    <t>"Общался с бухгалтером Екатериной
В компании менее 10 ПК
ПО не приобретают
Свой системный администратор, закупки редко
Условия её не привлекли, ведь ""закупать нечего"".
По инженерным направлениям нет смежных
Не интересны"</t>
  </si>
  <si>
    <t>ООО "ИВАНОВО-КОНЦЕРТ"</t>
  </si>
  <si>
    <t>стр. 732</t>
  </si>
  <si>
    <t>ООО "ИНИЦИАТИВА"</t>
  </si>
  <si>
    <t>стр. 845</t>
  </si>
  <si>
    <t>"Дозвонился по первому номеру
Общался с Василием, специалист по сопровождению 1С
В компании больше 20 ПК и печатка, несколько офисов.
Про планы на расширение не слышал ничего.
По инженерному направлению не смог дать информации.
Данные мои записал и направления, передаст руководству.
Я бы позвонил еще раз по другим номерам"</t>
  </si>
  <si>
    <t>ООО "ВАШ СТИЛЬ"</t>
  </si>
  <si>
    <t>стр. 455</t>
  </si>
  <si>
    <t>"Маленькое ателье, компьютеры не используют вообще
Не интересны"</t>
  </si>
  <si>
    <t>ДРИМЕР</t>
  </si>
  <si>
    <t>стр. 16</t>
  </si>
  <si>
    <t>"Общался с Вячеславом, главным инженером
Своего IT специалиста нет, Аутсорс.
10 компьютеров и несколько принтеров
Компания в процессе реорганизации, на этот год закупок не планируется.
По инженерным направлениям тоже глухо.
В компании несколько тракторов и машин, но система видеонаблюдения не нужна.
Отправить информационное письмо
Не интересны
Компания не интересна"</t>
  </si>
  <si>
    <t>ООО "ДСОЛ КД "Березовая Роща"</t>
  </si>
  <si>
    <t>стр. 35</t>
  </si>
  <si>
    <t>"Общался с Ириной Владимировной, заместителем руководителя
В компании менее 10 компьютеров
ПО не нужно
По инжнереным направлениям тоже нет запросов
Ни Wifi, ни мультимедиа, ни СВН - ничего не нужно.
Не интересны"</t>
  </si>
  <si>
    <t>ООО "Зоолига"</t>
  </si>
  <si>
    <t>"Номер бухгалтера
89612470710 Наталья
Общался с Владимиром Анатольевичем, директором
Itшника нету
В компании чуть больше 10 ПК.
Планов на этот год по расширению и модернизации нет.
По инженерке тоже глухо.
Взял его мобильный номер, договорились списаться в whats'upе.
Небольшая компания, не интересны"</t>
  </si>
  <si>
    <t>ООО "Патриот"</t>
  </si>
  <si>
    <t>"По 1 номеру дозвонился
В компании менее 10 ПК, ПО не приобретают
ITшника нет
ПО не приобретают
По инженерным направлениям ничего не нужно.
По инн 8 сотрудников, уменьшается их количество ежегодно
Не интересны"</t>
  </si>
  <si>
    <t>стр. 95</t>
  </si>
  <si>
    <t>ООО ТУНТЕКС</t>
  </si>
  <si>
    <t>"Общался с Артемом , директором
Компания маленькая, компьютеров менее 10 шт, расширяться не планируют
По Инженерке мимо, по крайне мере в этом году нет планов
Не против созвониться к концу года, когда будут планировать на 2026 может что-то появиться.
Не интересны, но позвонить в конце года можно будет"</t>
  </si>
  <si>
    <t>стр. 107</t>
  </si>
  <si>
    <t>ООО ЧОО ТОРНАДО</t>
  </si>
  <si>
    <t>"Общался с Дмитрием, отдел сотрудничества
В компании 8 человек и 8 компьютеров
По оборудованию интересов нет в сотрудничестве
По инженерным направлениям - они не занимаются, не интересно"</t>
  </si>
  <si>
    <t>стр. 126</t>
  </si>
  <si>
    <t>ООО "Компания Мариша"</t>
  </si>
  <si>
    <t>"Руководитель Дмитрий Юрьевич
Общался с менеджером по второму номеру
По количеству компьютеров - меньше 10 в их офисе.
Про другие их помещения не в курсе.
По инн 38 человек, еще раз позвонить стоит.
Позвонить по номерам из интернета попробовать"</t>
  </si>
  <si>
    <t>стр. 146</t>
  </si>
  <si>
    <t>МП "ГОЦ" ГОРОДСКОЙ ОЗДОРОВИТЕЛЬНЫЙ ЦЕНТР Г.ИВАНОВО</t>
  </si>
  <si>
    <t>"Заместитель директора Сергей Сергеевич
Занимается договорами  и сотрудничеством он
В компании нет it специалиста
15 компьютеров и принтеров в этом филиале
у них 4 филила в иваново, оборудования больше
в поисках itшника или аутсорса
Задавал вопросы по этому направлению. 
Общительный мужик, говорил что сам продажником был, пообщались по душам дополнительно.
Отправить на почту ему свои контакты  zam_goc@mail.ru
Вытащить его на мероприятие
Договорились созваниваться периодически"</t>
  </si>
  <si>
    <t>стр. 181</t>
  </si>
  <si>
    <t>АО "СМУ-1"</t>
  </si>
  <si>
    <t>стр. 203</t>
  </si>
  <si>
    <t>"Второй номер
Общался с Мариной Валерьевной - специалист отдела кадров
Строительная компания
В компании 10 компьютеров
Сотрудник отдела закупок занимается закупной IT оборудования если что нужно.
По инженерным направлениям задач не бывает.
Не интересны, маленькие"</t>
  </si>
  <si>
    <t>ООО "Аквамастер Иваново"</t>
  </si>
  <si>
    <t>"Общался с директором Михаилом Юрьевичем, руководителем
Магазин оборудования
В компании порядка 10 компьютеров и несколько принтеров
It специалист на аутсорсе, приходящий
По инженерке задач нет
Не интересны"</t>
  </si>
  <si>
    <t>стр. 216</t>
  </si>
  <si>
    <t>ООО "ЦМТ"</t>
  </si>
  <si>
    <t>стро. 52</t>
  </si>
  <si>
    <t>"По первому номеру дозвонился
Общался с Игорем - директором
В компании есть IT специалист, который работает на МТС и немного помогает им.
Компьютеров не много, запросов нет, если и бывают этот ITшник их решает.
Серверного оборудования больше нет в компании, перешли на хостинг.
По инженерке - врядли получится поработать, они покупают у производителей оборудование для ФСБ и других структур.
Отправлю ему информацию на почту. 
По инн маленькая фирма, не интересна.
Попробовать позвонить чтобы выйти на itшника"</t>
  </si>
  <si>
    <t>ООО "АГЕНСТВО-01"</t>
  </si>
  <si>
    <t>стр. 234</t>
  </si>
  <si>
    <t>"Общался с Дмитрием руководителем
Компьютеров меньше 10 шт.
It специалист на аутсорсе по необходимости
ПО не приобретают
По инженерке задач никаких нет
Компания маленькая не интересна"</t>
  </si>
  <si>
    <t>ООО "ГАРАНТ-М"</t>
  </si>
  <si>
    <t>"Общался с системный администратором Виталием
В компании порядка 15 компьютеров.
Планируют приобретать сервер под 1С.
Обращались в компанию IT Telo, им расчитали на 816 тыс. руб. 
Бюджет еще не согласован с руководителем.
На вопрос количества пользователей сказал ""много"".
По инженерным направлениям нет задач."</t>
  </si>
  <si>
    <t>стр. 561</t>
  </si>
  <si>
    <t>ООО "ДЕЛОВОЙ СТИЛЬ"</t>
  </si>
  <si>
    <t>стр. 624</t>
  </si>
  <si>
    <t>"Общался с Вячеславом, it специалист
Покупают в московской фирме за 20-25% от стоимости любой позиции, которую они захотят.
Пытался ему обьяснить что это почти не возможно - но безссмысленно.
По ПО нет приобретений, по инженерке тоже глухо.
Предлагал сравнить цены - если выгоднее 20 % не предложим то нет смысла
По инн маленькие.
не интересны"</t>
  </si>
  <si>
    <t>ООО "ИНТЕРМЕТ"</t>
  </si>
  <si>
    <t>стр. 858</t>
  </si>
  <si>
    <t>"Общался с диреткором - Александр Евгеньевич 89106684488
Компания расформировывается.
В компании менее 10 ПК, закупок не планируется
ПО не приобретают
По инженерке - СВН уже установлено, ничего не интересно"</t>
  </si>
  <si>
    <t>"Общался с главным проектировщиком, Олегом Витальевичем
в компании 9 компьютеров
покупают если что ломается
компания занимается электромонтажными работами сами
поставка оборудования им не интересна, по инженерке тоже глухо"</t>
  </si>
  <si>
    <t>стр. 862</t>
  </si>
  <si>
    <t>"Общался с Николаем - техническим директором (есть в базе).
Задач по it направлению сейчас нет
В компании 50 Пк и печатка, несколько серверов
По инженерке тишина
Хотел было сливаться, но пригласил его на мероприятие.
Отправить информацию по мероприятию - Дату, программу, список внедоров."</t>
  </si>
  <si>
    <t>ООО "УЛЬТРАСТАБ"</t>
  </si>
  <si>
    <t>СУП-ДС-259 (ДСП 3ч)</t>
  </si>
  <si>
    <t>СУП-ДС-268 (ДСП Иваново-Кинешма)</t>
  </si>
  <si>
    <t>Выполнено 50 результативных звонков за Март</t>
  </si>
  <si>
    <t>ООО "Спецлаборатория-1"</t>
  </si>
  <si>
    <t>"Секретарь Наталья
Общался с Ген Директором - Ильей
В компании 10 ПК и несколько МФУ
Компания собирает компьютеры, а также занимается пожаркой, СВН и сетевым оборудованием.
Илья не против посотрудничать, запросы бывают часто.
Сами покупают в Тинком и Ford Group, иногда в Амиком.
Важны сроки и отсрочка! Не потерпят провалов в сроках поставки.
Отправить на почту карточку, посмотрит, спишемся в ватсапе. Если не напишет - позвони ему обязательно!
ik@goal.ru"</t>
  </si>
  <si>
    <t>"Общался с Павлом, менеджером по закупкам
Есть системный администратор штатный
В компании менее 10 ПК
Недавно купили принтер А3, планов больше нет на этот год
ПО не приобретают, по инженерке глухо.
По инн также маленькая фирма, по сотрудникам и обороту.
Не интересны
Почта 363300@mail.ru"</t>
  </si>
  <si>
    <t>ООО "Швейные Системы"</t>
  </si>
  <si>
    <t>стр. 46</t>
  </si>
  <si>
    <t>ООО "ГОРИЗОНТ</t>
  </si>
  <si>
    <t>"По первому номеру дозвонился
Переключить на сис админа
Пообщался с Антоном сис админом
Работает только на эту компанию.
Менее 10 компьютеров в фирме
ПО не приобретают, раз в полгода закупки если что - то выходит из строя.
Серверное и сетевое оборудование не планируют приобретать.
По иненерке не к нему вопрос.
По инн тоже маленькие, не интересны"</t>
  </si>
  <si>
    <t>"Общался с старшим администратором Еленой
В компании 10 ПК
Системного администратора нет, вызывают при необходимоссти
Закупки согласовывает бухгалтер
ПО не приобретают , по инженерке глухо.
Маленькая компания, по инн тоже все печально.
Не интересны"</t>
  </si>
  <si>
    <t>ООО "Практика"</t>
  </si>
  <si>
    <t>стр. 67</t>
  </si>
  <si>
    <t>"Общался с Андреем Павловичем - руководитель, конкурсный управляющий
Его прямой номер 300695
В компании более 20 компьютеров на данный момент.
Планы по it есть, есть постоянные запросы.
Ранее Андрей работал с Кулагиным Алексеем и все нравилось.
Потом поменяли менеджера и работать перестали.
Будет работать со мной если уровень сервиса будет идентичен тому, который был при Алексее.
Отправил ему свои контакты, настроен положительно. Периодически звонить ему."</t>
  </si>
  <si>
    <t>ООО "ВВК"</t>
  </si>
  <si>
    <t>стр. 461</t>
  </si>
  <si>
    <t>"84942494440
Системный админисратор Андрей
Открыт к общению
В компании порядка 50 компьютеров и несколько серверов
Серваки приобретали недавно, не актуально
Приобретают в основном в Ситилинки и ДНСе, если можем быть конкурентоспособными - то готовы с нами поработать
По мероприятию - вполне не против посетить, прислать ему информацию."</t>
  </si>
  <si>
    <t>ООО "КТК"</t>
  </si>
  <si>
    <t>нет</t>
  </si>
  <si>
    <t>ООО "РС-Групп"</t>
  </si>
  <si>
    <t>"Руководитель Михаил Вячеславович.
ITшника нет в компании ,все покупки согласовывает Михаил.
менее 10 ПК в фирме
По компьютерам задач нет
ПО инженерке глухо 
По инн также маленькие, не интересны"</t>
  </si>
  <si>
    <t>стр. 72</t>
  </si>
  <si>
    <t>ООО "АДОНИС"</t>
  </si>
  <si>
    <t>стр.250</t>
  </si>
  <si>
    <t>"Пообщались с IT специалистом Николаем
О нашей компании знает,работал раньше через Рогова Илью
В компании 10-20 ПК, 1 сервер и немного печатки
Приобретают по необходимости обычно
Периодически можно звонить, отправить свои контакты ему"</t>
  </si>
  <si>
    <t>ООО ПТК "КРАСНАЯ ВЕТКА"</t>
  </si>
  <si>
    <t>"Общался с Олегом - в красной ветке больше не работает, но в других  2х компаниях числится. 50 пк. несколько серверов, по используют -- RED ОС на серваках, всё нравится.
Был негативный опыт работы где флешку починить / поменять в сервисном центре не могли, сказал что сейчас модернизации произошли и улучшение в логистическом напраавлении, такого больше нет
Пригласил на мероприятие - понравилась идея.
Отправить на почту контакты свои + план мероприятия с датами и вендорами"</t>
  </si>
  <si>
    <t>стр. 7</t>
  </si>
  <si>
    <t>ООО "АЛЬТАИР-2"</t>
  </si>
  <si>
    <t>"Общался с Романом, техническим директором
Порядка 100 ПК , несколько серверов, в работе оборудования всё устраивает модернизаций не планируют. 
Есть несколько филиалов в разных регионах.
Приобретают в ситилинке по необходимости.
Печатным парком занимается компания принтера, каждый их филиал обслуживает, работают давно даже сравнивать цены не будут.
Касперский будут обновлять ближе к когнцу года.
 Винду не приобреобретают.
По инженерке нет задач.
Непробливаемый, посмотрел сайт, ничего рассматривать не хочет
Касперский будут обновлять ближе к концу года
Пригласить на мероприятие"</t>
  </si>
  <si>
    <t>стр. 8</t>
  </si>
  <si>
    <t>"Общался с Ингой - директором
В компании меньше 10 ПК
Запросы бывают очерень редко, покупают в ДНС и ситилинке.
По ПО запросы больше по ЦРМ системам.
Инженерных задач нет.
Отправлю информационное
Посотрудничать не потив, компания нам не  интересна"</t>
  </si>
  <si>
    <t>ООО "КРУТОВА.КЛИНИК"</t>
  </si>
  <si>
    <t>стр. 1179</t>
  </si>
  <si>
    <t>"Общался с секретарем Викторией
В компании 10 компьютеров
Нет IT специалиста
Отправить информационное - не интересны"</t>
  </si>
  <si>
    <t>ООО "ТИТАН"</t>
  </si>
  <si>
    <t>стр. 1176</t>
  </si>
  <si>
    <t>ООО "ПРОТЕКС-ОСНОВА"</t>
  </si>
  <si>
    <t>"Общался с Иваном, директором
+7 910 667-77-33
mamedov.protex@mail.ru
Более 100 ПК и печатки
Есть IT отдел и свой сервисный центр.
Постоянные заказы в мерлионе, нет лабе, частые заказы там.
Сравнивал в чем будет интерес работать с нами, а не напрямую
По инженерке не уточнял, еще раз созвониться и обсудить.
У них в холдинге ультраснаб :DD
Пригласил на мероприятие для знакомства."</t>
  </si>
  <si>
    <t>стр. 1170</t>
  </si>
  <si>
    <t>"Холдинг с норм оборотами, ТД Партнер и Швейкомплект
Общался с Владимиром, директором 89051093882
Почта gammacorp123@mail.ru
Отправить инфу на почту.
Часто бывают проекты где нужны СВН и СКС. Готов обращаться по подобным задачам к нам. В компании не много компьютеров, порядка 20 шт.
ПО не приобретают.
Мероприятие не интересно. 
Периодически звонить можно"</t>
  </si>
  <si>
    <t>ООО "ГАММА"</t>
  </si>
  <si>
    <t>стр. 1178</t>
  </si>
  <si>
    <t>ООО "ТНС-ТЕКСТИЛЬ"</t>
  </si>
  <si>
    <t>"Познакомился с Ген директором Артемом Алексеевичем
В компании 20 ПК,сервак,  ITшник удаленный, покупают в днс, готовы работать
Основные работы касаются инжерерки, у них склады.
Есть потребность, планируют проводить работы по складу, передать Гольцову контакты.
По инн обороты норм, виден рост х4 по обороту, расширяются скорее всего
ПО не приобретают"</t>
  </si>
  <si>
    <t>стр. 1169</t>
  </si>
  <si>
    <t>стр. 1164</t>
  </si>
  <si>
    <t>Холдинг компаний
попал в Глайдер, Лоза Профи, Барберан
Свой IT специалист есть, занимается подбором оборудования он.
В компании порядка 100ПК и принтеров.
По инженерным направлениям - есть отдел безопасности и инженер, две ступени отвечающие за подбор подрядчика для работ.
ПО - в основном 1С, надо у itшника спрашивать.
Отправить приглашение и инфу о компании алексею на ватсап, он перешлет руководству.</t>
  </si>
  <si>
    <t>ООО "ИНЭЛСИ"</t>
  </si>
  <si>
    <t>стр. 1160</t>
  </si>
  <si>
    <t>"Общался с Вадимом, руководителем IT отдела
У них все айтишники там, занимаются производством оборудования и програмированием хД
В компании порядка 30 ПК и печатка
По инженерке и ПО глухо, ничего не приобретают.
Возможно по железякам посотрудничать получится сказал.
Отправил приглашение на почту."</t>
  </si>
  <si>
    <t>ООО "ТЕКСХИМ"</t>
  </si>
  <si>
    <t>"Познакомились с Юлией, директором.
Фитнес клуб в Кохме (бонус фитнес)
Порядка 10 ПК в фирме и принтеры
Особо задач нет, поддерживают то, что имеется.
Используют обланое ПО, ничего не приобретают.
Оборудование редко ломается, если и ломается одним днем чинят.
IT специалиста нет.
По инженерному направлению будут задачи примерно через 1,5 года.
Планируют строить бассейн, там будут размещать видеонаблюдению + оборудование.
Договорились созвониться ближе к зиме, узнать стадию по этой задаче."</t>
  </si>
  <si>
    <t>стр. 1139</t>
  </si>
  <si>
    <t>ООО "ПОРТА БЕНЕ"</t>
  </si>
  <si>
    <t>"Созвонились с Артёмом сис админом
В компании компьютеров 20 от силы и немного печатки.
ПО не планируют приобретать, по инженерке тоже глухо.
Пригласил на мероприятие - согласился.
Под конец разговора сказал что планировалась встреча в Родниках с кем-то из наших коллег. Но его задинамили и не приехали. Имя не помнит менеджера."</t>
  </si>
  <si>
    <t>стр. 1136</t>
  </si>
  <si>
    <t>ООО "НЬЮФАРМ"</t>
  </si>
  <si>
    <t>"Пообщались с Александром Владимировичем
Компания занимается стройкой.
В компании порядка 50ПК, несколько серверов и печатка.
Не против посотрудничать.
По инженерке пока что нет задач.
Пригласил на мероприятие, он не против, отправил приглашение."</t>
  </si>
  <si>
    <t>стр. 939</t>
  </si>
  <si>
    <t>ООО "АХТ"</t>
  </si>
  <si>
    <t>"Общался с Еленой, бухгалтером
Компания занимается оптовой торговлей, как такогового оборудования, склада у них нет.
2 компьютера, иногда покупают крипто про и 1с.
По инженерке задач не бывает.
Не интересны"</t>
  </si>
  <si>
    <t>стр. 916</t>
  </si>
  <si>
    <t>АО "ПЛЕМЗАВОД ИМ. ДЗЕРЖИНСКОГО"</t>
  </si>
  <si>
    <t>"""Общался с Верой, бухгалтером
Дали номер телефона Генерального директора Шамиля Гаджиевича 89206759723
Уходит в отпуск с 28.03. по 03.04.
Системный администратор Александр Шапенко обслуживает
В компании порядка 50 компьютеров и печатная техника.
Приобретают по необходимости, Александр в розницу берет все.
По инженерке задачи по сути есть - СКУД не доделали как я понял, уточнить еще раз у директора. Камеры есть, на телефоны всё выводится, но не понятно есть ли пост охранный и тд.
Набрать руководителю после отпуск, itшнику написать на почту""
Созвонился с Александром. Он сам из Владимира, на мероприятие не поедет - другой город. Работает в другом месте, Племзавод это не основное. По инжнерке сказал компания обращается в ростелеком и подобным, но он будет иметь ввиду. По оборудованию - розница."</t>
  </si>
  <si>
    <t>стр. 908</t>
  </si>
  <si>
    <t>АО "ИВХИМПРОМ"</t>
  </si>
  <si>
    <t>"Познакомились с Дмитрием Вячеславовичем, начальником IT
В компании 100 ПК + печатная техника.
3 сервака, проблем в работе нет
ПО не приобретают
По инженерным направлениям можно будет связаться после лета, возможно будут задачи.
Пригласил на мероприятие, не против посетить."</t>
  </si>
  <si>
    <t>стр. 903</t>
  </si>
  <si>
    <r>
      <t xml:space="preserve">Оборот по новым клиентам за Март составил </t>
    </r>
    <r>
      <rPr>
        <sz val="10"/>
        <color theme="1"/>
        <rFont val="Calibri"/>
        <family val="2"/>
        <charset val="204"/>
        <scheme val="minor"/>
      </rPr>
      <t>979 670,61</t>
    </r>
  </si>
  <si>
    <t>Фактическое выполнение 128%</t>
  </si>
  <si>
    <t>Проведено 0 встреч</t>
  </si>
  <si>
    <t>ООО Вент маркет</t>
  </si>
  <si>
    <t>Видеонаблюдение и ПО</t>
  </si>
  <si>
    <t>СВН, принтеры и материалы</t>
  </si>
  <si>
    <t>ООО Экомера</t>
  </si>
  <si>
    <t>ПК-сервер</t>
  </si>
  <si>
    <t>ООО Вент Маркет</t>
  </si>
  <si>
    <t>ИП Гончаров</t>
  </si>
  <si>
    <t>СДК-04898</t>
  </si>
  <si>
    <t>СДК-04863</t>
  </si>
  <si>
    <t>СДК-04954</t>
  </si>
  <si>
    <t>СДК-05020</t>
  </si>
  <si>
    <t>СДК-04955</t>
  </si>
  <si>
    <t>СДК-04893</t>
  </si>
  <si>
    <t>СДК-04864</t>
  </si>
  <si>
    <t>ИП Назаренко</t>
  </si>
  <si>
    <t>МТС Вологодской области</t>
  </si>
  <si>
    <t>ХБК Навтекс</t>
  </si>
  <si>
    <t>АКС-проект</t>
  </si>
  <si>
    <t>ПК и МФУ А3</t>
  </si>
  <si>
    <t>Периферия</t>
  </si>
  <si>
    <t>Термопринтеры и этикетки</t>
  </si>
  <si>
    <t>СДК-05074</t>
  </si>
  <si>
    <t>ИП Пипкин</t>
  </si>
  <si>
    <t>ООО "ВИВАТ 3"</t>
  </si>
  <si>
    <t>стр. 503</t>
  </si>
  <si>
    <t>Общался с Ильей
Покупают по необходимости, в розницу.
В компании 30 ПК, 12 принтеров
Есть 1 сервер
В работе оборудования ничего не беспокоит.
ПО не планирует приобретать.
По инженерке - задач нет, видеонаблюдение исправно работает на производстве.
Иногда покупают термопринтеры, но пока не планируют брать.
Обменялись контактами, периодически созваниваться
Пригласил его и руководителя на мероприятие. Скорее всего не получится, онлайн варианты интересны больше.</t>
  </si>
  <si>
    <t>ООО "АГРОФИРМА"</t>
  </si>
  <si>
    <t>"IT-специалист удаленный
В компании чуть больше 10 ПК
Не интересны
Отправить на почту информацию
agro.firma37@mail.ru"</t>
  </si>
  <si>
    <t>стр. 897</t>
  </si>
  <si>
    <t>ООО "КРЕПТОРГ"</t>
  </si>
  <si>
    <t>"Познакомились с Даниилом.
В основном занимаются куплей / продажей, у самих оборудования почти нет.
Когда появятся задачи - мне напишет, обменялись контактами.
По инженерке у них задач нет, так же если клиенту будет надо - обратятся."</t>
  </si>
  <si>
    <t>стр 1140</t>
  </si>
  <si>
    <t>ООО "БАРБЕРАН"</t>
  </si>
  <si>
    <t>7 активностей:
Сч-172695 (Оплаченый счет от 50 т.р.)
Сч-172800 (Оплаченый счет от 50 т.р.)
СДК-04864 (&gt;350 т.р.)
СДК-04893 (&gt;350 т.р.)
СДК-04898 (&gt;350 т.р.)
Сч-173839 (Оплаченый счет от 50 т.р.)
СДК-05020 (&gt;350 т.р.)</t>
  </si>
  <si>
    <t>СУП-ДС-259 (ДСП 2ч)</t>
  </si>
  <si>
    <t xml:space="preserve">Фактическое выполнение 100% </t>
  </si>
  <si>
    <t>Фактическое выполнение 100% 
Итоговое количество - 52 компании</t>
  </si>
  <si>
    <t>ООО "Молочные реки"</t>
  </si>
  <si>
    <t>Общался с Директором, Александр зовут.
Меньше 10 рабочих мест
Занимаются стройкой, есть проектировщики.
Рабочие места уже укомплектованы, модернизаций не планируется.
По инженерным направлениям нет задач.
Договорились связаться в ватсапе, отправить информацию о компании.
Отказ</t>
  </si>
  <si>
    <t>СДК-05100</t>
  </si>
  <si>
    <t>Терминалы</t>
  </si>
  <si>
    <t>Анализ деятельности Апрель 2025.</t>
  </si>
  <si>
    <t>ООО "ТРЕАНОВА"</t>
  </si>
  <si>
    <t>стр. 929</t>
  </si>
  <si>
    <t>"Общался с Вадимом
Работает на них на удаленке, консультирует периодически
В фирме есть сис админ не сильно шарящий
В компании 40 пк, 1 сервер и печатная техника (не сказал количество).
Работает исправно, поддерживают работоспособность.
Покупают термопринтеры, можно посотрудничать в этом направлении.
По инженерке нет задач.
Приглашение  им отправил, пока что думают"</t>
  </si>
  <si>
    <t>ООО ТД "РУСХИМВОЛОКНО"</t>
  </si>
  <si>
    <t>"Общался с Александром, директором
IT специалиста нет, в компании менее 10 ПК.
Большое производство, возможно получится посотрудничать в этом направлении.
ПО не приобретают никакое
Закупки в розницу и очень редко
Позвонить на производство, пообщаться по инженерке.
Приглашение отправил, обороты большие у компании
Второй номер - склад!"</t>
  </si>
  <si>
    <t>стр. 930</t>
  </si>
  <si>
    <t>ООО "КАРБОН"</t>
  </si>
  <si>
    <t>"Познакомились с Антоном, сис админом
80 пк и печатка
ПО не приобретают
Есть один сервер, работает исправно
В работе оборудования ничего не беспокоит.
По инженерке - не к нему
Периодически можно созваниваться по запросам
Пригласил на мероприятие, подумает"</t>
  </si>
  <si>
    <t>стр. 931</t>
  </si>
  <si>
    <t>ООО "МЕТАЛЛ-АЛЬЯНС"</t>
  </si>
  <si>
    <t>"Познакомились с Александром. 
Покупают по необходимостив розницу
Работает на несколько компаний, общались с ним по Металл - Альянсу
В фирме 15 компьютеров и 5 мфу
ПО не покупают
Есть несколько серверов под разные задачи
По инженерке не к нему.
Отправил приглашение в Ватсап"</t>
  </si>
  <si>
    <t>стр. 935</t>
  </si>
  <si>
    <t>ООО "САХАРОПТ"</t>
  </si>
  <si>
    <t>стр. 937</t>
  </si>
  <si>
    <t>"Общался с Иваном, it специалистом
892034441595
Работает на несколько компаний, порядка 80 ПК обслуживает + печатка
Есть Серверное и сетевое оборудование.
По инженерке задачи редко встречаются
По ПО - в основном 1С,red os, linux
Пригласил на мероприятие, направление ему интересно по Qtech.
Не против поработать"</t>
  </si>
  <si>
    <t>ООО "Т-Л"</t>
  </si>
  <si>
    <t>стр. 945</t>
  </si>
  <si>
    <t>"Общался с Максимом, директором
В компании 4 компьютера и мфу
Пп инженерке глухо, камеры не нужны, всё стоит
Термопринтеры/ ТСД не интересны.
ПО не покупают
Не интересная компания"</t>
  </si>
  <si>
    <t>ООО "РЕСУРС"</t>
  </si>
  <si>
    <t>стр. 950</t>
  </si>
  <si>
    <t>Общался с менеджером , имя не сказала
Занимаюся лесом.
В офисе 5 компьютеров и несколько принтеров
Склада нет
Производство под открытым небом, ничего не нужно
ПО не приобретают
Компания не интересна</t>
  </si>
  <si>
    <t>ООО "ЭНКИ СТРОЙ"</t>
  </si>
  <si>
    <t>Общался с директором, Максимом - 89038886614
В компании 1-2 ноутбука, им для работы ничего не нужно. Стройка их конек
По инженерке - свн, скс, волс мимо.
Приобретают специфичное оборудование, напишет позиции - посмотрю.
Компания не интересна, маленькие"</t>
  </si>
  <si>
    <t>стр. 969</t>
  </si>
  <si>
    <t>"Общался с Вениамином, заместителем генерального директора
IT специалиста нет в фирме
Приобретают в розницу , выбирают по цене
В компании 15 компьютеров и печатка
ПО не приобретают
2 года назад полностью обновили парк, новые рабочие места редко появляются
По инженерке - недавно поставили СВН и видеорегистратор.
Не против поработать, можно периодически созваниваться.
По инн фирма крупная"</t>
  </si>
  <si>
    <t>стр. 965</t>
  </si>
  <si>
    <t>ООО ПО "МЕГАПЛАСТ"</t>
  </si>
  <si>
    <t>"Общался с директором Ириной
В компании компьютеров менее 10, штат маленький
По инженерке - глухо тк они арендуют склад и там всё что нужно уже стоит.
Списались в whats upе, не против писать если будут запросы.
Предложил по термопринтерам, этикеткам и риббонам поработать"</t>
  </si>
  <si>
    <t>ООО "АЛКИМ ТЕКСТИЛЬ"</t>
  </si>
  <si>
    <t>стр. 960</t>
  </si>
  <si>
    <t>"Общался с Директором - Сергеем
По количеству компьютеров - чуть больше 10 шт.
Есть постоянныйпоставщик по оборудованию и подрядчик по работам
Есть запрос -
У них на заводе АБЗ стоят весы. Есть дублирующее табло. Хоятт настроить так, чтобы данные на почту приходили автоматически."</t>
  </si>
  <si>
    <t>ООО "ДСУ №1"</t>
  </si>
  <si>
    <t>стр. 954</t>
  </si>
  <si>
    <t>ООО "ТО "РУСЬ"</t>
  </si>
  <si>
    <t>Общался с Владимиром - диреткором
В компании 5 компьютеров всего
Комплектующие вообще почти не покупают, в розницу если и бывает
Инженерных проектов не бывает.
ТСД, термопринтеры тоже не интересны.
Не против чтобы периодически созванивались, набрать в июле
Компания не интересна</t>
  </si>
  <si>
    <t>стр. 975</t>
  </si>
  <si>
    <t>Общался с Михаилом, руководителем
В компании чуть больше 10 компьютеров
Периодически приобретают програмное обеспечение.
По инженерке - глухо, ни СВН, ни Волс, ни электромонтажных работ не планируют.
Договорились связаться с в Васапе, периодически можем созваниваться.</t>
  </si>
  <si>
    <t>ООО "ПРОФИНТЕРН"</t>
  </si>
  <si>
    <t>стр. 976</t>
  </si>
  <si>
    <t>Общался с Еленой, директором
Компьютеров до 10 шт
ПО не приобретают
По инженерке ничего не требуется, СВН не нужно
Складское и торговое оборудование не интересно</t>
  </si>
  <si>
    <t>ОБЩЕСТВО С ОГРАНИЧЕННОЙ ОТВЕТСТВЕННОСТЬЮ "НЕРУДИНВЕСТ"</t>
  </si>
  <si>
    <t>стр. 973</t>
  </si>
  <si>
    <t>ООО "ФУДМАРКЕТ"</t>
  </si>
  <si>
    <t>Общался с Светланой, отдел кадров
Сабиновский Мясокомбинат ( 3711024734, создать карточки)
Компьютеров небольшой парк , до 10 шт.
Укомплектованы, редко  приобретают оборудование.
Есть производство и склады.
СВН не нужно, но можно по ТСД, термопринтерам и этикеткам поработать.
Позвонить еще раз, пообщаться с другим отделом!
Отправить на почту так же информацию, sabinovo37@mail.ru</t>
  </si>
  <si>
    <t>Пообщался с Михаилом, учредителем. +7 (910) 680-04-55
ITшника нет. на аутсорсе.
Парк маленький, не больше 10 ПК
Занимаются текстилем, приобретают термопринтеры и этикетки
Закупками занимается отдел продаж, дал контакты с кем общаться .
На ближайшее время планов нет по IT
+7 (4932) 77-41-66 набрать отдел закупок, пообщаться по IT
Пообщался с отделом закупом
Им удобно работать с Ивановской компанией, остальные отсеивают.
Конкретно она по расходке.
Компания на IT аутсорсе, ребята закрывают все задачи по оргтехнике и ПО
На контакт идет, можно ей позвонить, узнать еще инфу</t>
  </si>
  <si>
    <t>ООО "ДЕТЛАЙН"</t>
  </si>
  <si>
    <t>стр. 977</t>
  </si>
  <si>
    <t>стр. 982</t>
  </si>
  <si>
    <t>ООО "ТЕКСТИЛЬ"</t>
  </si>
  <si>
    <t>стр. 983</t>
  </si>
  <si>
    <t>В компании 6 компьютеров
ПО не приобретают
Склада нет, инженерных проектов нет.
Покупать ничего не станет, на почту ничего отправлять ей н нужно.
Компания маленькая, не интересна</t>
  </si>
  <si>
    <t>ООО "ЦСМ 37"</t>
  </si>
  <si>
    <t>стр. 1002</t>
  </si>
  <si>
    <t>Познакомились с директором Лебедевым Сергеем
Есть it специалист с которым давно работают
В компании порядка 30 компьютеров
Обслуживает и поставляет им оборудование
Есть склад, установлено видеонаблюдение, исправно работает
Термопринтеры/ТСД не используют.
ПО приобретают, также у IT специалиста.
Списались в Вастапе, отправил инфомрацию о нас и запросил их последние рассчеты</t>
  </si>
  <si>
    <t>4800 - 100%
оплата по таблице</t>
  </si>
  <si>
    <t>Выполнено 40 результативных звонков за Апрель
(Звонки с приглашением на мероприятия в учет не идут)</t>
  </si>
  <si>
    <t>6 000 / 100%
max 150%</t>
  </si>
  <si>
    <t>В учет идут активности по СП и новым клиентам: 
1. Оплаченные счета от 50 т.р.,
2. Договора (отсрочка/рассрочка) от 100 т.р.,
3.СДК занесенные в 1С от 350 т.р.,
* В рамках одного клиента идет в отчет один из перечисленных пунктов.</t>
  </si>
  <si>
    <t>1 000 / штука
max 15</t>
  </si>
  <si>
    <t>Общался с Директором - Владимиром
В компании до 10 пк
ПО не приобретают, закупаются невероятно редко и в розницу.
Занимаются оптовой торговлей
 складов нет, инженерка не требуется.
Отправил ему информационное, не против поработать если будут запросы.
Почта astap2770@yandex.ru
Термопринтеры, ТСД не используют
Компания не интересна</t>
  </si>
  <si>
    <t>ООО "АВАТАР"</t>
  </si>
  <si>
    <t>стр. 1008</t>
  </si>
  <si>
    <t>ООО "ГАЗСЕРВИС"</t>
  </si>
  <si>
    <t>стр. 981</t>
  </si>
  <si>
    <t>Вышел на Алексея, сис админа
По компьютерам - закупки редко, в розницу.
По принтерам - есть запросы, Canon 43 и 53 модели нужны, + не понимает разницу, проконсультировать.
Также нужны картриджи к ним, NV Print ?можно Uniton осмотреть.
Еще нужны 4 цвета для Xerox картриджей которые брали как то
По инженерке задач нет, свн исправно работает, скуд не планируют, электромонтажных работ нет.
Работаем, отправить свои контакты, общаться можно в переписках</t>
  </si>
  <si>
    <t>"В компании порядка 30 ПК, много печатки
Общался с Михаилом, отдел закупок
ITшника своего нет, аутсорс.
У компании большие складскиее помещения, установлено СВН, исправно работает.
На складах используют термопринтеры и ТСД, этикетки. 
Можно поработать с ними.
Отправить на почту информацию о нас.
Позвонить в начале мая, пообщаться"</t>
  </si>
  <si>
    <t>ООО "ОКЕАН"</t>
  </si>
  <si>
    <t>стр. 1018</t>
  </si>
  <si>
    <t>"Познакомились с Михаилом - it специалистом. 84932345233
В компании 30 ПК.
Приобретают в розницу. по печатке - есть фирма с кем давно работают по заправке, гемороиться не станет по смене.
Есть склад, СВН установлено.
Термопринтеры и ТСД не используют  в деятельности.
ПО не приобретали и не будут, у фирмы нет финансов.
Основная их проблема - 1C, и только 1С.
Компания не интересна"</t>
  </si>
  <si>
    <t>стр. 1020</t>
  </si>
  <si>
    <t>"Познакомился с Алексеем, it специалистом.
До 10 ПК в фирме.
Компьютерное оборудование не требутеся от слова совсем - у ""руководителя"" полный подменный фонд на все случаи жизни, б/у шку используют.
Тоже самое касается и СВН - только через знакомых, чтобы ни у кого не было доступов.
ПО не приобретают, только 1С. Учредитель бомжует и не тратит деньги ни на что.
Можно поработать по Этикеткам и риббонам, раньше уже контактировали в этом направлении.
Этикетки берут на 2-3 месяца сразу, 58/30 размер, полуглянец, втулка 40 намотка +- 900 шт."</t>
  </si>
  <si>
    <t>стр. 1064</t>
  </si>
  <si>
    <t>ООО "СЫРОДЕЛ"</t>
  </si>
  <si>
    <t>"Общался с Директором - Морозовым Анатолимем Александровичем
Сотрудников кто пользуется оргтехникой мало, чуть больше 10 шт и всё исправно работает, редко бывают проблемы.
По Производству - можно поработать по маркировке, поставка термопринтеров и этикеток.
Договорились созвонитья 21.04"</t>
  </si>
  <si>
    <t>стр. 1055</t>
  </si>
  <si>
    <t>ООО "ОПТИМА ТРИКОТАЖ"</t>
  </si>
  <si>
    <t>стр. 1038</t>
  </si>
  <si>
    <t>"Общался с Анной, отдел закупок.
В компании не более 10 ПК.
IT специалиста нет, на удаленке работают.
Есть свой склад, используют термопринтеры и этикетки, можно поработать в этом направлении.
ПО не приобретают.
В работе оборудования проблем нет, все устраивает.
ПО этикеткам их посчитаю, но компания не интересна."</t>
  </si>
  <si>
    <t>Общался с Артуром, управляющим.
Магазин. 
Компьютеров порядка 10 и МФУ
IT специалиста нет, приходящий
Новых рабочих мест не появляется, обновляться не планируют.
ПО не приобретают.
По Складу нет задач, термопринтеры/тсд не используют, видеонаблюдение тоже не нужно.
Не интересна компания</t>
  </si>
  <si>
    <t>ООО "АРМСНАБ"</t>
  </si>
  <si>
    <t>стр. 1071</t>
  </si>
  <si>
    <t>Познакомился с Ириной Михайловной - Ген директором
Своего IT специалиста нет, по печатке обслуживает компания из Иваново.
Работает с ними давно, но в принципе сравнить цены не против.
Для нее в плане работы важна скорость реагирования, цена, и еще какие нибудь бонусы. Рассказал о наших плюсах.
В компании чуть больше 20 компьютеров.
ПО не приобретают.
ПО Инженерке есть задачи причем очень даже не против посчитать.
2 локации где нужна установка СВН в большом количестве.
Передал контакты Гольцову
Отправил ей на почту информацию о нас.</t>
  </si>
  <si>
    <t>ООО СЗ "ИВСТРОЙИНВЕСТ"</t>
  </si>
  <si>
    <t>стр. 1072</t>
  </si>
  <si>
    <t>2 IT специалиста 84932373613
Есть компания которая обслуживают. Покупают совместимые картриджи + заправляют.
Общался с Закупщицей, Аллой (Анной) Борисовной.
Порядка 25 компьютеров.
Покупают в розницу.
Не против поработать с нами если по ценам норм предложения будут.
Термопринтеры и ТСД не используют, по СВН - свои электрики и монтажники, сами всё ставят. Но по поставке камер и видеорегистраторов тоже можно поработать.
Также покупают антивирусы , 20 шт было в прошлый раз, в этом году больше.
НАписать на почту, пришлет позиции для просчета.</t>
  </si>
  <si>
    <t>ООО "ПРОФТЕКСТИЛЬ"</t>
  </si>
  <si>
    <t>стр. 1073</t>
  </si>
  <si>
    <t>Общался с Галиной Львовной, секретарем
В компании до 10 ПК + печатка
Заключен договор с IT компанией, занимаются ремонтами и поставкой сразу.
Для сравнения цен - связаться после майских, сейчас специалисты на учебе.
Дарья Владимировна и Мария Сергеевна нужны будут.
Компания не интересна в принципе, но позвонить еще раз стоит</t>
  </si>
  <si>
    <t>ООО "ПМК-710"</t>
  </si>
  <si>
    <t>стр. 1078</t>
  </si>
  <si>
    <t>КНТ-89417</t>
  </si>
  <si>
    <t>Норм холдинг
Пообщался с Евгенией, - начальником цеха. Задач различных много, вопрос финансирования.
Есть IT специалист штатный. В компании 30 ПК и печатная техника.
ПО инженерке - дала контактыВячеслава Борисовича, нового начальника цеха.
Он работает 2 месяца, по некоторым задачам еще не в курсе.
Сказал что много планов по СВН, Пожарке, сигнализации.
Договориться на выезд к нему на замеры, поехать также самому и с Георгием.
Заодно всё про IT направление пробить, и по ТСД и тд</t>
  </si>
  <si>
    <t>"Общался с Директором - Александром Аркадьевичем
Ситуация финансовая не сильно хорошая в компании, поддерживают работоспособность того, что есть.
В компании до 10 ПК, закупаются только если что ломается, в розницу.
Про ITшника ничего не сказал, увы - можно будет задать доп вопрос при созвоне следующем.
Попросил отправить ему информацию о нас и направлениях.
Созвониться с ним еще раз, пообщаться по направлениям
По инженерке пока что глухо."</t>
  </si>
  <si>
    <t>ООО "ИТЕКС"</t>
  </si>
  <si>
    <t>стр. 1094</t>
  </si>
  <si>
    <t>Познакомился с Александром Анатольевичем - it специалисом
Компьютеров порядка 100 шт. и столько же печатной техники.
Из-за покупки МФУ финансы этого и прошлого года потрачены.
По инженерке задач не будет, по крайне мере в этом году.
Есть запрос на картриджи - много печатки старого типа, готов сравнить цены.
30a,37,30i/30x,83a,26a используют.
Не против посчитать и ПО ежегодно приобретаемое, антивирусы. Но решение будет принимать учредитель, не понятно станут ли что-то менять</t>
  </si>
  <si>
    <t>КНТ-89464</t>
  </si>
  <si>
    <t>СКБ ПА ОАО</t>
  </si>
  <si>
    <t>КНТ-89483</t>
  </si>
  <si>
    <t>Познакомился с IT специалистом Алексеем.
По рабочим местам изменений не было, 150 ПК.
Новые рабочие места не появляются, поддерживают работу нынешних.
По инженерным проектам - СВН уже стоит, все исправно работает, планов никаких нет.
Пообщались по ПО, приобретают антивирусы и 1С. В этом году купили на 3 года антивирусы
По печатке - не против сравнить цены, дал новую почту свою kr-presnya-ivc@yandex.ru
Используют принтеры моделей HP Lazerjet 2035 и m401
Картриджи нужны 05, 280, 285, 283, 2612
Открыт к общению, можно периодически прозванивать.</t>
  </si>
  <si>
    <t>Красная Пресня</t>
  </si>
  <si>
    <t>"Познакомился с Михаилом - директором
В компании 10 компьютеров, укомплектованы.
Есть сис админ занимается обслуживанием.
По сути поддерживают работоспособность. В планах закупок никаких нет.
По инженерке - глухо, по термопринтерам и тсд тоже тишина.
Занимаются торговлей по сути.
Не интересен клиент."</t>
  </si>
  <si>
    <t>ООО "СВ"</t>
  </si>
  <si>
    <t>стр. 1117</t>
  </si>
  <si>
    <t>ООО "ТК НИТКИ 37"</t>
  </si>
  <si>
    <t>"Общался с менеджером
Отдел продаж небольшой, до 10 ПК
Приходящий it специалист занимается оборудованием
Дала контакты Ильи , отвечает за склад и логистику, с ним по сотрудничеству можно пообщаться. Дозвониться не получилось."</t>
  </si>
  <si>
    <t>стр. 1012</t>
  </si>
  <si>
    <t>ООО "ЖИЛСТРОЙЦЕНТР"</t>
  </si>
  <si>
    <t>"Общался с бухгалтером +7 493 293-17-00
IT специалист на аутсорсе
В компании не больше 10 ПК, все работает исправно, ничего не требуется
По инженерке глухо
Я бы еще разок набрал по другим номерам, особенно по последнему"</t>
  </si>
  <si>
    <t>стр. 1016</t>
  </si>
  <si>
    <t>ООО "ТД "ТЕКСТИЛЬНАЯ ХИМИЯ"</t>
  </si>
  <si>
    <t>стр. 1165</t>
  </si>
  <si>
    <t>"+7 (4932) 59-14-26 - номер бухгалтерии
84932591427 звонил ему по сотрудничеству
Сказал есть IT компания которая занимается их фирмой
Инженерных проектов не бывает 
Сейчас укомплектованы
Позвонить в понедельник, будет человек с кем можно пообщаться по  IT нарпавлению
Пообщался с руководителем отдела закупок.
Компьютером меньше 10.
Покупают 3 программы максимум, изрека покупают картриджи в ДНС на несколько принтеров.
ТСД, Термопринтеры и камеры не используют , складов нет.
Не интересна фирма"</t>
  </si>
  <si>
    <t>ООО "ЭНЕРГЕТТА"</t>
  </si>
  <si>
    <t>"Познакомился с Евгением - системным администратором.
40 компьютеров и печатка
ПО не приобретают, закупки по необходимости, для поддержания работоспособности.
Планов по инженерке нет
Уточнял по термопринтерам и ТДС - таким не занимаются.
СВН установлена, все устраивает.
Касательно сотрудничества - общаться порекомендовал с Дмитрием Сергеевичем - IT директором"</t>
  </si>
  <si>
    <t>ООО "БИЗНЕС-ЛЭНД"</t>
  </si>
  <si>
    <t>стр. 1084</t>
  </si>
  <si>
    <t>ITшник Ростислав на связи, всегда можно писать звонить
Познакомился с Директором компании Мохариным Владимиром Сергеевичем.
В компании порядка 20 ПК и немного печатки.
Планов по расширению нет.
Есть склад. Свн уже установлено , периодичесески ставят новые камеры - если готовы дополнять эти сети то он не против.
На складах использую термопринтеры и этикетки.
Размер этикеток - половина листа А4 +-. Он пришлет их, нужно будет подобрать такие термопринтеры.
Списались в Whats'up</t>
  </si>
  <si>
    <t>стр. 1134</t>
  </si>
  <si>
    <t>ООО "РОДНИКИ-ЛИТЬЕ"</t>
  </si>
  <si>
    <t>стр. 1077</t>
  </si>
  <si>
    <t>Занята была
набрать 22.04.
Номер с сайта Марины Владимировны отдел снабжения
17 компьютеров и 5 принтеров
IT специалиста нет своего, сама со всем справляется
ПО не приобретают
По складу - видеонаблюдене есть, расширяться не планируют.
Не против посчитать термоэтикетки для термотрансферныз принтеров
По размерам - 90х140 самоклеящиеся
Также есть запрос по расширителю USB  на 8+ портов, по длине провода не сказала, несколько вариантов предложить</t>
  </si>
  <si>
    <t>Познакомился с Михаилом, it специалистом
Парк не сильно большой, порядка 50 компьютеров и печатки в районе 20 шт.
Пока планов по модернизации нет.
Есть один сервер, в работе все устраивает, его мощностей хватает с запасом.
Используют разные модели, картриджи в основном 78, FX10, h 41
Можно посчитать.
Dr Web купили полгода назад на три года, увы, другое ПО не берут.
СВН уже стоит везде, все исправно работает.
Договорились что отправлю на почту предложения по картриджам.
mittihonya@yandex.ru</t>
  </si>
  <si>
    <t>ШУЙСКОЕ МУП ОК И ТС</t>
  </si>
  <si>
    <t>стр. 1037</t>
  </si>
  <si>
    <t>ООО "СТЕЛЛИНИ.РУ"</t>
  </si>
  <si>
    <t>стр. 1031</t>
  </si>
  <si>
    <t>Общался с Кадровиком +7 (920) 674-94-41
Познакомился с менеджером отдела закупок - Александра, 89109876127
В компании 15 компьютеров и 9 принтеров.
Также есть один Термопринтер от Зебры, этикетки покупают один раз в полгода (порядка 5 000 этикеток, этого хватает)
По СВН -все стоит, особо запросов не бывает.
buyer@stellinigroup.ru
Компания не интересна</t>
  </si>
  <si>
    <t>Газсервис Иваново</t>
  </si>
  <si>
    <t>Дента Престиж</t>
  </si>
  <si>
    <t>ПК - Сервер</t>
  </si>
  <si>
    <t>МФУ и расходники</t>
  </si>
  <si>
    <t>Камеры</t>
  </si>
  <si>
    <t>Коммутатор</t>
  </si>
  <si>
    <t>Бетоникум</t>
  </si>
  <si>
    <t>ИП Федосеева</t>
  </si>
  <si>
    <t>Аутсорс</t>
  </si>
  <si>
    <t>СВН</t>
  </si>
  <si>
    <t>СДК-05320</t>
  </si>
  <si>
    <t>02 Получаем вводные для КП</t>
  </si>
  <si>
    <t>СДК-05199</t>
  </si>
  <si>
    <t>Усилитель сигнала</t>
  </si>
  <si>
    <t>СДК-05256</t>
  </si>
  <si>
    <t>Пк Сервер и этикетки</t>
  </si>
  <si>
    <t>СДК-05291</t>
  </si>
  <si>
    <t>СДК-05198</t>
  </si>
  <si>
    <t>Видеокарты, термопринтеры</t>
  </si>
  <si>
    <t>СВН и МФУ</t>
  </si>
  <si>
    <t>СДК-05303</t>
  </si>
  <si>
    <t>ООО ДРЕВО</t>
  </si>
  <si>
    <t>ООО ИВСТРОЙИНВЕСТ</t>
  </si>
  <si>
    <t>ООО ШВЕЙНАЯ ФАБРИКА СЕЛТЕКС</t>
  </si>
  <si>
    <t>ООО Русский металл</t>
  </si>
  <si>
    <t>СДК-05257</t>
  </si>
  <si>
    <t>СДК-05160</t>
  </si>
  <si>
    <t>Коммутаторы</t>
  </si>
  <si>
    <t>СДК-05158</t>
  </si>
  <si>
    <t>Молочные реки</t>
  </si>
  <si>
    <t>СДК-05200</t>
  </si>
  <si>
    <t>Термопринтер и расходка</t>
  </si>
  <si>
    <t>СДК-05196</t>
  </si>
  <si>
    <t>Коммтуторы и громкоговорители</t>
  </si>
  <si>
    <t>03 Готовим КП</t>
  </si>
  <si>
    <t>СДК-05391</t>
  </si>
  <si>
    <t>СДК-05398</t>
  </si>
  <si>
    <t>Автопак</t>
  </si>
  <si>
    <t>КНТ-89117</t>
  </si>
  <si>
    <t>КНТ-89118</t>
  </si>
  <si>
    <t>КНТ-89192</t>
  </si>
  <si>
    <t>Познакомились с IT специалистом Андреем.
Запускают второй сервер, он будет для второй компании. На нем тестово будут ставить мессенджеры, можно будет узнать получилось ли и если что помочь в решении.
Этикетки уже приобретают у нас, также IT аутсорс уже у нас.
Уточнить по приобретению ПО лицензионному, рассматривают ли этот вопрос.
Также уточнить по работам на складских помещениях, с кем можно по инженерным проектам пообщаться. Видеонаблюдение, СКС, так же можно по стеллажам и кондиционированию, мб есть в планах.</t>
  </si>
  <si>
    <t>Получение клиента от Георгия. Расширение КБ</t>
  </si>
  <si>
    <t>Русский металл</t>
  </si>
  <si>
    <t>ЭКОМЕРА</t>
  </si>
  <si>
    <t>ИП Федосеев В.С.</t>
  </si>
  <si>
    <t>КНТ-89687</t>
  </si>
  <si>
    <t>Конференция. Повышение лояльности. Выявление потребностей. Генерация сделок</t>
  </si>
  <si>
    <t>Познакомились с директором по развитию на мероприятии.
Несколько запросов.
1) Работают с честным знаком. Приобретают оборудование под клиентов. Промышленные мини пк, серверное оборудование, термопринтеры, этикетки и риббоны.
Касательно мини пк - планируют их вставлять в свои изготовленные корпуса, защищенные от влаги и пыли. Готовы на стабильные поставки.
2) Тимофей также работает еще на одну компанию. Она занимается промышленным искусственным интеллектом.
Под них нужны чипы для видеоналитики 4090 на 48 ГБ (важна видеопамять).
Также рассматривают Jetson nano, Jetson Xavier."</t>
  </si>
  <si>
    <t>Познакомились с Михаилом
Всем IT занимается только он.
В офисе у них порядка 2 человек , пара виртуальных серверов (бесплатных).
Можно поработать по термопринтерам
Их устраивает работа с нами по постоплате, тк поступления бывают в определенные дни месяца - мы удобные для них.
Когда рассказал про сервисный центр - его заинтересовало, готов отправлять на ремонт оборудование.
В ближайшие 5 лет планирует стройку, в этом году уже начнут минимальные работы иначе попадут на штрафы. На 2026 год возможно будет подниматься вопрос по коммуникациям на стройке.</t>
  </si>
  <si>
    <t>Познакомились с Владиславом.
Выявил несколько потребностей
Мат плата для сервера
точки доступа
усилители сигнала
скнер -поиск уязвимостей
Переезжают в новый офис. 
В компании 30 сотрудников, 3 сервера и печатка.
На мероприятии задавал вопросы представителю Эшелона по сканеру поиска уязвимостей. Выдает ли сканер рекомендации к решениям по проблемам.
По усилителям - таланов порекомендовал посмотреть по Бабанову проект на Суворова"</t>
  </si>
  <si>
    <t>КНТ-89690</t>
  </si>
  <si>
    <t>Профит ФГ 25-26</t>
  </si>
  <si>
    <t>Гончаров Вадим Владимирович ИП</t>
  </si>
  <si>
    <t>СДК-05436</t>
  </si>
  <si>
    <t>Централизованная библиотечная система детских библиотек города Иванова</t>
  </si>
  <si>
    <t>Полимерсбыт</t>
  </si>
  <si>
    <t>СДК-05437</t>
  </si>
  <si>
    <t>Торговое оборудование</t>
  </si>
  <si>
    <t>Фактическое выполнение 105% 
Итоговое количество - 42 компании</t>
  </si>
  <si>
    <t>Оборот по новым клиентам за Апрель составил 759 514,75 рублей
Фактическое выполнение 99%
Коэффициент 1
БЕТОНИКУМ 67 669,33 рублей
Вент Маркет 99 000,00 рублей
Газсервис Иваново 97 360,00 рублей
Дента Престиж 58 000,00 рублей
ИП Пипкин Сергей Валентинович 166 500,00 рублей
Охранное предприятие Кедр 41 278,42 рублей
ЭКОМЕРА 229 707,00 рублей</t>
  </si>
  <si>
    <r>
      <t xml:space="preserve">11 активностей:
</t>
    </r>
    <r>
      <rPr>
        <sz val="10"/>
        <color theme="1"/>
        <rFont val="Calibri"/>
        <family val="2"/>
        <charset val="204"/>
        <scheme val="minor"/>
      </rPr>
      <t>СДК-05198 (&gt;350 т.р.) Экомера
СДК-05200 (&gt;350 т.р.) Молочные реки
СДК-05199 (&gt;350 т.р.) Русский Металл
Сч-174036 (Оплаченый счет от 50 т.р.) ИП Пипкин
Сч-174558 (Оплаченый счет от 50 т.р.) Дента престиж
Сч-174954 (Оплаченый счет от 50 т.р.) ГазСервис
СДК-05303 (&gt;350 т.р.)  Древо
СДК-05320  (&gt;350 т.р.) Швейная фабрика Селтекс
СДК-05391   (&gt;350 т.р.) СКБ ПА ОАО
СДК-05398  (&gt;350 т.р.) Автопак
Сч-174899  (Оплаченый счет от 50 т.р.) Бетоникум</t>
    </r>
  </si>
  <si>
    <t>Анализ деятельности Май 2025.</t>
  </si>
  <si>
    <t>Оборот по новым клиентам за май составил 1 070 000 рублей</t>
  </si>
  <si>
    <t>8600 - 100%
оплата по таблице</t>
  </si>
  <si>
    <t>1 000 / штука
max 8"</t>
  </si>
  <si>
    <t xml:space="preserve">"Провести 4 результативные встречи (или ВКС) с клиентами
</t>
  </si>
  <si>
    <t>Выполнить 40 результативных звонков по ДСП за Май</t>
  </si>
  <si>
    <t>Подготовить презентацию по итогам работы с момента устройства по конец Апреля 25 года и отчитаться по ней перед руководством.</t>
  </si>
  <si>
    <t>Оборот по новым клиентам за апрель составил  759 514,75 руб.</t>
  </si>
  <si>
    <t>Познакомился с Алексеем Геннадьевичем - системным администратором.
На данный момент бывают редкие закупки по расходке и комплектующим.
В компании порядка 30 ПК и печатки.
Бывают закупки рабочих мест и МФУ отечественного производства.
Бюджет под новые проекты будет формироваться в феврале следующего года, с подачей КП.
Недавно был конкурс по старому КП на бытовое оборудование и световое , по которому выиграла другая компания, ТК мы даже не подавались туда.
Договорились созваниваться с Алексеем, задачи появляются и он настроен к сотрудничествую.
Компания интересна, добавить в СП.</t>
  </si>
  <si>
    <t>КНТ-90051</t>
  </si>
  <si>
    <t>РЯЗАНСКИЙ КОЛЛЕДЖ КУЛЬТУРЫ</t>
  </si>
  <si>
    <t>"Познакомился с Дмитрием, руководителем службы снабжения.
IT специалист на пол ставки с другим мероприятием.
Сами находятся на территории оборонного предприятия, поэтому инженерных проектов почти не бывает.
В компании порядка 30 компьютеров, обновлялись не так давно. 
Если что то ломается одним днем едут в ДНС и меняют.
Сложных проектных направлений нет с IT связанных.
Взял его личный номер, +79101778797, заодно узнал почту ITшника.
Норм холдинг, зайти сюда стоит в любом случае."</t>
  </si>
  <si>
    <t>НТ ООО "Азимут"</t>
  </si>
  <si>
    <t>"Пообщался с Снабженцем Николаем
Компьютеров в компании 10 шт.
IT специалиста нет
Ничего не ломается, сами чинят - прошареные типо.
Принтеры заправляют ребята из соседнего здания / офиса.
Сам Николай занимается закупкой строительных материалов. Уточнил у него по задачам в инженерном направлении - увы, ничего не бывает.
Есть склад где используют ТСД, Термопринтеры и расходку.
Я бы туда еще разок набрал как нибудь вышел на руководителя."</t>
  </si>
  <si>
    <t>ООО "ПКФ "Фактор"</t>
  </si>
  <si>
    <t>КНТ-90047</t>
  </si>
  <si>
    <t>"Познакомился с Олегом Станиславовичем (номер на сайте был актуальный)
Технический директор
Общительный, адекватный.
В компании порядка 100 компьютеров и 20 печатных устройств.
Заправляет местная компания.
В компании есть IT специалист, по ПО лучше с ним пообщаться.
Отвечает за всё оборудование он, общаются с ним почтой, контактов не дал.
По инженерке задачи бывают, по видеонаблюдению и другие. Но не на ближайшее время.
Возможно в Июне, связаться с ним."</t>
  </si>
  <si>
    <t>ИНПРО, ООО</t>
  </si>
  <si>
    <t>КНТ-90052</t>
  </si>
  <si>
    <t>ШВЕЙНАЯ ФАБРИКА СЕЛТЕКС</t>
  </si>
  <si>
    <t>"Познакомился с Юрием Доронкиным, IT специалистом.
В подчинении Юрия порядка 200 ПК и печатки.
Используют также сервера Supermicro.
Часто бывают задачи по установке камеры - не против посотрудничать в этом направлении.
Каких то проектов пока что нет, в компании привязка к ЦБ и от этого зависит выделяемый бюджет почему то.
Обменялись контактами, по задачам готов работать.
Связаться с ними по расходке еще.
y.doronkin@oac-avto.ru"</t>
  </si>
  <si>
    <t>Орехово-Автоцентр, ООО</t>
  </si>
  <si>
    <t>КНТ-90053</t>
  </si>
  <si>
    <t>Познакомился с Виктором - IT специалистом.
Обслуживает 40 компьютеров, 20 печатных устройств, 6 серверов. 2 года назад купили новые сервера, пока что не планируют закупку.
В основном в розницу берут при необходимости или если руководитель поставит задачу какую.
По инженерным направлениям - бывают задачи по СВН, не так давно ставили как раз 5 камер и до этого 4 (или наоборот). Возможно еще будут, ждут финансы.
Планируют закупку Касперского на год, 50 шт. В прошлый раз купили у конкурента, т.к. он предложил цену как у нас, а с ним они работали до нас. Предложения будут собирать в сереине октября, закупка на начало ноября.</t>
  </si>
  <si>
    <t>КЕНГУРУ Переславль</t>
  </si>
  <si>
    <t>КНТ-90127</t>
  </si>
  <si>
    <t>Позвонил в компанию, IT специалист Константин.
89209397807
Недавно устроился в эту компанию, ранее работал другой специалист.
Отвечает только за Ивановский офис.
В компании 10 пк и ПФУ и пара принтеров.
Готов сотрудничаться
Инженерных направлений не бывает.
Можно попробовать через него выйти на ITшника в Москве
Обменялись контактами</t>
  </si>
  <si>
    <t>КНТ-90125</t>
  </si>
  <si>
    <t>ТК Плюс ООО</t>
  </si>
  <si>
    <t>Связался с IT специалистом Алексеем
В его подчинении более 200 рабочих мест и столькоже принтеров.
У них 50 магазинов где стоит это оборудование.
Скорее всего потребуется сервер, тк нынешний вышел из строя.
Не против сотрудничаться, посмотрит на наши цены сейчас.
Раньше много работали с нами по МФУ, расходникам, торговому оборудованию, видеонаблюдению.</t>
  </si>
  <si>
    <t>ФАРМА-П</t>
  </si>
  <si>
    <t>КНТ-90092</t>
  </si>
  <si>
    <t>Стройэнергокомплект</t>
  </si>
  <si>
    <t>КНТ-90096</t>
  </si>
  <si>
    <t>Связался с Арменом, руководитель IT отдела.
За любые закупки оборудования отвечает он
Информации много не дал, но на контакт идет спокойно.
Касательно оргтехники и компьютеров обновились недавно.
По проектам - пока что нет, но бывают .
Можно периодически с ним созваниваться.
Обменялись контактами для быстрой связи.</t>
  </si>
  <si>
    <t>КНТ-90098</t>
  </si>
  <si>
    <t>Гермес Групп</t>
  </si>
  <si>
    <t>Общался с Любовь Васильевной - офис менеджером и бухгалтером Светланой Александровной (в д. Коняево)
Все закупки из Питера, Директор по IT - Дмитрий Смеян.
К нам обращаются по ремонту и заправке.
На территории бывают инженерные проекты, можно это обсудить с ним также
У них также есть серверная забитая железом, подробнее не расскажет.
Связался с Дмитрием Смеяном, все закупки через него.
Находятся в питере и казани. Сотрудничают с онлайн трейдом и софтлайном.
По поставке упор в то, что у нас нет BTB где он мог бы потыкаться и выбрать. Такой формат работы его не устраивает. 
Попробовал зайти через ПО.
Трассир ПО интересно, вопрос в том перебьем ли Softline, плюс он сказал что там есть привязка к компании, через которую закупают оборудование. Как сделать переход не знает.
У них также есть системы виртуализации, но тут другой вопрос - им нужна не просто покупка по, но и штат из образно 20 сотрудников которые все это запустят и будут контроллировать.
К обсуждениям открыт, вопрос в том в каком формате с ними начать работать.</t>
  </si>
  <si>
    <t>"В Эвтэкс больше не работает.
Открыл свою компанию, занимаются графикой.
13 сотрудников на удаленке, у которых свои ПК, ничего не покупают.
По инженерке задач не бывает абсолютно.
ПО редко приобретают, пользуются Sigma, Photoshop,Adobe
Не интересны
Написал ему в ватсап"</t>
  </si>
  <si>
    <t>стр. 5</t>
  </si>
  <si>
    <t>Эвтекс, ООО</t>
  </si>
  <si>
    <t>"Пообщался с Андреем Владимировичем. директором.
Компьютеры не используют в работе, у них строительная фирма.
Инженерные проекты не планируются, видеонаблюдение, скуд не требуется.
Компания не интересна
Договорились связаться в ватсапе."</t>
  </si>
  <si>
    <t>Артфасад, ООО</t>
  </si>
  <si>
    <t>стр.10</t>
  </si>
  <si>
    <t>"Суздальский молочный завод
Познакомился с Алексеем, системным администратором.
Порядка 40 компьютеров и 25 печатки
Компания экономит на чем только может, планов на IT не бывает, в основном в моменте какие - либо покупки
Сервер купили недавно, была ранее задача по бесшовному Wifi - но уже отпала и к ней не вернутся скорее всего.
ПО не приобретают, задачи в основном по програмированию 1С, чем мы не занимаемся.
Печатная техника есть, готовы посчитать. В основном заправкой занимаются, редко что - либо покупают."</t>
  </si>
  <si>
    <t>СМЗ, ООО</t>
  </si>
  <si>
    <t>стр. 18</t>
  </si>
  <si>
    <t>Суздальтеплосбыт, ООО</t>
  </si>
  <si>
    <t>стр. 23</t>
  </si>
  <si>
    <t>"Познакомился с Евгением, it специалистом
30 компьютеров и столько же печатной техники.
Деньги выделяют только на поддержание работы инфраструктуры, не более, финансов нет на развитие.
По инженерным проектам задачи редко встречаются.
Не сильно интересная компания, но поработать можно"</t>
  </si>
  <si>
    <t>Цикл ООО</t>
  </si>
  <si>
    <t>"Познакомился с Владимиром, it специалистом.
Сейчас порядка 350 компьютеров и столько же печатки.
У них отдел который занимается парком техники, часть отдела 1Ской.
По закупкам - больше к снабженцам, они лишь дают позиции. В следующий раз узнать контакты снабженцев.
Касательно оборудования - для него важны сроки по сути, чтобы было быстро, берут в розницу.
По планам - больше поддержание работы того что есть.
ПО - планируют к декабрю продление, по ценам не против сравнить, сейчас есть партнер который имеет статус платина у Касперского.
Отправил на почту свои контакты для связи, также договорился периодически созваниваться. Также по сложным продуктам предложил поработать если будут.
Норм мужик, можно общаться, фирма интересная."</t>
  </si>
  <si>
    <t>"Пообщался с бухгалтером Оксаной.
Парк техники небольшой, до 20 ПК.
Своего специалиста нет, IT по договору работает.
Проблемы редко случаются, если и бывают - устраняются оперативно им.
Комплектующие так же он покупает и перевыставляет им счета.
По инженерке - задачи редко бывают, видеонаблюдение уже установлено и работает как часы.
Термопринтеры и этикетки в работе используют, но отвественный за них человек на складе (начальник склада/цеха).
ITшника зовут Евгений, дали только его почту barin@mail.ru"</t>
  </si>
  <si>
    <t>ТД Вкусное МОРЕ, ООО</t>
  </si>
  <si>
    <t>"Общался с секретарем Еленой.
IT специалиста своего нет, приходящий.
7 компьютеров в компании
Инженерных проектов не бывает.
Компания не интересна"</t>
  </si>
  <si>
    <t>ДОР-Тех, ООО</t>
  </si>
  <si>
    <t>стр. 32</t>
  </si>
  <si>
    <t>Позитив, ООО</t>
  </si>
  <si>
    <t>стр. 45</t>
  </si>
  <si>
    <t>"Пообщался с отделом снабжения.
Решения о покупках принимает их руководитель Георгий.
Есть IT специалист штатный.
Закупаются редко и по необходимости, в розницу.
В компании более 50 компьютеров и печатной технике.
Задавали вопрос про БУ оборудование, хотят съэкономить.
Отправить на почту информацию, руководителю передадут, еще раз им набрать. Мои контакты записали"</t>
  </si>
  <si>
    <t>Океанфиш, ООО</t>
  </si>
  <si>
    <t>"Познакомился с IT специалистом Евгением.
Сейчас закупаются в комусе. Картриджи берут новые часто Fx10.
Есть 6 серверов Galsystem, сервера используют под SQL и клиентские
В компании порядка 50-60 компьютеров и 20 печатки
Закупаются когда что-то ломается в основном. Проектов никаких не планируется.
За инженерные направления отвечает другой человек.
Созвониться после того как отправлю письмо, он не против
89175512372@mail.ru
Внести в карточку звонок!"</t>
  </si>
  <si>
    <t>стр. 49</t>
  </si>
  <si>
    <t>СУЗДАЛЬСКИЙ МОЛОЧНЫЙ ЗАВОД</t>
  </si>
  <si>
    <t>КНТ-89884</t>
  </si>
  <si>
    <t>"Познакомился с Дмитрием, IT специалистом.
Порядка 80 ПК и печатная техника
Очень сложно прийти к сотрудничеству с ними.
По печатке - сотрудничают с местными, уже пытались к ним заходить в этом направлении, не сработались.
По Комплектующим - очень редко что-либо выходит из строя, если и выходит то день в день устраняют.
По ПО - не против поработать, внесут в список поставщиков , контакты мои себе записал.
Инженерные проекты - у них свои специалисты которые выполняют работы любого формата, разве что оборудование под работы приобретать."</t>
  </si>
  <si>
    <t>Связался с Иваном, больше не работает в филиале, на новом месте также IT занимается и сотрудничает с Айтек.
Дозвонился до Ивановского Филиала.
Александр отвечает за Ивановский регион
В подчинении порядка 150ПК + печатная техника.
Работаю в слудующем формате - собирают 3 предложения от разных компаний и выбирают актуальное для них по срокам и цене.
Предложения так же от Московских поставщиков рассматривают.
Если наше предложение будет перебивать предложения конкурентов с учетом доставки из Москвы, то будут не против сотрудничать.
По ПО врядли пройдем, это направление только через Московский офис.
Оставил свои контакты, периодически созваниваться.</t>
  </si>
  <si>
    <t>КНТ-90314</t>
  </si>
  <si>
    <t>Познакомился с Алексеем, IT специалистом.
В его подчинении порядка 300 компьютеров и печатная техника
На лето задач не планируется, поддерживают работоспособность - финансов не сильно выделяют.
Обсудили складское оборудование - в последнее время по термопринтерам редкие закупки, уточнил по расходникам - можно в этом направлении поработать с ними.
Касательно программного обеспечения - таких запросов почти не бывает.
Оставил свои контакты ему, дополнительно на почту направил направления по которым можем еще поработать.</t>
  </si>
  <si>
    <t>БНС ГРУП, АО</t>
  </si>
  <si>
    <t>КНТ-90392</t>
  </si>
  <si>
    <t>Познакомился закупщиком Сергеем.
Закупаются под проекты, у самих них оборудования не много.
В компании 40 компьютеров от силы, и то половина из них - мак буки.
По расходникам работают с местной компанией лет 6-7.
По серверному оборудованию раньше работали, но по ценам не проходили, поэтому перестал к нам обращаться.
Предложил ему возобновить работу, посчитать какие-нибудь позиции и по будущим проектам обращаться к нам.
По инженерным проектам - т.к. они работают под клиента, такие периодически бывают. Также приобретают камеры и оборудование у DSSL (интересно какую скидку им дают, как и нам или нет), можно сравнить цены.
Прислал для просчета позиции по текущей закупке на жесткие диски. Они купили несколько моделей, но как выяснилось нужны были не для IBM. Поэтому заного приобретают.
Обменялись контактами.</t>
  </si>
  <si>
    <t>Софтстор НН</t>
  </si>
  <si>
    <t>Встречи:
ШВЕЙНАЯ ФАБРИКА СЕЛТЕКС КНТ-90052</t>
  </si>
  <si>
    <t>Оборот по новым клиентам за Апрель составил 165 124,43 рублей
Фактическое выполнение 25%
Коэффициент 0
Бетоникум - 3200 руб.
Молочные реки - 43 232,95 руб.
Детский Сад №47 - 28 880 руб.
Газсервис - 89 811,48 руб.</t>
  </si>
  <si>
    <t>КНТ-90451</t>
  </si>
  <si>
    <t>Ивтекмаш ООО</t>
  </si>
  <si>
    <t>Познакомился с Еленой Викторовной - закупщицей
IT специалист на аутсорсе (знакомай директора) - чинит,настраивает, помогает с подбором оборудования
В компании 10 компьютеров и принтеры
.
Есть поставщик свой (не розница).
Предложил сравнить цены - не против.
Пришлет на запрос позиции.
Компания не интересна.</t>
  </si>
  <si>
    <t>КНТ-90452</t>
  </si>
  <si>
    <t>Ремиз-Импэкс</t>
  </si>
  <si>
    <t>Секретарь Светлана
Системный администратор Наталья Игревна работает в компании лет 30
Всеми закупками по IT занимается она
.
В компании порядка 30 ПКи немного печатной техники
Приобретают в розницу, покупки только по необходимости.
Есть СВН которая не сильно устраивает, обсудит с руководством.
Отправил информацию для передачи руководству.
Компания не интересна</t>
  </si>
  <si>
    <t>ООО ПКП "ХАЙТЕК"</t>
  </si>
  <si>
    <t>Общался с менеджером отдела продаж Сергеем Власовым
Руководитель Денис Андреевич - по вопросам закупок и сотрудничества к нему
На месте не было, обычно в первой половине дня присутствует
Есть удаленный системный администратор
В компании  10 компьютеров и пара принтеров
Инженерные проекты редко бывают в компании.
Позвонить попасть на ЛПР, пообщаться по инженерке - вдруг что будет.</t>
  </si>
  <si>
    <t>КНТ-90455</t>
  </si>
  <si>
    <t>КНТ-90465</t>
  </si>
  <si>
    <t>Метэкс</t>
  </si>
  <si>
    <t>Попал на директора Сергея Валерьевича
Сказал нужно общаться с Эдуардом Вячеславовичем - it специалистом, звонить по общему номеру. 
Дали контакт, 89203428777 - Номер Эдуарда
Пообщался с Эдуардом Вячеславовичем
В компании порядка 50 компьютеров и печатка.
Бюджет достаточно ограничен, задач по IT почти не бывает.
Не против созвониться осенью / в конце года, возможно поменяется ситуация.
По инженерным проектам - пытаются справляться с задачами только своими силами насколько возможно.
Пытался выйти на сравнение цен по печатной технике - просто не хочет.
Компания с хорошими оборотами, перенести в СП и звонить"</t>
  </si>
  <si>
    <t>Встретились с руководителем АХО - Вячеславом Борисовичем.
Отвечает за любые коммуникации на объектах (сигнализации, видеонаблюдение, вентиляции и скс)
В его подчинениии несколько цехов, на днях откроют новый, где запланирован большой объем работ по инженерке.
На данный момент есть запрос:
Нужны будут 3-4 камеры снаружи, внутри 4 камеры и на крыше 1 обзорная.
В дальнейшем будет расширение на 10 рабочих зон, 5мп камеры будут.
Пришлет обмерный план на расчет.
Также нужна охранная система (тауэр обязательно).
Есть IT специалист Денис, ему передадут мои контакты. если нет - постараться выйти на него.
Работаю только по договору. Касательно работ - чаще постоплата, касательно материалов - возможна и постоплата.
Обычно рассматривают по 3-5 предложений перед выбоором подрядчика / поставщика.</t>
  </si>
  <si>
    <t>Презентация компании. Профилирование. Выяление потребностей. Выход на первую сделку.</t>
  </si>
  <si>
    <t>Департамент конкурсов и аукционов Ивановской области</t>
  </si>
  <si>
    <t>СДК-05668</t>
  </si>
  <si>
    <t>Касперский</t>
  </si>
  <si>
    <t>Ультрастаб</t>
  </si>
  <si>
    <t>СДК-05601</t>
  </si>
  <si>
    <t>СДК-05693</t>
  </si>
  <si>
    <t>СДК-05695</t>
  </si>
  <si>
    <t>СДК-05696</t>
  </si>
  <si>
    <t>МФУ, Комплектующие</t>
  </si>
  <si>
    <t>СДК-05697</t>
  </si>
  <si>
    <t>СДК-05698</t>
  </si>
  <si>
    <t>Моноблоки</t>
  </si>
  <si>
    <t>СДК-05699</t>
  </si>
  <si>
    <t>Ноутбуки и смартфон</t>
  </si>
  <si>
    <t>стр. 37</t>
  </si>
  <si>
    <t>ПК и периферия / МФУ и комплектующие</t>
  </si>
  <si>
    <t>ИБП и Тепловая завеса</t>
  </si>
  <si>
    <t>Маршрутизаторы</t>
  </si>
  <si>
    <t>ИП Федосеева Е.Е.</t>
  </si>
  <si>
    <t>IT аутсорс</t>
  </si>
  <si>
    <t>СУП-ДС-259 (Андрей Мартынов)</t>
  </si>
  <si>
    <t>Комплектующие, термопринтеры</t>
  </si>
  <si>
    <t>Анализ деятельности Июнь 2025.</t>
  </si>
  <si>
    <t>стр. 33</t>
  </si>
  <si>
    <t>стр. 86</t>
  </si>
  <si>
    <t>Юз "Золотые Купола", ООО</t>
  </si>
  <si>
    <t>Инвестторгбанк Владимир</t>
  </si>
  <si>
    <t>Фактическое выполнение 70%
Итоговое количество - 28 компаний</t>
  </si>
  <si>
    <t>6 350 - 100%
оплата по таблице</t>
  </si>
  <si>
    <t>Выполнить 20 результативных звонков по ДСП за Июнь</t>
  </si>
  <si>
    <t>3 000 / 100%
max 200%</t>
  </si>
  <si>
    <t>7 000 /  9 штука
max 20</t>
  </si>
  <si>
    <t>Оборот по новым клиентам за Июнь составил 963 000 рублей</t>
  </si>
  <si>
    <t>В учет идут активности по СП и новым клиентам: 
1. Оплаченные счета от 50 т.р.,
2. Договора (отсрочка/рассрочка) от 100 т.р.,
3. СДК, занесенные в 1С от 350 т.р.,
* В рамках одного клиента идет в отчет один из перечисленных пунктов.</t>
  </si>
  <si>
    <t>МАКАРИЙ</t>
  </si>
  <si>
    <t>КНТ-90975</t>
  </si>
  <si>
    <t>Познакомился с Татьяной Ивановной - директором
Раньше компания называлась Зеркало, сейчас переименовались в Макарий
Есть свой IT специалист
В компании порядка 50 компьютеров, есть серверное и сетевое оборудование, исправно работает всё.
Уже работали как-то с ними, поставляли оборудование для серверной комнаты и комплектующие.
Отправил на почту свои контакты для связи, передадут ITшнику.
Набрать еще раз через неделю, выйти на ITшника
makariy_rt@mail.ru</t>
  </si>
  <si>
    <t>"Познакомилс с IT специалистом Алексей
В компании чуть больше 50 компьютеров и печатка
Закупаются у нескольких поставщиков, можно сравнить цены при запросе.
По ПО - в основном 1 С приобретают.
Есть серверное оборудование, ПО на нем только бесплатное используют,  мощностей пока хватает но потенциально в ближайший 1 - 2 года будут потребности.
По инженерке - бывают задачи по камерам и скуду. Обращаются с одним единственным подрядчиком по этим направлениям, предложил сравнить цены.
Написал на почту pse@uztpa.ru"</t>
  </si>
  <si>
    <t>УЗТПА</t>
  </si>
  <si>
    <t>стр. 85</t>
  </si>
  <si>
    <t>ООО "ТД "КЕЙЭСПИ СТИЛ"</t>
  </si>
  <si>
    <t>стр. 178</t>
  </si>
  <si>
    <t>"IT отдел - добавочный 147
Познакомился с Маратом - it специалистом.
По количеству ПК пока что не ответил, уточнить у него при следующем созвоне - пока не готов такую информацию давать.
Уточнил по направлениям, задачи в которых бывают.
По Сетевому оборудованию планируют расширение в ближайшее время, не против рассмотреть нас как поставщиков. Пришлет запрос.
ПО Виртуализации, инфобезу и базам данных задач не бывает почти.
По инженерке не к нему.
Его личная почта 9263305380@mail.ru"</t>
  </si>
  <si>
    <t>ООО "ЕВРОПАПИР"</t>
  </si>
  <si>
    <t>ДСП Москва</t>
  </si>
  <si>
    <t>ТД "Аскона", ООО</t>
  </si>
  <si>
    <t>стр. 25</t>
  </si>
  <si>
    <t>ООО "КПФ "МИЛОРАДА "</t>
  </si>
  <si>
    <t>стр. 268</t>
  </si>
  <si>
    <t>"Познакомился с Матвеем, it специалистом.
Закупаются по потребностям, бывают не часто.
В подчинении небольшой парк техники, 50 пк.
Задач по виртуализации, базам данных, информационной безопасности нет.
ПО редко приобретают, пользуются тем что имеется.
Не против присылать запросы если будут. 
doll@milorada.ru"</t>
  </si>
  <si>
    <t>КОСТРОМА-ЛАДА</t>
  </si>
  <si>
    <t>КНТ-91142</t>
  </si>
  <si>
    <t>Познакомился с Дмитрием, it специалистом.
Как я понял мы уже выходили на них и пытались работать, но не вышло.
Проектом по СВН занимается другая компания, они в комплексе работу  + поставка оборудования закрывают.
Компьютеров не много установлено, до 20 шт и печатка.
Дмитрий не против поработать с нами, есть запрос на Led панели / видеостены. Необходимо 4-6 шт. по 50-60 дюймов.
Еще не приценялся, рассматривают как с одним центром управления так и с обособленными.
По Инженерке больше задач нет.</t>
  </si>
  <si>
    <t>МЕДИА ФЛЕКС</t>
  </si>
  <si>
    <t>КНТ-91143</t>
  </si>
  <si>
    <t>Познакомился с IT специалистом Владиславом.
В компании 8 компьютеров включая производство.
ПО не приобретают, экономят, закупки по необходимости.
Переехали на новую локацию, все задачи которые были уже закрыты.
Инженерки уже нет и врядли будет.
Списались в Ватсапе, не против поработать если появятся задачи.</t>
  </si>
  <si>
    <t>КНТ-91197</t>
  </si>
  <si>
    <t>Техносфера ООО НПК</t>
  </si>
  <si>
    <t>Познакомился с Сергеем, it специалистом.
Сказал с Айтек уже работал, компанию знают, с Владиславом общались ранее.
Перестали заказывать из-за казуса то ли со сканером, то ли с ПО - неприятный момент. 
Уточнил обращались ли в наш СЦ по гарантии, сказал что нет. Уверил его что мы бы решили вопрос, однозначно гарантийный случай.
Не против с нами сотрудничать.
Раньше в его подчинении было большое количество рабочих мест, но сейчас перевели большую часть сотрудников на удаленку.
Физических рабочих мест немного, порядка 50 и несколько серверов.
Уточнил бывают ли задачи по виртуализации и информационной безопасности, ПО - таких задач не бывает.</t>
  </si>
  <si>
    <t>"Познакомился с IT специалистом Кириллом.
У них отдел который обслуживает всю структуру.
На ближайшие полгода бюджет потрачен, далее возможно будут запросы.
Сервер удаленный, в работе используют компьютеры печатную технику и камеры, все исправно работает.
По закупкам - если мелкие комплектующие то берут в ситилинке, онлайн трейде. Если тяжелое что -то , то это закупают у конкретных поставщиков, за это отвечает другой сотрудник.
Не против направлять нам запросы, почта it@helicon.ru"</t>
  </si>
  <si>
    <t>ООО "КОМПАНИЯ ХЕЛИКОН"</t>
  </si>
  <si>
    <t>стр.336</t>
  </si>
  <si>
    <t>ООО "ИСТВЕСТПАРТ"</t>
  </si>
  <si>
    <t>стр. 823</t>
  </si>
  <si>
    <t>"Общался с Геннадием, руководителем отдела продаж.
Компьютеров в офисе очень мало (количество не сказал),  оргтехнику почти не используют.
Если что-то вдруг бывает нужным - берут в розницу в ДНС и Ситилинк.
Компания поставляет машиностроительное оборудование.
Инженерка тоже не нужна.
Компания не интересна."</t>
  </si>
  <si>
    <t>ООО "БИАПУР ТРЕЙДИНГ"</t>
  </si>
  <si>
    <t>стр. 864</t>
  </si>
  <si>
    <t>"Общался с менеджером по продажам.
Работают с ноутбуков, в офисе 10 человек.
Если что нужно берут в рознице день в день.
ITшника нет, местый в бизнес центре помогает в решении мелких проблем периодически.
Компания не интересна.
Информационное отправил"</t>
  </si>
  <si>
    <t>ООО "ЕВРОСТЕК ГРУПП"</t>
  </si>
  <si>
    <t>стр.882</t>
  </si>
  <si>
    <t>ООО "КОМПАНИЯ НОВОПЛАСТ"</t>
  </si>
  <si>
    <t>"Общался с менеджером по продажам
IT специалист удаленный
Решение о закупках принимает руководитель Виктория1
В компании порядка 50 компьютеров
Закупки редкие с его слов.
Направить на почту предложение, позвонить еще раз получить обратную связь"</t>
  </si>
  <si>
    <t>стр. 777</t>
  </si>
  <si>
    <t>ООО "КОЛОВРАТ"</t>
  </si>
  <si>
    <t>Номер актуальный
В компании 138 компьютизированных рабочих мест и много принтеров.
Есть IT отдел состоящий из нескольких человек.
Закупками комплектующих офис менеджеры занимаются (но это не точно).
Добавочный номер 500
Отправил на почту коммерческое.
Набрать</t>
  </si>
  <si>
    <t>стр. 731</t>
  </si>
  <si>
    <t>ООО "СУПРАГЕН"</t>
  </si>
  <si>
    <t>стр. 730</t>
  </si>
  <si>
    <t>За закупку IT оборудования отвечает Ирина из производственного отдела
Не было на месте, еще звонить</t>
  </si>
  <si>
    <t>ООО "ФЕРСОЛ ЧАЗ"</t>
  </si>
  <si>
    <t>"Есть IT специалист
На месте его не было к сожалению
Звонить еще раз"</t>
  </si>
  <si>
    <t>стр. 726</t>
  </si>
  <si>
    <t>"Познакомился с IT специалистом Алексеем Сергеевичем
(звонил через коммерческий отдел)
Занимается подбором и закупкой IT оборудования.
100 ПК и печатка
Приобретают в основном по необходимости.
Задачи по системам виртуализация и информационной безопасности иногда бывают.
Направить информацию на почту
admin@amaks.ru"</t>
  </si>
  <si>
    <t>ООО ИК "АМАКС"</t>
  </si>
  <si>
    <t>стр. 704</t>
  </si>
  <si>
    <t>ООО "ТПК "ОРИОН"</t>
  </si>
  <si>
    <t>стр. 748</t>
  </si>
  <si>
    <t>"Общался с менеджером
В компании менее 15 компьютеров
Уточнил нужно ли складское оборудование, ТСД и термопринтеры - такого не бывает.
IT специалиста нет.
Компания не интересна"</t>
  </si>
  <si>
    <t xml:space="preserve">Оборот по новым клиентам за июнь  составил 103 212,95 р.
Фактическое выполнение 25%
Коэффициент 0
Ультрастаб 84 915 р.
Охранное предприятие Кедр 10 497,95 р.
Департамент конкурсов и аукционов Ивановской области 7 800,00 р.
</t>
  </si>
  <si>
    <t>ООО "РЕМИЛИНГ 2000"</t>
  </si>
  <si>
    <t>стр. 826</t>
  </si>
  <si>
    <t>ООО "ГОРМАШСЕРВИС"</t>
  </si>
  <si>
    <t>стр. 744</t>
  </si>
  <si>
    <t>ООО "ПИР"</t>
  </si>
  <si>
    <t>стр. 364</t>
  </si>
  <si>
    <t>ООО "АВТОФОРМ"</t>
  </si>
  <si>
    <t>АО "РОССЕТИ НАУЧНО-ТЕХНИЧЕСКИЙ ЦЕНТР"</t>
  </si>
  <si>
    <t>стр. 359</t>
  </si>
  <si>
    <t>ООО "ЗИТРЕК РУС"</t>
  </si>
  <si>
    <t>стр. 309</t>
  </si>
  <si>
    <t>АО "КОМКОР"</t>
  </si>
  <si>
    <t>стр. 306</t>
  </si>
  <si>
    <t>ООО "СПЕЦТРАНСГРУПП"</t>
  </si>
  <si>
    <t>стр. 250</t>
  </si>
  <si>
    <t>стр. 171</t>
  </si>
  <si>
    <t>АО "СЖС ВОСТОК ЛИМИТЕД"</t>
  </si>
  <si>
    <t>ООО "ФИНПРОМАТОМ"</t>
  </si>
  <si>
    <t>стр. 720</t>
  </si>
  <si>
    <t>"Познакомился с IT специалистом Иваном. Адекватный.
В компании порядка 100 ПК и печатка
За закупки отвечает он, сейчас потребностей нет.
Готов присылать запросы когда появятся.
Уточнил у него бывают ли задачи по виртуализации, информационной безопасности - редко, в основном сами пытаются решить их."</t>
  </si>
  <si>
    <t>ИП Ткачева И.В.</t>
  </si>
  <si>
    <t>ИБП</t>
  </si>
  <si>
    <t>Охранное предприятие Кедр</t>
  </si>
  <si>
    <t>Расходники</t>
  </si>
  <si>
    <t>СДК-05949</t>
  </si>
  <si>
    <t>СДК-05948</t>
  </si>
  <si>
    <t>СДК-05944</t>
  </si>
  <si>
    <t>СДК-05945</t>
  </si>
  <si>
    <t>Неттоп и монитор</t>
  </si>
  <si>
    <t>Федосеев В.С. ИП</t>
  </si>
  <si>
    <t>АВТОПАК</t>
  </si>
  <si>
    <t>ДРЕВО</t>
  </si>
  <si>
    <t>инженерка</t>
  </si>
  <si>
    <t>Коробки
СВН</t>
  </si>
  <si>
    <t>СКУД</t>
  </si>
  <si>
    <t>Связался с IT специалистом Дмитрием.
Ранее уже работали с Айтек до 20 года. После отдел безопасности нас забраковал и перестали.
Договорились что отправлю ему информацию о нас для проверки.
Он отправит своему руководителю (он как раз отвечает за безопасность).
Я бы еще по холдингам позвонил, скорее всего их тоже забросили
Связался с Дмитрием еще раз, пока что нет ответа, попробует узнать и дать обратную связь.</t>
  </si>
  <si>
    <t>Фактическое выполнение 65%
Итоговое количество - 13 компаний</t>
  </si>
  <si>
    <t xml:space="preserve">Активности:
Ультрастаб -  (Оплаченый счет от 50 т.р.)
</t>
  </si>
  <si>
    <t>СДК-06046</t>
  </si>
  <si>
    <t>308 Авиационный ремонтный завод ОАО</t>
  </si>
  <si>
    <t>СДК-06047</t>
  </si>
  <si>
    <t>МАЧТ-ПРОЕКТ ООО</t>
  </si>
  <si>
    <t>СУП-ДС-277</t>
  </si>
  <si>
    <t>1С</t>
  </si>
  <si>
    <t>Анализ деятельности Июль 2025.</t>
  </si>
  <si>
    <t>ООО "ПРОМЭКС"</t>
  </si>
  <si>
    <t>стр. 798</t>
  </si>
  <si>
    <t>"Общался с секретаремм
Дали контакты Тимофея - руководителя отдела, сказали он занимается комплектующими и тд. Могут перенаправить дальше еще куда"</t>
  </si>
  <si>
    <t>ЧИСТОТА ПРОИЗВОДСТВА</t>
  </si>
  <si>
    <t>Оборот по новым клиентам за месяц составил 1 008 857 рублей
Оплата по таблице:
Показатель	Коэффициент	
менее 40%	0	
41% - 60%	0,5	
61% - 90%	0,7	
91% - 120%	1	
121% - 140%	1,2	
Более 141%	1,4"</t>
  </si>
  <si>
    <t>В учет идут активности по СП и новым клиентам: 
1. Оплаченные счета от 50 т.р.,
2. Договора (отсрочка/рассрочка) от 100 т.р.,
3. СДК, занесенные в 1С от 350 т.р.,
* В рамках одного клиента идет в отчет один из перечисленных пунктов.
Оплата:
7 000 /  10 штук
max 20"</t>
  </si>
  <si>
    <t>"Выполнить 30 результативных звонков по ДСП
Оплата:
3 000 / 100%
max 200%"</t>
  </si>
  <si>
    <t>"Провести 4 результативные встречи (или ВКС для клиентов из других регионов) с клиентами.
Оплата:
1 250 / шт.
Max 8"</t>
  </si>
  <si>
    <t>7 000 /  10 штука
max 20</t>
  </si>
  <si>
    <t>5700 - 100%
оплата по таблице</t>
  </si>
  <si>
    <t>да</t>
  </si>
  <si>
    <t>не надо</t>
  </si>
  <si>
    <t>внес в 1с</t>
  </si>
  <si>
    <t>АО "ГНПП "АЭРОГЕОФИЗИКА"</t>
  </si>
  <si>
    <t>стр. 883</t>
  </si>
  <si>
    <t>АНО ВО МГЭУ</t>
  </si>
  <si>
    <t>стр. 873</t>
  </si>
  <si>
    <t>КНТ-92135</t>
  </si>
  <si>
    <t>Дайдо Металл Русь ООО</t>
  </si>
  <si>
    <t>Познакомился с Шестоперовой Мариной Германовной менеджером по закупкам
+7 (83161) 2 12 32  (доб. 141)
Ранее уже работали с нами, не против возобновить сотрудничество.
Была занята, допрофилировать позднее. 
Сейчас есть запрос на ИБП SRT5KRMXLI, прислала на почту.</t>
  </si>
  <si>
    <t>ООО "ЕВРОНИТЬ"</t>
  </si>
  <si>
    <t>стр. 860</t>
  </si>
  <si>
    <t>Общался с Светланой - менеджером по продажам.
В компании небольшое количство компьютеров, IT специалиста нет - аутсорс.
Есть склады, возможно по торговому оборудованию получится пообщаться.
Закупками занимается бухгалтерия
Договорились что наберу 17.07., соединит для разговора.
Набрать, допрофилировать</t>
  </si>
  <si>
    <t>ООО "САНТИМ-СТОЛИЦА"</t>
  </si>
  <si>
    <t>стр. 834</t>
  </si>
  <si>
    <t>ООО "ПАРТНЕР"</t>
  </si>
  <si>
    <t>it специалист Александр 89260134442</t>
  </si>
  <si>
    <t>ООО "ПТП"</t>
  </si>
  <si>
    <t>стр. 820</t>
  </si>
  <si>
    <t xml:space="preserve">Фактическое выполнение 0% </t>
  </si>
  <si>
    <t>ООО "СПЕЦИАЛЬНЫЕ МЕТАЛЛЫ"</t>
  </si>
  <si>
    <t>"Переключают на ITшника  без проблем.
Общался с IT специалистом Евгением
В компании 10 ПК
Сидят на Линуксе бесплатном, никакое ПО не закупают.
Есть склады, но видеонаблюдением уже не он занимается, другое ответсвенное лицо.
Отправил свои контакты и информационное дополнительно.
Компания не интересна."</t>
  </si>
  <si>
    <t>ООО ТДС</t>
  </si>
  <si>
    <t>стр. 651</t>
  </si>
  <si>
    <t>IT специалист приходят по пятницам, зовут Игорь</t>
  </si>
  <si>
    <t>Общался с закупщицей Ксенией Юрьевной
В компании 100 компьютеров
Бюджетируемые закупки, на этот год израсходовали.
ПО не приобретают
По инженерке задач не бывает сее слов
Периодически можно созваниваться по запросам
В следующий звонок обязательно узнать про IT отдел и их контакты взять.</t>
  </si>
  <si>
    <t>ООО "НАУЧНОЕ ОБОРУДОВАНИЕ НВ-ЛАБ"</t>
  </si>
  <si>
    <t>стр. 654</t>
  </si>
  <si>
    <t>стр. 633</t>
  </si>
  <si>
    <t>ООО МСИА</t>
  </si>
  <si>
    <t>стр. 606</t>
  </si>
  <si>
    <t>"Познакомился с Арсением Овчаренко- ведущим системным администратором
Есть два десятка серверов марки HP Supermicro
В работе используют ноутбуки + мониторы (порядка 100 шт ноутов)
По ПО - закупка Антивирусов планируется на зиму, в конце осени будут собирать предложения.
Договорились что направлю свои контакты на почту и созвонимся еще пообщаемся по направлениям.
Уточнить при созвоне под какие задачи используют сервера, по печатной технике тоже узнать.
it@mcintermarkauto.com"</t>
  </si>
  <si>
    <t>ЗАО "РУВИНИЛ"</t>
  </si>
  <si>
    <t>7 (495) 180-20-20 Александр IT</t>
  </si>
  <si>
    <t>стр. 756</t>
  </si>
  <si>
    <t>ООО "АЛЬГИМЕД"</t>
  </si>
  <si>
    <t>стр. 752</t>
  </si>
  <si>
    <t>Общался с Анной Власовой закупщицей
IT специалист на удаленке
Пользуются белорусской 1C, нашу пока не могут себе позволить
В компании 60 ноутбуков, сотрудники на удаленке.
Для ноутбуков закупают Антивирусы, закупка была 2 месяца назад.
На следующий май запланировать созвон.
Периодически можно связываться по задачам.</t>
  </si>
  <si>
    <t>ООО "ЛЕКС"</t>
  </si>
  <si>
    <t>стр. 737</t>
  </si>
  <si>
    <t>ООО "ТЕХНОМЕД"</t>
  </si>
  <si>
    <t>ООО "АРСТ"</t>
  </si>
  <si>
    <t>стр. 575</t>
  </si>
  <si>
    <t>it специалист Дмитрий, в отпуске до 05.08.</t>
  </si>
  <si>
    <t>Системный администратор Андрей
На месте не было, еще набрать</t>
  </si>
  <si>
    <t>ООО "АКУРА-С"</t>
  </si>
  <si>
    <t>стр. 565</t>
  </si>
  <si>
    <t xml:space="preserve">Активности 5:
СДК-06187  Мачт-проект (&gt;350 т.р.)
СДК-06188  Чистота производства  (Оплаченый счет от 50 т.р.)
СДК-06246 Константа Юридическое Бюро  (&gt;350 т.р.)
СДК-06245 Дайдо Металл Русь ООО (&gt;350 т.р.)
СДК-06279 Хеликон (&gt;350 т.р.)
</t>
  </si>
  <si>
    <t>ООО "ИНКОТЕКС-СК"</t>
  </si>
  <si>
    <t>стр. 553</t>
  </si>
  <si>
    <t>Общался с IT специалистом Беляк Александром Сергеевичем
Используют софт Windows и Office, к отечественному не принуждают
По железу - покупают ПК и мониторы, примерно раз в месяц
По виртуализации и инфобезу задачи редко бывают.
Уже сотрудничают по поставкам, не против сравнить цены.
По печатке тоже сотрудничают, тоже можно сравнить.
Почта у них общая на весь отдел admin@incotexcom.ru
Запросить модели принтеров или картриджи</t>
  </si>
  <si>
    <t>ООО "РАВЕНОЛ РУССЛАНД"</t>
  </si>
  <si>
    <t>стр. 542</t>
  </si>
  <si>
    <t>С IT отделом соединяют без проблем, еще раз набрать</t>
  </si>
  <si>
    <t>ООО "ИНИКО"</t>
  </si>
  <si>
    <t>стр. 541</t>
  </si>
  <si>
    <t>Есть IT отдел
Соединяют без проблем, сброс был</t>
  </si>
  <si>
    <t>IT руководитель Козлов Сергей Валерьевич
В компании 200 компьютеров и печатки
За закупки он отвечает, направить ему на почту предложение для ознакомления.
Информации пока никакой не дал, еще созваниваться.
it@moskvorechie.ru
направил</t>
  </si>
  <si>
    <t>ООО "МРСВ"</t>
  </si>
  <si>
    <t>стр. 655</t>
  </si>
  <si>
    <t>Переключают на ITшника  без проблем.
Общался с IT специалистом Евгением
В компании 10 ПК
Сидят на Линуксе бесплатном, никакое ПО не закупают.
Есть склады, но видеонаблюдением уже не он занимается, другое ответсвенное лицо.
Отправил свои контакты и информационное дополнительно.
Компания не интересна.</t>
  </si>
  <si>
    <t>СДК-06246</t>
  </si>
  <si>
    <t>Константа Юридическое Бюро</t>
  </si>
  <si>
    <t>Запрос на оборудование для AI</t>
  </si>
  <si>
    <t>Август 25 г.</t>
  </si>
  <si>
    <t>СДК-06279</t>
  </si>
  <si>
    <t>Хеликон</t>
  </si>
  <si>
    <t>Март 26 г.</t>
  </si>
  <si>
    <t>01 Новая сделка</t>
  </si>
  <si>
    <t>СДК-06187</t>
  </si>
  <si>
    <t>Запрос на ИБП и МФУ А3</t>
  </si>
  <si>
    <t>Июль 25 г.</t>
  </si>
  <si>
    <t>СДК-06214</t>
  </si>
  <si>
    <t>СВН
СКУД</t>
  </si>
  <si>
    <t>СДК-06188</t>
  </si>
  <si>
    <t>Касперский 30 лицензий</t>
  </si>
  <si>
    <t>СКУД и видеонаблюдение</t>
  </si>
  <si>
    <t>Сентябрь 25 г.</t>
  </si>
  <si>
    <t>СДК-06217</t>
  </si>
  <si>
    <t>СДК-06267</t>
  </si>
  <si>
    <t>ТРК БАРС</t>
  </si>
  <si>
    <t>Системные блоки</t>
  </si>
  <si>
    <t>Видеостены и фоновое визуальное оборудование</t>
  </si>
  <si>
    <t>СДК-06284</t>
  </si>
  <si>
    <t>СДК-06285</t>
  </si>
  <si>
    <t>Январь 26 г.</t>
  </si>
  <si>
    <t>Сервера и комплектующие</t>
  </si>
  <si>
    <t>Wifi и СКС</t>
  </si>
  <si>
    <t>Шкаф</t>
  </si>
  <si>
    <t>Детский Сад № 171</t>
  </si>
  <si>
    <t>Мачт-проект</t>
  </si>
  <si>
    <t>Приобретение сервера для новой организации + этикетки</t>
  </si>
  <si>
    <t>Запрос на 3 МФУ</t>
  </si>
  <si>
    <t>ООО "ТТМ-ЦЕНТР"</t>
  </si>
  <si>
    <t>стр. 509</t>
  </si>
  <si>
    <t>Сис админ Данила, на месте не было
Почта danila@ttm-c.ru</t>
  </si>
  <si>
    <t>КНТ-92592</t>
  </si>
  <si>
    <t>Раньше был директор Николай Иванович который отвечал за IT.
Сейчас есть наемная организация которая обслуживает
Закупками занимается Александра Лобанова, специалист отдела закупок.
Почта alexandra_lobanova@reztsoff.ru
Отправил презентацию, договорился созвониться и обсудить еще раз варианты по работе.</t>
  </si>
  <si>
    <t>Резцофф</t>
  </si>
  <si>
    <t>КНТ-92593</t>
  </si>
  <si>
    <t>IT специалист Николай
в компании 30 ПК и печатка
Инженерки не бывает
Есть запрос на касперский на эти 30 ПК.
Собирал предложения от разных компаний.
Удобно переписываться почтой.</t>
  </si>
  <si>
    <t>АО "АУРАТ"</t>
  </si>
  <si>
    <t>ООО "ГЕЙЗЕР-ТЕЛЕКОМ"</t>
  </si>
  <si>
    <t>стр. 478</t>
  </si>
  <si>
    <t>стр. 486</t>
  </si>
  <si>
    <t>IT специалист Вадим
150ПК
Почта it@g-tl.ru
По базовым поставкам есть уже поставщик, не будут менять
По проектным задачам готовы обращаться, но это редко бывают.
Направить на почту контакты</t>
  </si>
  <si>
    <t>ООО "АНИОН"</t>
  </si>
  <si>
    <t>it специалист Леонид
it@anion-msk.ru
Поставщиков не рассматривают.
Отправить на почту информацию о нас.
еще звонить сюда</t>
  </si>
  <si>
    <t>стр. 473</t>
  </si>
  <si>
    <t>СДК-06245</t>
  </si>
  <si>
    <t>ИБП SRT5KRMXLI</t>
  </si>
  <si>
    <t>АВАНГАРД Смоленск</t>
  </si>
  <si>
    <t>СДК-06322</t>
  </si>
  <si>
    <t>АСМограф</t>
  </si>
  <si>
    <t>СДК-06326</t>
  </si>
  <si>
    <t>10 лицензий 1С</t>
  </si>
  <si>
    <t xml:space="preserve">Оборот по новым клиентам за июль  составил 160 292 р. 
Фактическое выполнение 15%
Коэффициент 0
Газсервис Иваново    33 000,00 р.
Детский Сад № 171    32 835,00 р.
Мачт-проект  19 100,00 р.
ЧИСТОТА ПРОИЗВОДСТВА   75 357,00 р.
</t>
  </si>
  <si>
    <t>Соединяют без проблем с IT отделом
Общался с Александром, специалистом информационных технологий (их несколько человек)
В работе 70-80 ПК
Плановых закупок почти не бывает, только при поломках.
В розницу берут, поставщиков как таковых нет.
Есть серверное оборудование, мощностей хватает
Периодически можно созваниваться
it@aurat.ru
Планируют обновить сервер 1С в 2026 году, также старая система видеонаблюдения. Пока только планы, с руководством не обсуждалось.
Есть интерес к ремонту МФУ HP OfficeJet Pro 8720 e-All-in-One . Если такой ремонт не сможем выполнить, можно рассмотреть приобретение Canon i-SENSYS MF655Cdw</t>
  </si>
  <si>
    <t>АО "НИИ "КУЛОН"</t>
  </si>
  <si>
    <t>стр. 448</t>
  </si>
  <si>
    <t>С IT отделом соеднияют
Никого не было на месте
Еще звонить</t>
  </si>
  <si>
    <t>ООО "НАЯДА-СТОЛИЦА"</t>
  </si>
  <si>
    <t>стр. 445</t>
  </si>
  <si>
    <t>Есть IT Отдел
Соединили, но там никого не было
Еще звонить</t>
  </si>
  <si>
    <t>Олег Перуанский, добавочный 2101
Познакомился с IT специалистом
50 рабочих мест
Закупки только при необходимости. Пока задач по IT нет.
Периодически приобретают картриджи, можно по ним поработать.
Рабочие места редко появляются. По антивирусам уже работают с кем-то.
Периодически созваниваться</t>
  </si>
  <si>
    <t>"Пообщался с системный администратором  Григорий, добавочный 911
Закупаются в рознице, у них ""динамичный бизнес"",  работать в формате запросов не удобно и ""долго.
Для него важно время реагирования и сроки поставки.
По оборудованию не рассказал, ввиду ситуации в стране такую информацию не дает в рамках безопасности.
Отправил на почту информацию о нас и наши контакты."</t>
  </si>
  <si>
    <t>Фактическое выполнение 46%
Итоговое количество - 14 компаний</t>
  </si>
  <si>
    <t>АО "ПК ХК ЭЛЕКТРОЗАВОД"</t>
  </si>
  <si>
    <t>стр. 430</t>
  </si>
  <si>
    <t>Оборот по новым клиентам за месяц составил 1146429  рублей
Оплата
2500 - 100%
оплата по таблице</t>
  </si>
  <si>
    <t>Выполнить 30 результативных звонков по ДСП
Оплата:
3 000 / 100%
max 200%"</t>
  </si>
  <si>
    <t>Провести 4 результативные встречи (или ВКС для клиентов из других регионов) с клиентами.
Оплата:
1 500 / шт.
Max 6"</t>
  </si>
  <si>
    <t>В учет идут активности по СП и новым клиентам: 
1. Оплаченные счета от 50 т.р.,
2. Договора (отсрочка/рассрочка) от 100 т.р.,
3. СДК, занесенные в 1С от 350 т.р.,
* В рамках одного клиента идет в отчет один из перечисленных пунктов.
Оплата:
6 000 /  8 штук
max 15"</t>
  </si>
  <si>
    <t>АО "ПТПА"</t>
  </si>
  <si>
    <t>стр. 528</t>
  </si>
  <si>
    <t>Соединили с Инфо Сервисом.
Порекомендовали обратиться к системному администратору
Секретарь соединила, но не дозвон.
Еще звонить</t>
  </si>
  <si>
    <t>IT специалист Евгений
В компании 20 ПК, недавно обновились.
Рабочие места появляются очень редко, маленькая фирма.
По Сайтам и ПО он уже сотрудничает лет 20 с кем -то, не будет сравнивать цены.
Есть производство, но за него отвечает другой человек.
Направил на почту.
Не интересны</t>
  </si>
  <si>
    <t>ООО "МАККОМ"</t>
  </si>
  <si>
    <t>стр. 585</t>
  </si>
  <si>
    <t>АО НПО "МОБИЛЬНЫЕ ИНФОРМАЦИОННЫЕ СИСТЕМЫ"</t>
  </si>
  <si>
    <t>"Познакомился с IT специалистом Русланом
В подчинении более 300 ПК
По печатке покупают картриджи, заправляют редко (можно посчитать)
Сейчас есть потребность  в закупке, срочная, на площадке АСТ ГОЗ
Нужны будут рабочие места с СПСИ
Спецсчет не нужен"</t>
  </si>
  <si>
    <t>стр. 421</t>
  </si>
  <si>
    <t>ООО "АЛЬФА"</t>
  </si>
  <si>
    <t>стр. 863</t>
  </si>
  <si>
    <t>Переключили на IT специалиста, не было на месте
еще звонить</t>
  </si>
  <si>
    <t>"IT специалист Кирилл Баранов, в отпуске до 14.08.
По второму номеру дозвонился
Есть IT отдел
Соединили без проблем , но не дозвонился"</t>
  </si>
  <si>
    <t>"it специалист удаленный
Евдокимов Кирилл Геннадьевич 89261394190
Порядка 100 ПК обслуживает, есть еще пара ITшников.
По ПО конкретный ответ не дал, ""по необходимости"".
Не против посотрудничать.
Договорились что направлю информацию и созвонимся с ним обсудить другие направления."</t>
  </si>
  <si>
    <t>"8(499)237-40-37, доб.199
Начальник IT отдела
Иржанов Денис Алексеевич (системный администратор)
В отпуске, звонить в конце августа - начале сентября"</t>
  </si>
  <si>
    <t>Соединяют с IT Отделом без проблем
Руководитель IT отдела   1103@san.team
Сейчас в отпуске ,звонить через 2 недели.
письмо направил</t>
  </si>
  <si>
    <t>"Сказать ""соедините с IT специалистом""
Есть IT отдел
В отпуске ITшник, выйдет в середине августа"</t>
  </si>
  <si>
    <t>"Руководитель IT отдела Яшкин Василий
Сейчас в отпуске до 11 июня
С ним могут не соединить, через почту попробовать еще
v.yashkin@europapier.ru
Ушел сегодня пораньше
В офисе редко, удаленный специалист. звонить на следующей неделе порекомендовали"</t>
  </si>
  <si>
    <t>ООО "ЗГ СТРОЙМОНТАЖ"</t>
  </si>
  <si>
    <t>стр. 1059</t>
  </si>
  <si>
    <t>Есть IT специалист Сергей
84956633665   добавочный 2064
Сергей
В отпуске на 2 недели, будет после 25 августа!</t>
  </si>
  <si>
    <t>"Познакомился с Денисом, специалистом IT отдела.
В его подчинении 300 машин и печатка.
ПО СВН - рекомендуют закупки они, запросы идут от отдела беопасности.
Готовы работать. их интересует кредитный лимит в 2 недели размером 1-1.5 млн.
Если проходим по этим параметрам - можно обсуждать дальше сотрудничество.
Почта support@playtoday.ru"</t>
  </si>
  <si>
    <t>стр. 1063</t>
  </si>
  <si>
    <t>АО "ПЛЭЙТУДЭЙ СНГ"</t>
  </si>
  <si>
    <t>ООО "МАЙНТЕК МАШИНЕРИ"</t>
  </si>
  <si>
    <t>Познакомился с Маратом, it специалистом.
Ему удобно работать когда есть прайс, подобрать оборудование он может сам.
Серверное оборудование обновили год назад, купили HP.
ПО иногда приобретают, какое не назвал,можно обсудить еще будет.
Предложил ему помощь в подборе любого оборудования по разным направлениям.
info@minetech-m.com
направить письмо</t>
  </si>
  <si>
    <t>ООО "ПРК-ИНВЕСТ"</t>
  </si>
  <si>
    <t>стр. 1253</t>
  </si>
  <si>
    <t>Руководитель IT отдела Игорь Кошкаров
В отпуске на 2 недели, звонить после 25 августа</t>
  </si>
  <si>
    <t>ООО "ТЕХНОТРАНС"</t>
  </si>
  <si>
    <t>"Познакомился с IT специалистом Андреем
В компании 100 компьютеров и печатка
Приобретают чаще по необходимости, когда ломается.
Также приобретают програмное обеспечение, можно с ним еще раз это обсудить, подскажет по срокам.
Не против сотрудничества, направил на почту письмо, позвонить уточнить по направлениям."</t>
  </si>
  <si>
    <t>стр. 1245</t>
  </si>
  <si>
    <t>ООО "КОЛВИ"</t>
  </si>
  <si>
    <t>стр. 1141</t>
  </si>
  <si>
    <t>"По первому номеру
Соединить с IT специалистом
Переключили, не было на месте
Еще звонить"</t>
  </si>
  <si>
    <t>ООО "ЛОГИСТИКА 360"</t>
  </si>
  <si>
    <t>стр. 1079</t>
  </si>
  <si>
    <t>Руководитель департамента IT Отдела
Андрей Васильевич Протасевич
На месте нет
почта A.Protasevich@ctconsult.by
Еще звонить</t>
  </si>
  <si>
    <t>ООО "ЧАЙНА ФОРКЛИФТ"</t>
  </si>
  <si>
    <t>стр. 1215</t>
  </si>
  <si>
    <t>Николай IT специалист, вышел
Еще звонить обязательно</t>
  </si>
  <si>
    <t>ООО "ГПА ИНЖИНИРИНГ"</t>
  </si>
  <si>
    <t>стр. 1007</t>
  </si>
  <si>
    <t>Общался с секретарём Валерией
По сотрудничеству в IT направлении нужен Евгений
Понедельник после 12 набрать</t>
  </si>
  <si>
    <t>ООО "ЦРСС"</t>
  </si>
  <si>
    <t>"первый номер
IT отдел с 08 до 17 00 работает, звонить соединят"</t>
  </si>
  <si>
    <t>Анализ деятельности Август 2025.</t>
  </si>
  <si>
    <t>ООО "ПРОЕКТ ФИНАНС"</t>
  </si>
  <si>
    <t>стр. 1355</t>
  </si>
  <si>
    <t>"IT специалист Владимир
20ПК
Не интересны"
допрофилировать</t>
  </si>
  <si>
    <t>ООО "ОКНО ТВ"</t>
  </si>
  <si>
    <t>стр. 1353</t>
  </si>
  <si>
    <t>Познакомился с Руководителем отдела закупок
Сергей Кочеров
kocherov@okno-tv.ru
Направить информацию, связаться и отпрофилировать</t>
  </si>
  <si>
    <t>ООО ПТЦ "КОМТРАНС ЮГ"</t>
  </si>
  <si>
    <t>стр. 1091</t>
  </si>
  <si>
    <t>Спросить системного администратора
На месте не было, короткая смена
Еще звонить</t>
  </si>
  <si>
    <t>Фокина Екатерина Александровна ИП</t>
  </si>
  <si>
    <t>ООО "МОСКОВСКИЙ ТРУБОПРОКАТНЫЙ ЗАВОД"</t>
  </si>
  <si>
    <t>5 пк в офисе
сервер облачный
ITшника нет
Ничего не покупают
Не интересны</t>
  </si>
  <si>
    <t>стр. 422</t>
  </si>
  <si>
    <t>ООО "РЕСУРС ПЛЮС"</t>
  </si>
  <si>
    <t>+7 499 360-64-64
Вышел на руководителя отдела закупок Ольгу
IT Отдел выбирает позиции на сайте где всё "прозрачно" и цены видны.
Для них важно чтобы привозили "на следующий день" и если мы так не можем - до свидания.
Серверное и сетевое оборудование тоже закупают в онлайн трейде, письма запросы никогда никому не делают.
Бухгалтерия "проверяет" цены зайдя на эти сайты.
ПО, инженерку тоже также , не пробиваемая.
ОБСУДИТЬ С ГЕОРГИЕМ КАК ЕЕ ПРОБИТЬ НА ЗАКАЗЫ
По другим номерам попасть на IT отдел мб</t>
  </si>
  <si>
    <t>стр. 1185</t>
  </si>
  <si>
    <t>ООО "МТЭР ЦТС"</t>
  </si>
  <si>
    <t>стр. 1338</t>
  </si>
  <si>
    <t>в холдинге есть хорошая фирма 
7707439518 звонить туда
Познакомился с Романом, IT специалистом.
Их отдел даёт позиции которые нужны отделу закупок, а они уже приобретают.
В компании небольшое количество компьютеров.
ПО приобретают редко, так же через отдел закупок.
Серверное оборудование очень редко берут, раз в 3-4 года, пока не планируют.
Познакомился с Михаилом из отдела закупок.
Закупки спонтанные чаще всего.
В поставщике важны сроки, цена, отсрочка.
Готов присылать запросы по следующим закупкам.
Личная почта m.chirkov@mter.ru
Письмо направил</t>
  </si>
  <si>
    <t>СУП-ДС-142</t>
  </si>
  <si>
    <t>Провести 4 результативные встречи (или ВКС для клиентов из других регионов) с клиентами.
Оплата:
1 250 / шт.
Max 8</t>
  </si>
  <si>
    <t>Оборот по новым клиентам за месяц составил 1 146 429   рублей
Оплата по таблице:
Показатель	Коэффициент	
менее 40%	0	
41% - 60%	0,5	
61% - 90%	0,7	
91% - 120%	1	
121% - 140%	1,2	
Более 141%	1,4"</t>
  </si>
  <si>
    <t>Выполнить 40 результативных звонков по ДСП
Оплата:
3 000 / 100%
max 200%</t>
  </si>
  <si>
    <t>Фактическое выполнение 22,5%
Итоговое количество - 9 компаний</t>
  </si>
  <si>
    <t>Фактическое выполнение 25% 
Константа Юридическое Бюро КНТ-93454</t>
  </si>
  <si>
    <t>СДК-06652</t>
  </si>
  <si>
    <t>СДК-06651</t>
  </si>
  <si>
    <t>СДК-06653</t>
  </si>
  <si>
    <t>СДК-06531</t>
  </si>
  <si>
    <t>СДК-06528</t>
  </si>
  <si>
    <t>Подборов Вячеслав Дмитриевич ИП</t>
  </si>
  <si>
    <t>Плэйтудэй СНГ</t>
  </si>
  <si>
    <t>САХАРОПТ</t>
  </si>
  <si>
    <t>Запрос на ИБП и коммутатор</t>
  </si>
  <si>
    <t>Игровой ноутбук</t>
  </si>
  <si>
    <t>Запрос на телевизор</t>
  </si>
  <si>
    <t>Закупка комплектующих и ПО</t>
  </si>
  <si>
    <t>МФУ и ПО</t>
  </si>
  <si>
    <t>Октябрь 25 г.</t>
  </si>
  <si>
    <t>КНТ-93454</t>
  </si>
  <si>
    <t>Встретился с Даниилом.
Константа холдинг компаний, их компания занимается информационными технологиями, програмируют на питоне + занимаются оборудованием на все фирмы холдинга.
Некоторые компании в разных городах находятся.
Раньше холдинг был больше, сейчас сократилось количестко фирм а следовательно и рабочих мест меньше.
с 160 ПК стало 70 + печатка.
Огромный подменный фонд ввиду сокращений, новые рабочие места не появляются.
Касательно ПО - периодически закупают антивирус Касперского, если покупают не у нас - то готовы следующую закупку сделать.
Сейчас ведут проекты по ИИ, отчитаются по ним в сентябре - ноябре и тогда уже будут планироватся новые закупки.
В планах будет закупка ССДшников на 2ТБ, процессор, оперативу. Возможно видеокарты, сейчас 3090 стоят.
Отдельно хотят собрать стенд на 12-24 видеокартах 3070 (чтобы потом и на 3090 такой же сделать).
СХД в работе не используют, стоит компьютер где хранятся данные.
По одной из компаний холдинга (Софт Навигатор) работает Грабушин.</t>
  </si>
  <si>
    <t>Выявление потребностей.</t>
  </si>
  <si>
    <t>СДК-06668</t>
  </si>
  <si>
    <t>Антивирус касперского</t>
  </si>
  <si>
    <t>Активности 0</t>
  </si>
  <si>
    <t>Оборот по новым клиентам за месяц составил 1238143  рублей
Оплата
2500 - 100%
оплата по таблице</t>
  </si>
  <si>
    <t>Выполнить 40 результативных звонков по ДСП
Оплата:
3 000 / 100%
max 200%"</t>
  </si>
  <si>
    <t>Провести 6 результативных встреч (или ВКС для клиентов из других регионов) с клиентами.
Оплата:
1 250 / шт.
Max 10</t>
  </si>
  <si>
    <t>В учет идут активности по СП и новым клиентам: 
1. Оплаченные счета от 50 т.р.,
2. Договора (отсрочка/рассрочка) от 100 т.р.,
3. СДК, занесенные в 1С от 350 т.р.,
* В рамках одного клиента идет в отчет один из перечисленных пунктов.
Оплата:
7 000 /  10 штук
max 15"</t>
  </si>
  <si>
    <t>Маршрутизатор</t>
  </si>
  <si>
    <t>Маршрутизатор и комплектующие</t>
  </si>
  <si>
    <t>Коммутатор, ИБП, комплектующие</t>
  </si>
  <si>
    <t xml:space="preserve">Оборот по новым клиентам за июль  составил 44 499,00‬ р.
Фактическое выполнение 3%
Коэффициент 0
ШВЕЙНАЯ ФАБРИКА СЕЛТЕКС   40 199,00 р.
Фокина Екатерина Александровна ИП 4 300,00 р.
</t>
  </si>
  <si>
    <t>5 000 /  7 штук
max 20</t>
  </si>
  <si>
    <t>Выполнить 30 результативных звонков по ДСП</t>
  </si>
  <si>
    <t>1 250 / шт.
max 6"</t>
  </si>
  <si>
    <t>2 000 / 100%</t>
  </si>
  <si>
    <t>На мероприятие зарегистрировались и пришли представители 8 компаний.</t>
  </si>
  <si>
    <t xml:space="preserve">На мероприятии сгенерировано  и занесено в 1С 10 сделок. 
</t>
  </si>
  <si>
    <t>2 500 / 100%</t>
  </si>
  <si>
    <t>ООО "ЧИНТ ЭЛЕКТРИК"</t>
  </si>
  <si>
    <t>стр.1128</t>
  </si>
  <si>
    <t>Переключают без проблем на IT специалиста, не дозвон</t>
  </si>
  <si>
    <t>ООО "ВЕТПРОДАКС"</t>
  </si>
  <si>
    <t>Нет на месте IT специалиста, еще звониить</t>
  </si>
  <si>
    <t>стр. 1166</t>
  </si>
  <si>
    <t>ЖЕЛЕЗОБЕТОН</t>
  </si>
  <si>
    <t>ДОПРОФИЛИРОВАТЬ</t>
  </si>
  <si>
    <t>Суртекс Родники</t>
  </si>
  <si>
    <t>ЮНИТОЙС МСК</t>
  </si>
  <si>
    <t>Общался с секретарем
Есть IT специалист, Сергей Войдеховский
Уже на месте никого не было, звонить в другой день</t>
  </si>
  <si>
    <t>ООО "СТАЛКЕР-КОНСАЛТИНГ"</t>
  </si>
  <si>
    <t>стр 1322</t>
  </si>
  <si>
    <t>Соединяют без проблем</t>
  </si>
  <si>
    <t>Не дозвоны</t>
  </si>
  <si>
    <t>ООО "РУСЭЛПРОМ"</t>
  </si>
  <si>
    <t>стр. 514</t>
  </si>
  <si>
    <t>Соединяют с IT отделом без проблем.
Отказ сразу.
Звонить периодически)</t>
  </si>
  <si>
    <t>Не дозвоны, соединяют легко</t>
  </si>
  <si>
    <t>ООО "АВТОЦЕНТР АТЛАНТ-М"</t>
  </si>
  <si>
    <t>второй номер соединяют без проблем</t>
  </si>
  <si>
    <t>ООО "ЕТС-М"</t>
  </si>
  <si>
    <t>ООО "МИСТРАЛЬ ТРЕЙДИНГ"</t>
  </si>
  <si>
    <t>стр . 917</t>
  </si>
  <si>
    <t>стр . 918</t>
  </si>
  <si>
    <t>Соединяют с IT Отделом без проблем, звонить</t>
  </si>
  <si>
    <t>Звонить еще
Есть закупки в IT направлении, связаться по контактам</t>
  </si>
  <si>
    <t>БХЗ</t>
  </si>
  <si>
    <t>КНТ-93876</t>
  </si>
  <si>
    <t>Научное оборудование НВ-Лаб</t>
  </si>
  <si>
    <t>Мартынов А.А.: Общался с закупщицей Ксенией Юрьевной
В компании 100 компьютеров
Бюджетируемые закупки, на этот год израсходовали.
ПО не приобретают
По инженерке задач не бывает сее слов
Периодически можно созваниваться по запросам
В следующий звонок обязательно узнать про IT отдел и их контакты взять.
Её почта личная 101@nv-lab.ru
Секретарь не соединила, еще звонить. На крайняк написать на почту личную."</t>
  </si>
  <si>
    <t>Костромской завод автокомпонентов</t>
  </si>
  <si>
    <t>КНТ-93839</t>
  </si>
  <si>
    <t>ООО "ЭКОДОК"</t>
  </si>
  <si>
    <t>+7 (495) 609-60-09 - звонил по этому номеру, попал в Экодок "Фабрика Мажино"
Соединили с Даниилом IT специалистом
Он подбирает оборудование и отправляет запрос в главный офис в отдел закупок.
Работает с большим количеством компьтеров, тк много филиалов, по количеству не сориентирует - много.
Контактов закупщиков не знает, не подскажет.
Департамент промышленности Концерна «КРОСТ» сюда звонить закупщикам</t>
  </si>
  <si>
    <t>стр. 1203</t>
  </si>
  <si>
    <t>АО "ФОРУМ ЭЛЕКТРО"</t>
  </si>
  <si>
    <t>стр. 1240</t>
  </si>
  <si>
    <t>IT специалист Андреев Александр
Еще звонить, соединяют  без проблем</t>
  </si>
  <si>
    <t>Альтернатива ОПТ</t>
  </si>
  <si>
    <t>Познакомился с IT специалистом Егором Шаровым.
Закупаются в ДНС и Ситилинк.
По задачам ничего не планируется пока что, периодически можно созваниваться.
Можно пообщаться по расходникам, но позже.
Информационная безопасность не актуальна.
По конференции - к сожалению не сможет, занят на этой неделе.</t>
  </si>
  <si>
    <t>КНТ-94132</t>
  </si>
  <si>
    <t>ООО "ЭССИЛОР - ЛУЙС-ОПТИКА"</t>
  </si>
  <si>
    <t>стр. 1840</t>
  </si>
  <si>
    <t>"Познакомился с IT  специалистом Владмиром
40 компьютеров
Закупки редкие, 1 ноутбук в год
По печатке - в комусе закупают 2-3 картриджа в Комусе, печатают мало.
Работают по постоплате.
ПО приобретают раз в год, антивирусы на все компьютеры. Берут в одном месте, цены у поставщиков идентичны - не видит смысла менять.
Сервер обновили 2 года назад, мощностей с запасом.
Задач почти не бывает, периодически буду звонить уточнять вдруг что появится.
Направил на почту информацию о нас.
it@bjef.ru"</t>
  </si>
  <si>
    <t>ООО "СТАР ПРОДЖЕКТС"</t>
  </si>
  <si>
    <t>стр. 1796</t>
  </si>
  <si>
    <t>Соединяют с IT специалистом, не было на месте еще звони</t>
  </si>
  <si>
    <t>Фактическое выполнение 50% 
1 компания:
КНТ-94474</t>
  </si>
  <si>
    <t>Провести 2 результативные встречи (или ВКС для клиентов из других регионов) с клиентами.
* Встречи на мероприятии в учет не идут</t>
  </si>
  <si>
    <t>ИП Горбунов Алексей Валерьевич</t>
  </si>
  <si>
    <t>ИП Лотарева Ольга Николаевна</t>
  </si>
  <si>
    <t>ИП Печникова Елена Владимировна</t>
  </si>
  <si>
    <t>Ред Брикс Девелопмент (SunStrike Studios)</t>
  </si>
  <si>
    <t>СЕЛТЕКС ШВЕЙНАЯ ФАБРИКА</t>
  </si>
  <si>
    <t>Ковылкинский электромеханический завод</t>
  </si>
  <si>
    <t>СДК-06856</t>
  </si>
  <si>
    <t>СДК-06849</t>
  </si>
  <si>
    <t>СДК-06676</t>
  </si>
  <si>
    <t>Школа №18 Иваново</t>
  </si>
  <si>
    <t>Снабцентр</t>
  </si>
  <si>
    <t>СКС</t>
  </si>
  <si>
    <t>Интерактивная панель 92",ПК,МФУ</t>
  </si>
  <si>
    <t>СКС и СВН на производстве</t>
  </si>
  <si>
    <t>СДК-06960</t>
  </si>
  <si>
    <t>СДК-06964</t>
  </si>
  <si>
    <t>Костромской Лён</t>
  </si>
  <si>
    <t>ИП Казанцев</t>
  </si>
  <si>
    <t>Касперский 25 шт. продление</t>
  </si>
  <si>
    <t>Запрос на ПК</t>
  </si>
  <si>
    <t>Ноябрь 25 г.</t>
  </si>
  <si>
    <t>СДК-06963</t>
  </si>
  <si>
    <t>СДК-06962</t>
  </si>
  <si>
    <t>Мир Лекарств</t>
  </si>
  <si>
    <t>Запрос на 2 макбука по тз</t>
  </si>
  <si>
    <t>Запрос на 6 Компьютеров</t>
  </si>
  <si>
    <t>СДК-06968</t>
  </si>
  <si>
    <t>СДК-06819</t>
  </si>
  <si>
    <t>СДК-06967</t>
  </si>
  <si>
    <t>Альфа-строй Иваново ООО</t>
  </si>
  <si>
    <t>СДК-06970</t>
  </si>
  <si>
    <t>СДК-06959</t>
  </si>
  <si>
    <t>СДК-06852</t>
  </si>
  <si>
    <t>Карбон ООО</t>
  </si>
  <si>
    <t>СДК-06853</t>
  </si>
  <si>
    <t>СДК-06906</t>
  </si>
  <si>
    <t>СДК-06894</t>
  </si>
  <si>
    <t>СДК-06899</t>
  </si>
  <si>
    <t>СЕРВИСЭНЕРГО</t>
  </si>
  <si>
    <t>СДК-06900</t>
  </si>
  <si>
    <t>СДК-06922</t>
  </si>
  <si>
    <t>СДК-06923</t>
  </si>
  <si>
    <t>СДК-06924</t>
  </si>
  <si>
    <t>СДК-06925</t>
  </si>
  <si>
    <t>СДК-06954</t>
  </si>
  <si>
    <t>Энергобезопасность УТЦ</t>
  </si>
  <si>
    <t>СДК-06955</t>
  </si>
  <si>
    <t>СДК-06677</t>
  </si>
  <si>
    <t>СДК-06840</t>
  </si>
  <si>
    <t>СДК-06841</t>
  </si>
  <si>
    <t>КВАРТАЛ-ИНВЕСТ</t>
  </si>
  <si>
    <t>СДК-06842</t>
  </si>
  <si>
    <t>СДК-06843</t>
  </si>
  <si>
    <t>СДК-06844</t>
  </si>
  <si>
    <t>ДНД ТРЕЙД</t>
  </si>
  <si>
    <t>СДК-06846</t>
  </si>
  <si>
    <t>СДК-06848</t>
  </si>
  <si>
    <t>СДК-06905</t>
  </si>
  <si>
    <t>СДК-06907</t>
  </si>
  <si>
    <t>СДК-06908</t>
  </si>
  <si>
    <t>СДК-06909</t>
  </si>
  <si>
    <t>СДК-06917</t>
  </si>
  <si>
    <t>СДК-06918</t>
  </si>
  <si>
    <t>СДК-06919</t>
  </si>
  <si>
    <t>СДК-06920</t>
  </si>
  <si>
    <t>СДК-06921</t>
  </si>
  <si>
    <t>СДК-06850</t>
  </si>
  <si>
    <t>Компьютер для дизайнера</t>
  </si>
  <si>
    <t>АСМограф 2 шт</t>
  </si>
  <si>
    <t>Запрос на ноутбук</t>
  </si>
  <si>
    <t>Внедрение DLP системы</t>
  </si>
  <si>
    <t>Сервер под 1С</t>
  </si>
  <si>
    <t>Континент (ПО)</t>
  </si>
  <si>
    <t>Моноблоки и МФУ</t>
  </si>
  <si>
    <t>Eltex</t>
  </si>
  <si>
    <t>Киберпротект (кибербэкап)</t>
  </si>
  <si>
    <t>ИБ</t>
  </si>
  <si>
    <t>Кибербэкап</t>
  </si>
  <si>
    <t>Zabbix + мониторинг</t>
  </si>
  <si>
    <t>ВКС</t>
  </si>
  <si>
    <t>Киберпротект</t>
  </si>
  <si>
    <t>СЦ</t>
  </si>
  <si>
    <t>Аутсорс IT/Вылеты интернета и 1С</t>
  </si>
  <si>
    <t>WMS система</t>
  </si>
  <si>
    <t>АТС аутсорс</t>
  </si>
  <si>
    <t>ИБ (КОД безопасности и тд)</t>
  </si>
  <si>
    <t>Офис, корпоративные системы</t>
  </si>
  <si>
    <t>Аудит</t>
  </si>
  <si>
    <t>Аутсорс по настройке AI</t>
  </si>
  <si>
    <t>Декабрь 25 г.</t>
  </si>
  <si>
    <t>Познакомился с Иваном Ивановичем.
Его прямомо номера нет, через секретаря.
Мероприятие актуально, тема интересная для него.
По запросам пока что глухо, ничего не планируют.
Отправил приглашение на почту.
Asu@ivbeton.ru</t>
  </si>
  <si>
    <t>ООО "ГРАНД-ЧЕТРА"</t>
  </si>
  <si>
    <t>до 30 ПК не интересны.
Компания - дочка ООО Черта с 180+ сотрудников</t>
  </si>
  <si>
    <t>ООО "ОПТИМА"</t>
  </si>
  <si>
    <t>стр. 1289</t>
  </si>
  <si>
    <t>ITшники на аутсорсе
закупают они
сотрудники в фирме на удаленке, в офисе пару компьютеров, даже расходку не закупают
Не интересны</t>
  </si>
  <si>
    <t>Мониторы</t>
  </si>
  <si>
    <t>СДК-07036</t>
  </si>
  <si>
    <t>Запрос на точки доступа</t>
  </si>
  <si>
    <t>СУП ДС  Андрей Мартынов</t>
  </si>
  <si>
    <t>КНТ-94474</t>
  </si>
  <si>
    <t>Генерация СДК.</t>
  </si>
  <si>
    <t>Выехали на территорию к клиенту.
Несколько складов и помещений, некоторые сдают в аренду.
Есть производство в Фурманове (напротив Лиматонупаковки), также в нескольких городах офисы продаж.
Всё централиованно из Иваново, Денису помогает Илья (по сетевому и серверному оборудованию).
Выезжали с Дмитрием Г. и Георгием.
Дмитрий замерял основной склад под СВН и немного СКС.
Планируют разбивать задачу на 2 этапа, сначала одну часть склада сделаем, если успешно - займемся остальным.
Точки доступа рассматриваю Cisco, модели прислал, запросил у поставщиков.
Просят чтобы оптика и витая пара были максимально защищены от физических и природных опасностей, чтобы не было перебоев в работе. Также чтобы всё выглядело опрятно, владелец перфекционист (до момента когда финансово не выгодно будет что либо).
Есть еще задача по домофону на здание предоставляемое в аренду. Просят домофон либо с кнопками напрямую к компаниям, либо с набором без решетки  (тк нерусские будут швейкой заниматься, чтобы могли зайти без трудностей). 
По железу не успели пообщаться, нужна будет еще одна встреча + познакомиться с Ильей (вторым itшником).
У клиента есть еще много проектов которые планируют реализовать, если закроем эти задачи - можно будет дальше работать.</t>
  </si>
  <si>
    <t>Фактическое выполнение 137,5%
11 компаний:
1)ДНД трейд
2)ППТ (Карбон)
3)Снабцентр
4)Спальные системы ((Сонум ГК)
5)Сервис Энерго
6)Квартал-Инвест
7)Железобетон
8)Полимер Экспорт
9)АО 308 АРЗ
10)Константа Юридическое Бюро (Софт Навигатор)
11)Бизнес Ленд</t>
  </si>
  <si>
    <t>Фактическое выполнение 110%
11 сделок:
1)СДК-06848
2)СДК-06841
3)СДК-06843
4)СДК-06848
5)СДК-06844
6)СДК-06846
7)СДК-06840
8)СДК-06849
9)СДК-06850
10)СДК-06852
11)СДК-06853</t>
  </si>
  <si>
    <t>стр. 1745</t>
  </si>
  <si>
    <t>"соедините с IT специалистом"
Переключают, но не дозвон
еще набрать</t>
  </si>
  <si>
    <t>ООО "НАФТАТРАНС"</t>
  </si>
  <si>
    <t>Попал на директора Сергея Валерьевича
Сказал нужно общаться с Эдуардом Вячеславовичем - it специалистом, звонить по общему номеру. 
Дали контакт, 89203428777 - Номер Эдуарда
Пообщался с Эдуардом Вячеславовичем
В компании порядка 50 компьютеров и печатка.
Бюджет достаточно ограничен, задач по IT почти не бывает.
Не против созвониться осенью / в конце года, возможно поменяется ситуация.
По инженерным проектам - пытаются справляться с задачами только своими силами насколько возможно.
Пытался выйти на сравнение цен по печатной технике - просто не хочет.
Мероприятие не интересно, отказ</t>
  </si>
  <si>
    <t>Фактическое выполнение 57%
Активности 4:
Сч-185057 Ковылкинский электромеханический завод (Оплаченый счет от 50 т.р.)
Сч-185482 Альфа-строй Иваново ООО (Оплаченый счет от 50 т.р.)
Сч-185442 ИП Печникова Елена Владимировна(Оплаченый счет от 50 т.р.)
СДК-06849 Снабцентр (&gt;350 т.р.)</t>
  </si>
  <si>
    <t>Фактическое выполнение 26%
Итоговое количество - 8 компаний</t>
  </si>
  <si>
    <t>КНТ-93774</t>
  </si>
  <si>
    <t>Анализ деятельности сентябрь 2025.</t>
  </si>
  <si>
    <t>ООО "МЗСА"</t>
  </si>
  <si>
    <t>стр. 1848</t>
  </si>
  <si>
    <t>+74991682664
Ярослав Владимирович
IT Отдел
Не было на месте</t>
  </si>
  <si>
    <t>ООО "ХЕЕЛЬ РУС"</t>
  </si>
  <si>
    <t>стр. 1699</t>
  </si>
  <si>
    <t>Секретарь Валерия
Добавочный ITшников 514
Все на совещании.набрать в другой день</t>
  </si>
  <si>
    <t>ООО "ЭКОЛЕСПРОМ"</t>
  </si>
  <si>
    <t>стр. 1679</t>
  </si>
  <si>
    <t>Анализ деятельности октябрь 2025.</t>
  </si>
  <si>
    <t>Выполнить 30 результативных звонков по ДСП
Оплата: 3 000 / 100%
max 200%"</t>
  </si>
  <si>
    <t>В учет идут активности по СП и новым клиентам: 
1. Оплаченные счета от 50 т.р.,
2. Договора (отсрочка/рассрочка) от 100 т.р.,
3. СДК, занесенные в 1С от 350 т.р.,
* В рамках одного клиента идет в отчет один из перечисленных пунктов.
Оплата: 7 000 / 10 штук
max 20</t>
  </si>
  <si>
    <t>Провести 4 результативные встречи (или ВКС для клиентов из других регионов) с клиентами.
Оплата: 1 250 / шт.
max 6</t>
  </si>
  <si>
    <t>1 250 / шт.
max 6</t>
  </si>
  <si>
    <t>АВАНГАРД (Вологда)</t>
  </si>
  <si>
    <t>Познакомился с Алексеем.
Сейчас по компьютерам +- 30 шт.
Закупок не планируется, всё по необходимости. На следующий год бюджет не планировали.
Рассказал немного о компании.
Плохо слышно его было, не сильно удалось пообщаться. Работает на одну компанию.
Не интересна компания</t>
  </si>
  <si>
    <t>АВТОТЕХСТРОЙ</t>
  </si>
  <si>
    <t>БОРЕЙ</t>
  </si>
  <si>
    <t>АГРОМЯСОПРОМ</t>
  </si>
  <si>
    <t>ЛЮМИН</t>
  </si>
  <si>
    <t>КОЛХОЗ АВРОРА</t>
  </si>
  <si>
    <t>КНТ-95570</t>
  </si>
  <si>
    <t>Познакомился с Юлией.
Занимается закупками по IT направлению, ITшника нет.
Готовит и подбирает документы сама.
Закупки редкие, по мелочи мебель, изредка мониторы и компьютеры.
В компании 40 ПК и печатки, печатают много сказала.
Касательно запроса на мониторы - собирают предложения, есть помимо нас те, кто подался с реестровым оборудованием. Ценник высокий, врядли будут их рассматривать. Скорее всего будут по прямой закупке приобретать т.к. конец года.
Связаться уточнить решение по мониторам, подойдут ли наши цены.
Уточнить по количеству приобретаемой расходки.
Компания не сильно интересна</t>
  </si>
  <si>
    <t>Центр Бухгалтерского Обслуживания и Материально-Технического Обеспечения, ТОГКУ</t>
  </si>
  <si>
    <t>ВКМ (Главснаб)</t>
  </si>
  <si>
    <t>"Мартынов А.А.: Познакомился с Александром ,добавочный 900
Общение с нуля, с Вячеславом не общались сказал.
Компьютеров ""гораздо больше чем 100"".
IT отдел из нескольких человек, аутсорсов нет.
Закупаются по необходимости.
Планируемых задач на этот и следующий год нет, всё в моменте.
Договорились связаться на следующий неделе, изучит информацию о нас.
Рассказал ему про инженерные проекты и про мультимеди.
Не спросил по печатке, обязательно при созвоне уточни, по ИБ еще пообщайся (направил презентации с конференций), уточнить по системам виртуализаций и опыту работы с отечественным ПО"</t>
  </si>
  <si>
    <t>РЕСУРС-В</t>
  </si>
  <si>
    <t>НОРД СТИЛ</t>
  </si>
  <si>
    <t>Мартынов А.А.: Познакомился с Даниилом.
Адекватный
По оборудованию и проектам глухо на ближайший год.
Много печатки, работает с местными ребятами, но не против сравнить по ценам, пришлет последний запрос.
Несколько серваков, мощностей хватает.
Сетевое оборудование используют mikrotic, всё исправно работает.
по ПО - бесплатное используют.
По инженерке он сам занимается, но можно закупать у нас камеры Trassir используют.
По мультимедиа глухо.
Пришле позиции по картриджам.
Можно звонить</t>
  </si>
  <si>
    <t>КНТ-95641</t>
  </si>
  <si>
    <t>НПФ СТАРТ</t>
  </si>
  <si>
    <t>Познакомились с Кириллом IT специалистом. Евгения нет.
По компьютерам - 100 штук, по печатке в районе 60 шт.
По СВН СКС  и СКУД тоже к нему.
Пока задач не планируется, бюджет не формируется, обычно всё нужно в моменте. По картриджам тоже часто что ездит сам забрать 2-3 шт.
Есть отдельный эксперт по пожарке, передаст мои контакты ему, могут скидывать запросы тоже по комплектующим.
Сказал что еще по мультимедиа можем поработать. Будет иметь ввиду, открыт к общению.
По печатке готов сравнить цены.списались в ТГ, всё пришлет. (важна цена + доставка)</t>
  </si>
  <si>
    <t>КНТ-95645</t>
  </si>
  <si>
    <t>УПРАВДОМ ЛЕНИНСКОГО РАЙОНА</t>
  </si>
  <si>
    <t>"Мартынов А.А.: Познакомился с Евгением.
Срок поставок не горяд, закупаются розницу.
У них порядка 20 компаний в холдинге.Хочет работать без составления договоров каждый раз, а чтобы просто выставляли счет. 
Закупали недавно МФУ, Монитор и рабочие места. В моменте сказал ему цены, были ниже чем по которым они купили.
По инженерке им протягивает всё компания местная, они просто подключают. А так другой отдел за это отвечает.
По серверному оборудованию закупаются в IT тело, договорился что и нам будет присылать запросы.
По Мультимедия редко бывают, 3 комнаты для ВКС уже оборудованы и не планируются.
Печатки много,готов посчитать и поработать с нами, пришлет позиции."</t>
  </si>
  <si>
    <t>КНТ-95653</t>
  </si>
  <si>
    <t>Вписать контакт</t>
  </si>
  <si>
    <t>"Мартынов А.А.: Познакомился с Вадимом.
Адекватный, открыт к разговору
Закупки редкие, берут когда что-то ломаются. Бюджет не планируется на следующий год.
ПК Сервер используется под файловую помойку (серверного оборудования нет).
ПО инженерке глухо, по мультимедиа тоже.
По печатки работают с компанией под боком,но рассмотреть могут.
Пришлет позиции по печатке для просчёта."</t>
  </si>
  <si>
    <t>КНТ-95695</t>
  </si>
  <si>
    <t>НОРСКИЕ РЕЗИДЕНЦИИ</t>
  </si>
  <si>
    <t>КНТ-95704</t>
  </si>
  <si>
    <t>"Мартынов А.А.: Познакомился с Петром.
Адекватный, на контакт идёт.
По компьтерам не уточнил у него по изменениям.
Закупаются в розницу.
Бюджет не планируемый, в моменте закупаются.
Сейчас задач нет.
По Инженерке обращаться тоже к нему, он занимается.
По мультимедиа задач нет.
Пообщался по расходникам и позициям, обьяснил ему почему удобно поработать с нами с учетом что нет своего сайта с поиском.
Направил письмо. периодически созвон"</t>
  </si>
  <si>
    <t>Метелица Плюс ТД</t>
  </si>
  <si>
    <t>Спанлайн</t>
  </si>
  <si>
    <t>МЕЛАНЖ</t>
  </si>
  <si>
    <t>Централизованная бухгалтерия №1 управления образования Администрации города Иваново</t>
  </si>
  <si>
    <t>Школа №50 Иваново</t>
  </si>
  <si>
    <t>Клиника ЛУЧ (кислород)</t>
  </si>
  <si>
    <t>ОСТАНКИНО-ЯРОСЛАВЛЬ</t>
  </si>
  <si>
    <t>Погодин Руслан Владимирович ИП</t>
  </si>
  <si>
    <t>МБУ ЦБ городского округа Кохма МБУ</t>
  </si>
  <si>
    <t>Спортивный комплекс</t>
  </si>
  <si>
    <t>ССД</t>
  </si>
  <si>
    <t>Камеры, видеорегистратор</t>
  </si>
  <si>
    <t>Коммутаторы,камеры</t>
  </si>
  <si>
    <t>Периферия, камера</t>
  </si>
  <si>
    <t>Монитор, маршрутизатор</t>
  </si>
  <si>
    <t>Аккумуляторы</t>
  </si>
  <si>
    <t>7 000 /  10 штук
max 20</t>
  </si>
  <si>
    <t>Провести 4 результативные встречи (или ВКС для клиентов из других регионов) с клиентами.
Оплата: 1 250 / шт.
max 6</t>
  </si>
  <si>
    <t>2 000 / 100%
max 200%</t>
  </si>
  <si>
    <t>6 000 /  10 штук
max 20</t>
  </si>
  <si>
    <t>В учет идут активности по СП и новым клиентам: 
1. Оплаченные счета от 50 т.р.,
2. Договора (отсрочка/рассрочка) от 100 т.р.,
3. СДК, занесенные в 1С от 350 т.р.,
* В рамках одного клиента идет в отчет один из перечисленных пунктов.
Оплата:
6 000 /  10 штук
max 20</t>
  </si>
  <si>
    <t>Принять участие в 5 конкурсах от 200 т.р.
Оплата: 2 000 / 100%</t>
  </si>
  <si>
    <t>КНТ-95724</t>
  </si>
  <si>
    <t>Мартынов А.А.: Познакомился с Денисом. Предыдущие проекты канули в лету, не актуальны.
Закупаются в розницу и редко.
Порядка 20-30 разношерстных печатных машин, пришлет модели. Тоже в розницу.
По железу - есть прогнозируемые моменты, но у него подменный фонд на своём мини складе есть.
Инженерных проектов не планируется, на следующий год планы не формируют
Отправил свои контакты, периодичесески можно связываться.</t>
  </si>
  <si>
    <t>КНТ-95588</t>
  </si>
  <si>
    <t>Познакомился с Ярославом.
Планов по IT нет ни на этот, ни на следующий.
В розницу берут.
ПО бэкапам - им хватает бесплатных вариатов под их оборудование , не планируют пока ничего.
направить на почту информацию, плюс картриджи посчитать. 30 МФУ, обычно заправляют. Можно сравнить по ценам, не против.
По моделям: hp CF283A, hp 1360x, hyocepa tk1200
Отправить наше предложение.</t>
  </si>
  <si>
    <t>КНТ-95725</t>
  </si>
  <si>
    <t>ПЛЕМЗАВОД ЯРОСЛАВКА</t>
  </si>
  <si>
    <t>Мартынов А.А.: Познакомился с Михаилом, общительный открытый человек.
В компании по жедлезу и печатки без изменений, печатают очень много.
Закупки не бюджетируемые, в моменте.
Сейчас финансов нет, но планируется закупка сервера.
По СХД - на следующий годп переходит.
Других планов пока что нет.
ПО Инженерке тоже к нему, но задач пока что нет.
По формату работы доставка и постоплата очень удобны.
Списались в телеграмме, общение там.
Пришлет модели картриджей, посчитать.
По серверу - после 15 ноября набрать, вдруг выделят средства под конец года и купят.</t>
  </si>
  <si>
    <t>"Мартынов А.А.: Андрей более не работает, сейчас Денис Вячеславович.
По мелким комплектующим работать ему не интересно, мало ли какая проблема, можно локально решить, а мы далеко.
По серверному оборудованию обновились не так давно, раньше чем раз в 10 лет нет смысла.
Направил ему на почту информацию о нас.
При следующем созвоне, обсудить печатки, СВН и ПО."
"Мартынов А.А.: it2@amp35.ru
периодчески созваниваться"</t>
  </si>
  <si>
    <t>КНТ-95727</t>
  </si>
  <si>
    <t>Мартынов А.А.: Познакомился с Владимиром Юрьевичем
В поставщике для него важны цены.
Закупки централизованные, потом распределяют по точкам продаж.
Запрос прислать готов посмотреть как работаем.
По логистике сказал что до них проблем с доставками не будет.
Направить на почту письмо с контактами, набрать через неделю узнать дошло ли письмо и уточнить есть ли какие вопросы.</t>
  </si>
  <si>
    <t>КНТ-95728</t>
  </si>
  <si>
    <t>КНТ-95729</t>
  </si>
  <si>
    <t>КНТ-95433</t>
  </si>
  <si>
    <t>Встреча с Артёмом.
Компания пока что в процессе разделения, еще не закончилось.
На этот год по деньгам скупо, пока вкладываться не планируют тк не понятно как разделят имущество потом.
Поставили задачу сформировать бюджет на 26 год до середины ноября, помочь в решении.
Планируется:
1)Внедрение WMS системы на складах (не наша задача);
2)СВН и Wifi на новый и старый склад, можно будет посчитать по схемам что прислали;
3)Zabbix - пока думают, предложили разместить 2 виртуальные машины по 70к, можно еще раз обсудить будет
4)DLP системы и задачи по ИБ - обсуждали тест надежности по типу предложения компании Позитив (закинули идею взять в тест ПО). Также можно связать с Иваном Траковым, пообщаться этому направлению.
5)Небольшая задача по оборудованию конференц комнаты, обновить систему по микрофонам и камеру</t>
  </si>
  <si>
    <t>Встреча с клиентом. Выявление потребностей.</t>
  </si>
  <si>
    <t>СДК-06211</t>
  </si>
  <si>
    <t>КНТ-95486</t>
  </si>
  <si>
    <t>Презентация компании. Выявление потребностей.</t>
  </si>
  <si>
    <t>Склад - планируется закупка TSD и Wifi. Сейчас стоят ubiquiti  5 и 6 (версия). Готовы рассматривать Microtic, работали с ними. Были вопросы можем ли мы сделать документацию бесшовным wifi (монтажники свои), в любом случае можем сделать аудит  сделать проект , поставить оборудование -они сами смонтируют.
Оборудование серверное закупалось давно, пришле список оборудования чтобы обновить цены и предложить аналоги. Актуален демо фонд для тестов, с отечественным жеелзом раньше не сталкивался. Важно чтобы комплектующие от оборудования можно было найти для ремонта.
По хранию данных - стоит Qnap,  объемы данных не большие (8 тб).
Отстраивают офис на крутицкой, пока не понятно будут туда переезжать со старым или закупят новое оборудование. План на переезд на 26 - начало 27 года. Новый офис на крутицкой. В общем пока думают по миграции инфраструктуры.
Закупки обычно одним днем, пробовали прогнозировать, но в компании не получается заранее к чему то готовиться.
Предложили рассмотреть вариант, когда у нас на складе будет лежать полный комплект на 1-2 сотрудников, чтобы сразу им поставлять по необходимости.
В ноябре дедлайн по бюджету на 25 год, помочь в этом.
Пришлет позиции которые сейчас есть по серверному оборудованию/ рабочим местам/печатной технике и расходникам.
ТТермотрансферные принтеры используют TSC 200, 300. Смотчики BS 120 (прислать цены на всё!)
В офисе canon 237 в основном. Картриджи в розницу берут. Печатают немного, но у них много точек продаж.
Еще есть Pantum 2500 (в салонах несоклько штук, но по опыту не нравятся)
Сейчас новые салоны раз в 2 месяца открывают, запросить что для салона обычно покупают.Это уже прогнозируемо.</t>
  </si>
  <si>
    <t>СДК-07286</t>
  </si>
  <si>
    <t>Спальные системы</t>
  </si>
  <si>
    <t>КНТ-95426</t>
  </si>
  <si>
    <t>МАК-ИНВЕСТ</t>
  </si>
  <si>
    <t>Познакомился с Евгением.
Удобно общаться в Телеграмме
Закупки в осноновном мелкие.
Не бюджетируемые, по необходимости.
Серверное оборудование недавно меняли, сетевое тоже.
По оборудованию - сейчас много ноутов, будут от них уходить, плохо себя зарекомендовали, будут на мини ПК переходить от HP. 
ПО используют бесплатное, необходимостей нет
По инженерным направлениям уже работают, им поставляют камеры, но не против если мы свои цены дадим.
Уточнить будут ли закупки по мини ПК.
Запрос
16ти портовый коммутатор Dahua
жесткий диск на 4 ТБ
Камеры 4 мп комнатные уличные ТИАНДИ
Свичи 4 и 8 портов</t>
  </si>
  <si>
    <t>КНТ-95420</t>
  </si>
  <si>
    <t>КОМПАНИЯ МЕТАЛЛ ПРОФИЛЬ</t>
  </si>
  <si>
    <t>Познакомился с Ильей.
Работали замечательно, проблем не было, сейчас потребностей нет - всё закупили.
Илья по мультимедиа направлению.
По компьютерам не имеет отношения к закупкам, попробовать напрямую позвонить в компанию.
Через него контакты получить не получилось, если через звонок не выйду, еще раз через илью попробовать.
Напрямую не соединяют, нужны фамилии 
Жесткий крупняк по инн</t>
  </si>
  <si>
    <t>КНТ-95733</t>
  </si>
  <si>
    <t>Фактическое выполнение 50%
Итоговое количество - 15 компаний</t>
  </si>
  <si>
    <t>Фактическое выполнение 50% 
2 компании:
КНТ-95486 Полимер Экспорт 23.10.2025 г.
КНТ-95433 Спальные системы 24.10.2025 г.</t>
  </si>
  <si>
    <t xml:space="preserve">Фактическое выполнение 50%
Активности 5:
СДК-07267 Централизованная бухгалтерия №1 управления образования Администрации города Иваново (Оплаченый счет от 50 т.р.)
СДК-07194  Спанлайн  (Оплаченый счет от 50 т.р.)
СДК-07196 Школа №50 Иваново  (Договор от 100 т.р.)
СДК-07275 Позитив (Орехово-Зуево)  (&gt;350 т.р.)
СДК-07286 Спальные системы  (&gt;350 т.р.)
</t>
  </si>
  <si>
    <t>СДК-07275</t>
  </si>
  <si>
    <t>СДК-07291</t>
  </si>
  <si>
    <t>СДК-07290</t>
  </si>
  <si>
    <t>Позитив (Орехово-Зуево)</t>
  </si>
  <si>
    <t>Калужский двигатель</t>
  </si>
  <si>
    <t>Закупка камер для видеоконференц связи</t>
  </si>
  <si>
    <t>Серверное оборудование</t>
  </si>
  <si>
    <t>АСМОграф</t>
  </si>
  <si>
    <t>Картридж для плоттера</t>
  </si>
  <si>
    <t>СДК-07196</t>
  </si>
  <si>
    <t>СДК-07194</t>
  </si>
  <si>
    <t>СДК-07197</t>
  </si>
  <si>
    <t>Закупка МФУ 5 шт.</t>
  </si>
  <si>
    <t>Запрос на оборудование для СВН</t>
  </si>
  <si>
    <t>Закупка МФУ 2 ШТ</t>
  </si>
  <si>
    <t>СДК-06266</t>
  </si>
  <si>
    <t>СЦ
Коробки</t>
  </si>
  <si>
    <t>Настройка Микротиков</t>
  </si>
  <si>
    <t>СЗСМ</t>
  </si>
  <si>
    <t>Мартынов А.А.: Познакомился с Александром
По оборудованию всё так же, 40 печатных машин А4 в основном и 40 ПК
Закупки в моменте, без планируемого бюджета.
Проектов пока что нет.
ПО инженерке тоже он занимается, но всё сейчас есть.
Имеется производство, wifi больше на рабочих местах сотрудников.
Не против посчитать печатку, пришлет позиции.
Направил свои контакты</t>
  </si>
  <si>
    <t>Выполнить 40 результативных звонков по ДСП
5 000 / 100%
max 200%</t>
  </si>
  <si>
    <t>Провести 5 результативные встречи (или ВКС для клиентов из других регионов) с клиентами.
1 000 / шт.
max 8</t>
  </si>
  <si>
    <t>Податься в 10 конкурсов с НМЦК от 300 т.р.
*В учет идут профильные конкурса, по которым нашу заявку не отклонили
500 / шт.
max 10</t>
  </si>
  <si>
    <t>500 / шт.
max 10</t>
  </si>
  <si>
    <t>5 000 / 100%
max 200%</t>
  </si>
  <si>
    <t>1 000 / шт.
max 8</t>
  </si>
  <si>
    <t>СПОРТ-АВТО</t>
  </si>
  <si>
    <t>"Мартынов А.А.: Познакомился с Андреем.
Актуальный номер 89217223910, списались в Telegramе.
200+ рабочих мест + печатка.
Закупаются в ситилинке, они им привозят.
Сейчас в основном мелкие закупки.
Нас вообще не знает.
Направил презентации.
Пришлет позиции для расчёта печатки.
При следующей созвоне обязетльно обсудить инженерку"</t>
  </si>
  <si>
    <t>ВТОРЦВЕТМЕТ</t>
  </si>
  <si>
    <t>Мартынов А.А.: Познакомился с Даниилом.
Дал свой номер , списались в телеграмме
Печатной техники штук 20, арм побольше.
Сервера под 1С, мощностей хватает.
По 1С сотрудничают с кем то уже.
По инженерке задач тоже не предвидится.
Закупаются в ДНС и ситилинк. Плюс минус прогнозируемые закупки.
Если по ценам будет не 2-3 рубля разница, то могут нас рассмотреть.
Пришлет запрос в телеграмм.</t>
  </si>
  <si>
    <t>РИНГ (охранная организация (Рыбинск))</t>
  </si>
  <si>
    <t>Мартынов А.А.: Познакомился с Евгением.
Схемы работы налажены по поставкам.
Печатку - обсулижвающая компания есть, которая и заправляет/поставляет картриджи, и продаёт их им.
По мелким закупкам розница.
По серверному оборудованию з запасом мощностей на данный момент.
По сетевому оборудованию зайти сложно, закупают напрямую можно сказать тк сами его и продают в рамках СВН, СКУД ,ПОЖАРКИ.
Может присылать запросы.
Направил на почту письмо, получить ОС дошло ли.
Запросы не против направлять.</t>
  </si>
  <si>
    <t>КНТ-96086</t>
  </si>
  <si>
    <t>Школа №62 Иваново</t>
  </si>
  <si>
    <t>Познакомился с зам директора по АХЧ Романом Александровичем
Сейчас по КТРУ всё закупают, достаточно строго. Раньше дел не имел с этим, сложно, предложил закрывать эти задачи нам.
В каждом кабинете по компьютеру и принтеру.
50 ПК и +- 45 принтеров.
Закупают по прямому договору до 50к.
Сейчас идёт закупака Интерактивной панели по 44 фз. Уже всё везде зарегистрировано, поэтому лучше принимать участие в других закупках.
Планируют закупать МФУ , проекторы и компьютеры.
Периодически созваниваться.</t>
  </si>
  <si>
    <t>КНТ-96106</t>
  </si>
  <si>
    <t>Познакомился с Денисом Александровичем IT специалистом.
2 человек в IT Отделе.
250 ПК, +- столько же печатки А3 и А4
Закупки чаще централизованные с головного офиса в Москве.
По мелким расходникам закупаются в розницу.
Есть компания которая заправляет, ремонтирует, обсулижвает печатку. Врядли удастся в этом  направлении поработать.
Закупаются по 44 ФЗ если по прямому что-то берут.
По Асмографу - закупают для сдачи экзаменов, так бы не платили бешеные деньги за это и пользовались онлайн сервисами.
В принципе не любит ПО из за неадекватных цен (любое, и отечественное, и иностранное).
Он по сути рекомендуют позиции которые нужны, закупкой занимается бухглатерия, с ними пообщаться.
Посмотреть как с идентичным филиалом работает Никита Капустин, созвониться с ним и обсудить.
Прислали реквизиты, подготовить договор, связаться с бухгалтерией и обсудить закупки, сказав что работаем с таким филиалом уже</t>
  </si>
  <si>
    <t>Самарский финансово-экономический колледж</t>
  </si>
  <si>
    <t>КНТ-96226</t>
  </si>
  <si>
    <t>Познакомился с Ольгой, специалистом отдела зкупок.
В компании порядка 1000 компьютеров и печатки.
Есть IT отдел.
ITшники дают позиции, закупщики закупают.
Закупки через СБЕРb2b через 3 коммерческих. Собирают предложения, потом закупают.
По 275 ФЗ закупки.
ПО покупают на АСТ ГОЗ.
Согласование обычно неделю занимает.
Конкурс на жесткие диски. Наши цены ниже конкурентов, конкуренты по НМЦК подались.
Будут менять количество жестких дисков.
По срокам могут подвинуться, вопрос НДС.
Хотели бы в этом году конечно закрыть. Может частично можем привезти, оплатить смогут.
Подумать во общем.
По 275 ФЗ наценку больше 20% нельзя делать!!!</t>
  </si>
  <si>
    <t>CНCЗ</t>
  </si>
  <si>
    <t>СПК Заря Вологода</t>
  </si>
  <si>
    <t>Корд</t>
  </si>
  <si>
    <t xml:space="preserve">Фактическое выполнение 0% 
0 компаний:
</t>
  </si>
  <si>
    <t>Анализ деятельности ноябрь 2025.</t>
  </si>
  <si>
    <t>Торопов Богдан Викторович ИП</t>
  </si>
  <si>
    <t>Аурат</t>
  </si>
  <si>
    <t>Центр развития ребенка - детский сад №169</t>
  </si>
  <si>
    <t>ГКС</t>
  </si>
  <si>
    <t>Трикотаж с любовью</t>
  </si>
  <si>
    <t>Интерактивная панель</t>
  </si>
  <si>
    <t>Картриджи</t>
  </si>
  <si>
    <t>Оргтехника</t>
  </si>
  <si>
    <t>Комиссия СберBTB</t>
  </si>
  <si>
    <t>Ноутбуки</t>
  </si>
  <si>
    <t>Точка доступа</t>
  </si>
  <si>
    <t>Наушники</t>
  </si>
  <si>
    <t>СДК-07533</t>
  </si>
  <si>
    <t>Закупка ПК</t>
  </si>
  <si>
    <t>06 Конкурентная борьба</t>
  </si>
  <si>
    <t>СДК-07425</t>
  </si>
  <si>
    <t>СВЯЗЬ ВСД</t>
  </si>
  <si>
    <t>СДК-07534</t>
  </si>
  <si>
    <t>СДК-07535</t>
  </si>
  <si>
    <t>СДК-07407</t>
  </si>
  <si>
    <t>Конкурс на СХД</t>
  </si>
  <si>
    <t>Закупка комплектующих</t>
  </si>
  <si>
    <t>Комплектующие и периферия</t>
  </si>
  <si>
    <t>МФУ, ПК, Проектор</t>
  </si>
  <si>
    <t>КНТ-96632</t>
  </si>
  <si>
    <t>КНТ-96633</t>
  </si>
  <si>
    <t>КНТ-96634</t>
  </si>
  <si>
    <t>Познакомился с Андреем Юрьевичем
30 ПК, 20 МФУ, 5 серверов
Закупаются ежемесячно, в основном комплектующие.
По берут DR web. ОС Windows ( не лицензия)
Поставщики говорит есть, всё устраивает. По старой инфе вижу что берут в рознице скорее всего.
По условиям уточнил, их интересует цена доставка осрочка.
Инженеркой тоже их отдел занимается. По видеонаблюдению бывают закупки.
На почту направил свои контакты.
Не интересны</t>
  </si>
  <si>
    <t>Познакомился с Сергеем Александровичем
В компании 80 ПК 50 Печатки
Закупаются в рознице, бюджет не планируемый.
Есть пара ПК серверов под 1 С и специализированное ПО для сельского хозяйства.
На этот год бюджет использован.
На следующий год планы будут, но пока не сможет сориентировать.
По печатке готовы сравнить.
По инженерке тоже он занимается , есть видеонаблюдение и wifi.
Пришлёт позиции по печатной технике."</t>
  </si>
  <si>
    <t>КНТ-96638</t>
  </si>
  <si>
    <t>КНТ-96639</t>
  </si>
  <si>
    <t>КНТ-96642</t>
  </si>
  <si>
    <t>Фактическое выполнение 40%
Активности :
7817315385 СНСЗ (275 ФЗ , №75964629 СберB2b)
7411005872 Копейский машзавод (№4251218 B2B Center)
7713339141 СВЯЗЬ ВСД (№4237924 B2B Center)
7726551032 ПЕРВЫЙ ДСК  (№4248527  B2B Center)</t>
  </si>
  <si>
    <t>СДК-07601</t>
  </si>
  <si>
    <t>Покупка 2 ноутов</t>
  </si>
  <si>
    <t>СДК-07599</t>
  </si>
  <si>
    <t>DR Web Продление.</t>
  </si>
  <si>
    <t>Октябрь 26 г.</t>
  </si>
  <si>
    <t>О2О ХОЛДИНГ</t>
  </si>
  <si>
    <t>КНТ-96725</t>
  </si>
  <si>
    <t>Познакомился с Александром из отдела ресурсного и финансового планирования (закупщик)
В работе используют в основном ноутбуки, стационарных компьютеров нет почти.
Конкретно он занимается закупками ПО, комплектующи, оргтехники.
Есть специалист, который занимается закупками серверного оборудования. В основном закупают Cisco.
Закупки происходят в следующем формате:
До 1 млн на Сберb2b собирают цены, потом внутри компании выбирают поставщика и по прямой закупке приобретают.
Иногда выкладывают на Бидзар, подписаться на них.
Закупки от 30 млн проходят строго на АСТ Сбер.
Не против присылать запросы на стадии формирования НМЦК.
Сейчас есть конкурс на Nanocad, резервы в syssoft.</t>
  </si>
  <si>
    <t>ЗАСТРОЙЩИК СТРОЙИНВЕСТ</t>
  </si>
  <si>
    <t>"Мартынов А.А.: Познакомился с Маратом
Бюджет не планируется, техники немного.
Закупаются в моменте если необходимо. в розницу берут.
Пользуются Symphony, есть несколько фискальных терминалов
По модернизации - мощностей хватает.
ПО инженерным направлениям задачи раз в 10 лет.
Компания не интересна"</t>
  </si>
  <si>
    <t>"Мартынов А.А.: Познакомился с Николаем, руководителем IT Отдела
Бюджет не планируют, закупаются в моменте, сейча потребности все закрыты
Серверы обновли недавно совсем.
По Инженерке есть подрядчик, который тесно связан с их руководством, не пролезть.
По печатное технике - тоже есть организация, которая ремонтирует, заправляет и продаёт им картриджи. Сравнить цены не против, направить на почту. (попросил на общую направлять, IT@saferegion.
Периодически созваниваться"</t>
  </si>
  <si>
    <t>МИШЕЛЬ и К (Домодедово)</t>
  </si>
  <si>
    <t>Мартынов А.А.: Познакомился с Леонидом.
Закупки по необходимости в розницу в основном, по картриджам есть компания которая заправляет.
Стационарных пк 40, небольшой парк старой печатки (в основном HP 1536 с картриджами ce278A/Посчитать + написать про доставку.
Если бы выделяли деньги, рассмотрел бы расширение сети - обновил бы коммутаторы.
Мощности серваков хватает.
СВН в основном если ремонт, закупки редкие, а так он занимается.
Направить на почту свои контакты
admin@abcgr.ru</t>
  </si>
  <si>
    <t>АБЦ ГРУПП</t>
  </si>
  <si>
    <t>Выполнить 25 результативных звонков по ДСП
4 000 / 100%
max 200%</t>
  </si>
  <si>
    <t>4 000 / 100%
max 200%</t>
  </si>
  <si>
    <t>Выиграть в 4 конкурсах с НМЦК от 200 т.р.
1 500 / шт.
max 8</t>
  </si>
  <si>
    <t>1 500 / шт.
max 8</t>
  </si>
  <si>
    <t>Провести 2 результативные встречи (или ВКС для клиентов из других регионов) с клиентами из СП или УКБ.</t>
  </si>
  <si>
    <t>Провести 2 результативные встречи с одариваемыми клиентами.
Полимеерсбыт - 2 сделки от 300 т.р.
Клиника Луч - сделка от 300 т.р.
1 000 / шт.</t>
  </si>
  <si>
    <t xml:space="preserve">
1 000 / шт.</t>
  </si>
  <si>
    <t>СПЕЦТОРГ ПЛЮС</t>
  </si>
  <si>
    <t>"Мартынов А.А.: Познакомился с Фёдором Николаевичем новым сис админом.
Используют в основном стационарные ПК, порядка 100 шт.
На этот год особо закупок нет, по следующему - он пока пытается разобраться как сети устроены, тк недавно пришёл, не понимает что нужно будет.
По инженерным направлениям к нему, задачи по видеонаблюдению бывают. То заменит вышедшие из строя, то расширение сети. Покупают Dahua, дешевые.
Работает ещё на учебное заведение, под которое нужно будет ОС, ПО.
27 комплекс. Планирует делать сервер на базе Linux и других."</t>
  </si>
  <si>
    <t>"Мартынов А.А.: Познакомился с Сергеем, общительный, не против выйти на встречу.
100ПК, печатка HP и Kyocepa
Есть 2 компании и которые занимаются заправкой картриджей. Уточнил у них рассматривают ли новых поставщиков - упор в руководство. А так их не устраивают компании, тк одна может чинить и заправлять одно, другая другое.
Уточнил по програмному обеспечению - закупают Crypto Pro периодически, возможно будут закупать Vm Ware, тк бесплатные лицензии уже заканчиваются. Касательно аналогов - он не в курсе по ним, думает что нет других решенией. Эта задача на следующий год.
Сервак на следующий год планируют, в этом не успели купить.
Закупают периодически POE камеры Hiwatch и Hikvision. Камер много, каналы перегружены по видеорегистратороам, возможно будут закупать оборудование для СВН.
Проскочила фраза что закупают ""девочки"", утчонить по отделу закупок Выйти на них.
Закинул удочки что бываю в Ярославле, он не против встречи. Можно доехать до него."</t>
  </si>
  <si>
    <t>КРАТОС - С</t>
  </si>
  <si>
    <t>КНТ-96956</t>
  </si>
  <si>
    <t>ОПЫТНЫЙ ЗАВОД ПАКСИСТЕМ</t>
  </si>
  <si>
    <t>"Мартынов А.А.: Познакомился с Андреем Евгеньевичем
Закупаются в ДНС, закупки редкие, бюджет не планируют.
На следующий год хотелок особо нет.
40 ПК и немного печатки.
Покупают DRWeb на год, последняя закупка в сентябре была.
Картриджей закупают на 6000 руб каждый месяц (можно поработать в принципе).
По инженерке глухо.
За год максиум 1 рабочее место новое появлялось.
Компания не интересна в принципе"</t>
  </si>
  <si>
    <t>ОМК</t>
  </si>
  <si>
    <t>С-ДОК</t>
  </si>
  <si>
    <t>КНТ-97043</t>
  </si>
  <si>
    <t>Познакомился с Николаем из it отдела.
В отделе 5 человек.
Другой ITшника Алексей обычно рассылает запросы по поставщикам когда есть необхожимость.
Сейчас средства не выделяют, но с нами работать готовы!
Крупные закупки централизованно, мониторить Сегежа Групп.
В компании 1000 рабочих мест, порядка 300 ПК и многопечатки.
Используют и стационарные, и ноуты.
По закупают Crypto pro, Компас. ОС тестировали отечественные - Linux astra - говно не интересно.
Их не принуждают переходить пока что.
С железом отечественным не работали почти, немного с Eltex коммутаторами.
Предложил в демо серваки и ПО, подумают.
Будет закупка Crypto Pro 5 версии .сейчас 4ая, обновляться будут
Картриджи закупают в розницу до 50к, если крупная закупка рассылают.
Интересоваться закупкой Crypto Pro (зарегистрировать мб)
Закинуть АСМОграф им в тест (типо компаса)</t>
  </si>
  <si>
    <t>КНТ-97192</t>
  </si>
  <si>
    <t>КНТ-97193</t>
  </si>
  <si>
    <t>КНТ-97194</t>
  </si>
  <si>
    <t>КНТ-97195</t>
  </si>
  <si>
    <t>КНТ-97196</t>
  </si>
  <si>
    <t>ССМ</t>
  </si>
  <si>
    <t>"Мартынов А.А.: Познакомился с новым начальником отдела снабжения Александром.
Закупаются в моменте, поставщиков новых рассматривают. Берут в розницу
На этот год уже задач нет, в следующем году всё.
Общаться удобно в ТГ и Whatup
89125464740 (или 89129464740)
При следующем звонке уточнить есть ли ITшник, каким оборудованием пользуются и количество"</t>
  </si>
  <si>
    <t>КНТ-97197</t>
  </si>
  <si>
    <t>"Мартынов А.А.: Познакомился с Евгением.
Крупные закупки централизованные.
Расходники и комплектующие до 50к по прямому договору.
На этот год уже всё закуплено, ничего не нужно.
По печатке - заправляют (рублей за 600), после 2-3 заправок новый покупают.
Отправить Цены на печатку.
По инженерке - не к нему. безопасник занимается. Есть компания с которой давно работают.
Не против сравнивать цены - напарвить предложение на:
3005
425
400
4525 цветной
5335 А3 МФУ"</t>
  </si>
  <si>
    <t>РГС Ярославль</t>
  </si>
  <si>
    <t>КНТ-97198</t>
  </si>
  <si>
    <t>Связь ВСД</t>
  </si>
  <si>
    <t>"Мартынов А.А.: Познакомился с Дмитрием, руководителем отдела закупок.
Закупаются в Луис+
Закупки не сильно прогнозируемые, под проекты.
Готов направлять и нам запросы.
Есть сервер
Стационарных ПК очень мало, небольшой офис.
Сотрудники пользуются ноутбуками, в основном выездные.
Новые рабочие места не появляются, больше текучка.
Периодически созваниваться"</t>
  </si>
  <si>
    <t>ФИАЛ</t>
  </si>
  <si>
    <t>КНТ-97199</t>
  </si>
  <si>
    <t>ЯВА</t>
  </si>
  <si>
    <t>Мартынов А.А.: Познакомился с Олегом
Есть основной поставщик у кого закупают любое оборудование.
Работают с ним давно, с другими сравнивали - но те предлагали высокие цены и в итоге закупали у своего.
В работе в основном стационарные ПК используют.
Инженерки почти нет, видеонаблюдение стоит.
Писать на общую почту, с пометкой для Олега.
Ближайшие задачи будут в феврале, январь короткий.
Периодически договорились что о себе буду напоминать, может забыть.
Уточнитьпо количеству стационарных ПК, какие серваки и сервисы используют</t>
  </si>
  <si>
    <t>КНТ-97200</t>
  </si>
  <si>
    <t>ГК ВЛП</t>
  </si>
  <si>
    <t>"Мартынов А.А.: Познакомился с Владимиром Александровичем - руоководителем IT отдела
На этот год проектов нет, к ним едут 2 сервера HP. Скорее всего этих мощностей на долго хватит.
На следующий год планы экономичные, не много закупок будет.
По парку - 1/4 техники это ноутбуки, остальное стационарные ПК.
Програмное обеспечение редко приобретают, под проекты.
Не уточнил по инженерке, обязательно уточнить и по печатке."</t>
  </si>
  <si>
    <t>КНТ-97201</t>
  </si>
  <si>
    <t>Аквамарин</t>
  </si>
  <si>
    <t>"Мартынов А.А.: Познакомился с Алексеем , отдел снабжения.
Им присылают заявки, они закупают.
В работе используют и ноутбуки, и стационарные, есть серваки (скорее всего старенькие).
У них производство ювелирки.
На почту инфомрацию по нам отправил и свои контакты.
При следующем созвоне выходить на IT Отдел"</t>
  </si>
  <si>
    <t>КНТ-97202</t>
  </si>
  <si>
    <t>ВЕРОНИКА</t>
  </si>
  <si>
    <t>"Мартынов А.А.: Александр письмо получил
По печатке работают с местными
По железу задачи редко бывает, плюс будут сокращения скорее всего и будет подменный фонд.
Закупают одним днём чаще всего
По Видеонаблюдению не к нему, занимается отдел охраны
Периодически созваниваться"</t>
  </si>
  <si>
    <t>КНТ-97203</t>
  </si>
  <si>
    <t>Плотно пообщались
У них холдинг компаний, только на них работает.
Бюджет не планируют, в моменте закупки, в основном розница.
Уменьшают количство юр лиц, раньше одна закупала товары с НДС, другая без НДС и много гемора было.
Антивирусы используют базовые от винды, ОС тоже ломаное - нет жестких требований по лицензиям. К антивирусам относится негативно, раньше покупали NOD32, сейчас считает что люди хуже вируса.
Используют 1С, корпоративные сервисы VK mail и VK teems ( или что то такое).
Есть печатная техника формата А0 специализированая, можно поработать по ней.
По инженерке - есть видеонаблюдение и СКУДЫ, но максимум какие задачи могут быть - по модернизациям. Сказал ему что может тоже обращаться.
Раньше использовали Bitrix, но почему то перестали, покупали 150 лицензий.
Сейчас опять понадобилась CRM, где разные отделы (дизайнеры, менеджеры, снабженцы) будут видеть выполнение определенной задачи. Рассмотрит пока что 30 лицензий
Подобраться CRM и запроси"</t>
  </si>
  <si>
    <t>КНТ-96789</t>
  </si>
  <si>
    <t>Гутен Морген</t>
  </si>
  <si>
    <t>КНТ-96999</t>
  </si>
  <si>
    <t>Познакомился с Андреем.
Все закупки проходят через него.
IT отдел даёт позиции, он выставляет на площадку.
Бывают закупки до 2 МЛН по прямому, но тоже в формате конкурса.
Казначейство в головной организации выделяет средства.
Процесс согласования обычно неделя (с переторжкой и решением).
Получать запросы раньше выставления конкурса врядли возможно, надо общаться с их ITшниками.
Цены для них важны.
Сроки поставки меньше 90 дней не могут делать (он пытался согласовать другие варианты, но это мб рассмотрят в 2026 году).</t>
  </si>
  <si>
    <t>"Мартынов А.А.: Связался с Татьяной - уходит из компании , кто будет вместо неё не понятно.
Она под проекты закупалась. В новом году уточнить кто теперь.
Вышел на системного администратора Алексея. он отвечает конткретно за инфраструктуру в компании.
В работе используют в оснонвном моноблоки и ноутбуки, много сотрудников с разъездным форматом работы.
ПО не закупают, уже купили как - то лицензии для работы инженеров.
Серверное оборудование купили в прошлом году, закупили аквариусы. У них нет жесткой привязки к отечественному, просто было выгодно на тот момент. Модернизаций не планируется.
По инженерке - задачи бывают, но они уже закупили всё необходимое - камеры и СКУД. Закупают в Тинко. Если дадим цены ниже - можно поработать.
У них сейчас идут ремонты помещений, в них меняют целиком СКС и ставят новое оборудование, но оно уже закуплено.
Связаться в новом году, обсудить текучку и выйти на первые СДК."</t>
  </si>
  <si>
    <t>МАСЛОЗАВОД ТОТЕМСКИЙ</t>
  </si>
  <si>
    <t>"Мартынов А.А.: Познакомился с Михаилом.
Закупками он не занимается, даёт позиции по заявке
30-40 ПК в компании
По железу редко закупают, плюс обычно централизованно от Агрохолдинга Степь - звонить туда порекомендовали.
ПО закупают Windows и Офисы
По расходникам есть компания на аутсорсе которая закрывает все задачи.
По СВН и СКУД - есть отдел безопасников, который эти задачи закрывает.
Михаил хотел бы поработать с Linux, но руководство свои правила диктует.
Можно поработать по закупке ПО, задавал вопросы ""будут ли все документы закрывающие и тд"".
Направил на почту свои контакты."</t>
  </si>
  <si>
    <t>КНТ-97218</t>
  </si>
  <si>
    <t>Встреча. Поздравление с НГ. Генерация СДК.</t>
  </si>
  <si>
    <t>Провели встречу с Георгием и Дмитрием Зуйковым
Сейчас идёт переезд в новый офис.
У них очень много техники стало, более 100 шт.
Преобладает установка СВН.
Закупают в мерлионе, по ценам не жестить им. С НэтЛабом не работают теперь, видимо какой то косяк был.
По задачам:
1) NAS СХД .  Думают над защитой данных. Вопрос больше в том, чтобы при изъятии оборудования из их офиса данные были где-то. То есть нужно по сути дублирование / бэкап, чтобы СХД стояла в другом месте. У них много файлов с проектами и чертежами, поэтому весят много.
2)МФУ с СНПЧ, Не HP
3)Плоттер - в новом году уже
Лазерный цветной плоттер А3 (сеть/wifi, сканируют в сетевые папки, двусторонне сканирование, двустороння печать)
Не HP
4)Жесткие диски 1-6 ТБ, готовы периодически покупать по хорошим ценам, в принципе WD можно. Под СВН, держат запас под задачи.
5)Телефония +- 10 шт.  В новый офис планируют закупку.
Встреча после НГ в новом офисе. Обсудить закупку СХД. Познакомиться с Александром - инженером.</t>
  </si>
  <si>
    <t>World Class</t>
  </si>
  <si>
    <t>КНТ-97030</t>
  </si>
  <si>
    <t>Генерация СДК. Повышение лояльности.</t>
  </si>
  <si>
    <t>Встреча с клиентом.
Пообщались с Андреем, работает пару месяцев.
Управляющий тоже новый у них, Екатерина больше не работает, финансы не выделяют.
Ранее работал в Гарпиксе,по условиям работы в World Class лучше гораздо. Также рассказал о новом ITшнике в Гарпиксе, скрытный но адеватный человек.
Касательно задач по World Class - он сейчас единственный itшники, закрывает задачи по 1С и любые остальные. Времени не хватает.
Будут искать ещё одного ITшника. Вполне возможно рассмотреть аутсорс по удалённым задачам.
Касательно задач беспокоит аудиосистема - колонки и микшер. Уже чинили не раз, скорее всего будут рассматривать приобретение нового в следующем году.
По железу будут закупать жесткие диски для СХД, оперативу и SSD для стационарных ПК.
Интерактивные панели и подобное оборудование врядли рассмотрят.
Также готовы по ремонту техники к нам обращаться.
Пришлёт информацию по микшеру и колонкам</t>
  </si>
  <si>
    <t>"Мартынов А.А.: Пообщались с Константином.
В работе используют моноблоки на линиях где сканирование и стационарные
По прямому договору закупают до 50к МФУ и комплектующие, очень редко.
Закупки централизованные с Москвы больше 100к.
По печатке - их обслуживают, сравнивать цены в следующем году готов.
По серверному оборудованию - они удалённо подключаются к сервакам в Москву.
По Инженерке - не он занимается, да и такие закупки редко у них.
Завод в простое до весны, связаться в феврале"</t>
  </si>
  <si>
    <t>ВУЛВЗ</t>
  </si>
  <si>
    <t>Белый ручей</t>
  </si>
  <si>
    <t>"Мартынов А.А.: Пообщался ещё с Андреем.
Закупки по необходимости, бюджет не планируют.
В работе используют стационарные ПК, ноутбуки у руководителей отделов (часто ездят в коммандировки).
Больше 100ПК и столько же печатки.
Картриджи закупают новые в основном, покупают у местных ИПшников и в розницу. Прогнозируемые закупки, раз в месяц покупают примерно.
Мощностей хватает по сервакам.
По СВН они не работают, только предоставляют каналы, а так занимается местная охранная организация монтажом и оборудованием.
Связаться в новом году, познакомиться с Виталием - руководителем. Сейчас на больничном"</t>
  </si>
  <si>
    <t>Пообщался с Игорем Викторовичем
Этот год уже закрыт, финансов особо нет, бюджет не планируют.
В работе используют стационарные ПК
Приобретают операционные системы и антивирусы.
Антивирус - Касперский
Закупка планируется на сентябрь, предложения собирают в Июле.
По серверному оборудованию мощностей хватает, с сетевыми устройствами тоже нет проблем.
Инженерка мимо пока что.
Связаться в феврале по текучке поработать.</t>
  </si>
  <si>
    <t>ХРОМ</t>
  </si>
  <si>
    <t>НАБЕРИ ОБЯЗАТЕЛЬНО, был занят</t>
  </si>
  <si>
    <t>КНТ-97234</t>
  </si>
  <si>
    <t>Познакомился с Анатолием.
Порядка 30 ПК
5-10 серверов под разное (конкретику не сказал)
ПО закупают централизованно, оборудование - могут покупать напрямую.
Руководство во франции, поэтому актуальнее всего бренд HPE.
Понимает что сроки поставки долгие. Но готов в принципе работать.
Формирование бюджета происходит плюс минус весной. Связаться с ним в этот период.
Почта h7259-it@accor.com"
На конец года задач нет, всё на следующий год переходит
В планах будут закупка терминалов и ПК сервер под базу данных, но это ближе к весне.
По СВН и СКС - зона ответственности инженера. 
Инженер работает с охранным предприятием которое закрывает эти потребности, причём давно, врядли будут менять.
Принять участие в планировании бюджета к весне / уточнить по закупке ПК сервера и терминалов</t>
  </si>
  <si>
    <t>ЯРХОТЭЛ</t>
  </si>
  <si>
    <t>Анализ деятельности декабрь 2025.</t>
  </si>
  <si>
    <t>ЦКБ им.Алексеева</t>
  </si>
  <si>
    <t>КНТ-97254</t>
  </si>
  <si>
    <t>Познакомился с Еленой - специалистом отдела закупок.Lj,fdjxysq 2756
Частые текущие потребности, рассматривают новых поставщиков.
Ей поступают заявки от руководителя IT-отдела, она уже по ним закупает.
Иногда сразу присылаю с выбранным магазином.
Приоритетно работать с поставщиком по постоплате. Наличие доставки до двери будет плюсом.
В работе используют системные блоки, более 100 машин и печатка.
Закупают Касперский, приобрели буквально месяца два назад. Закупают у одной компании не первый год. Остальные закупки не прогнозируемые, бывает компьютеры с ОС берут или ключи покупают.
У них 2 офиса, один в нижнем новгороде на 4 этажа, и ещё один в Чкаловске.
Почта lebedeva_es@ckbspk.ru
Связаться с начальником IT Андреем Владимировичем</t>
  </si>
  <si>
    <t>КНТ-97274</t>
  </si>
  <si>
    <t>Познакомился с IT специалистом Андреем.
Раньше работал с нами, но компания прошла реорганизацию.
Сейчас устроился в Москву в МТУСИ
Он занимается только подбором оборудования, отправляет заявки в отдел закупок. Пришлёт контакты закупщиков.
Закупки проходят через конкурсы.
Закупают отечественное оборудование и ПО.
На следующий год бюджет не формировали, в моменте будут.
По инженерке не к нему.
Уточнить контакты закупщиков.</t>
  </si>
  <si>
    <t>Московский технический цниверситет связи и информатики</t>
  </si>
  <si>
    <t>Практик НФ АК</t>
  </si>
  <si>
    <t>КНТ-97281</t>
  </si>
  <si>
    <t>Майдаковский завод</t>
  </si>
  <si>
    <t>Познакомилсся с Динаром
Отдел закупок в центральном офисе компании Этажи в Тюмени
Прогнозируемых закупок почти не бывает, в моменте дают позиции -.
Им присылают заявки, они выставляю на площадку. Потом внутренний аукцион и закупка.
По количеству рабочих мест не сможет сказать - 350 человек только в IT отделе (большая часть правда программисты). 
IT отдел работает на все филиалы в каждом регионе.
ОС чаще используют бесплатный Linux + сами пишут ПО.
Подписаться на закупки в Бидзаре</t>
  </si>
  <si>
    <t>ЭТАЖИ (Е-СОФТ)</t>
  </si>
  <si>
    <t>КНТ-97285</t>
  </si>
  <si>
    <t>СервисГрупп ОО</t>
  </si>
  <si>
    <t>Клиника №1</t>
  </si>
  <si>
    <t>Кубинка АТЦ</t>
  </si>
  <si>
    <t>с мобильного набрать</t>
  </si>
  <si>
    <t>КНТ-97304</t>
  </si>
  <si>
    <t>Анастасия более не работает в компании, управляющих тоже всех сменили.
Связался с Александром - оказался 1Сником, ничего не нужно, не звонить больше.
Напрямую через клинику не соединяют.
Оставил свои контакты администраторам.
Мне позвонил Арсен Шагенович - исполнительный директор.
Ранее с нашей компанией работали по аутсорсу, но наняли своего системного администратора и потребность исчезла.
Есть три клиники - В Владимире, Ногинске и Реутове.
Сейчас планируют открывать клинику в Иваново
Договорились на встречу после новогодних праздников.
Будет закупка моноблоков  и пк.
Обсудить инженерку на встрече, рассказать с какими клиниками в Иваново работаем. Возможно будет нужен аутсорс.
Поставил задачу на созвон.
Взять контакты сис админов в Ногинске Владимире Реутове</t>
  </si>
  <si>
    <t>набрать денису 24.12. через общий</t>
  </si>
  <si>
    <t>Центр закупок</t>
  </si>
  <si>
    <t>КНТ-97307</t>
  </si>
  <si>
    <t>Работали с ними раньше пока не ушёл системный администратор Созонтов Олег.
Абатурина Анастасия тоже не работает, уволилась.
Дозвонился до бухгалтерии, порекомендовали связаться с заместителем генерального директора Земиным Андреем Сергеевичем.
Связался с ним через секретаря с ним.
Познакомились, не против сотрудничать, но нужно познакомиться с новыми системыми администраторами - они на удалёнке.
Занимаются подбором оборудования и закупкой.
Направил Андрею письмо с информацией о нас, отправит сис. админам.
Набрать ему ещё , было не удобно разговаривать. Уточнить про закупщиков.</t>
  </si>
  <si>
    <t>КНТ-97009</t>
  </si>
  <si>
    <t>Пообщался с Кристиной Валерьевоной - главным метрологом.
Руководство не хочет пока закупаться АСМОграф, тк нужна будет интеграция с их рабочими программами.
Пытаются сделать ПО под Microsoft Aksept или что то такое.
Дали контакты IT специалиста которая делает ПО.
Как выяснилось она только этим направлением занимается, нужно общатьсяс отделом автоматизации, они работают по заявке.
Написал ей в ТГ, жду контактный номер
Банный Владимир Владимирович
84842763407
Познакомился с начальником отдела автоматизации Владимиром.
На следующий год бюджет не выделили на задачи, только поддержание работы по текучке.
С нами по текучке сразу сказал не смогут работать из за расстояния, нужно вчера. Закупаются в розницу.
По серверному оборудованию - закупились в прошлом году, мощностей хватает, врядли будут закупки.
По ПО - ничего не покупают, поэтому врядли будут задачи.
По инженерке - это зона ответственности безопасников. Стандартно камеры / видеорегистраторы.
Почта v.banny@kadvi.ru
Можно работать по специфичным задачами, но на следующий год таких не планируется.</t>
  </si>
  <si>
    <t>НАБЕРИ ОБЯЗАТЕЛЬНО в 2026</t>
  </si>
  <si>
    <t>106 ЭКСПЕРИМЕНТАЛЬНЫЙ ОПТИКО-МЕХАНИЧЕСКИЙ ЗАВОД</t>
  </si>
  <si>
    <t>КНТ-97312</t>
  </si>
  <si>
    <t>Познакомился с Юрием Ивановичем - снабженец. Отвечает за закупки по гос оборон заказам.
Закупкой в организацию и подбором занимается ITшник Алексей.
Алексеев в IT отделе два.
Познакомился с одним из них.
Выставляют на площадку в формате общего конкурса.
По количеству ПК не сказал - секретаная информация.
Инжнеркой тоже он занимается.
Почта it@
Договорились с Юрием Ивановичем связаться в январе, будут закупки по гос оборон заказу.
Почта его актуальная 106eomz.ru</t>
  </si>
  <si>
    <t>Синтек</t>
  </si>
  <si>
    <t>КНТ-97324</t>
  </si>
  <si>
    <t>Познакомился с Лилией.
Занимается закупками всего необходимого для автоматизации,  под проекты. Проекты выигрывает в конкурсах как я понял.
Под проекты идёт и оргтехника, и серверное оборудование, СВН и другая инженерка.
Более 7  филиалов в разных городах, закупка централизованная из НН.
500 компьютизированных рабочих мест по всем филиалам и куча печатки.
Закупкой оборудования под их филиалы занимается Асташков Алексей - начальник IT.
Связались с Лилией в ТГ, будет писать при возникновении проектов.
Пришлёт мне контакты Алексея в телеграмме, связаться с ним познакомится ещё.</t>
  </si>
  <si>
    <t>ФГКУ Логистический центр № 51</t>
  </si>
  <si>
    <t>КНТ-97337, ЕЩЁ звони знакомься с Алексеем</t>
  </si>
  <si>
    <t>КНТ-97340, ещё звони, ззнакомься с Андреем</t>
  </si>
  <si>
    <t>Лысковский пивоваренный завод</t>
  </si>
  <si>
    <t>УЦ Специалист (Волгоград)</t>
  </si>
  <si>
    <t>КНТ-97375, 2026 год допрофилировать</t>
  </si>
  <si>
    <t>КНТ-97378</t>
  </si>
  <si>
    <t>Ивушка</t>
  </si>
  <si>
    <t>Познакомился с Денисом.
В компании порядка 24 ПК и немного печатки.
Заправляются у какой то сторонней организации, не знал что у нас есть сервисный центр, не против поработать.
Видеонаблюдение пока что аналоговое, покупают б/у Dahua иногда с авито.
Планирует модернизацию серверов Fujitsu,  периодически закупают диски, с 500гб обновились до 1 тб, потом на 2 ТБ, сейчас планируют ещё обновляться на 8 тб. Пришлёт позиции для расчёта.
Также есть мысли по закупке IP телефонии. Но видеорегистратор вроде забит, пришлёт модель поссмотреть.
24 абонена хочет переводить.
Связаться в новом году по этим задачам.</t>
  </si>
  <si>
    <t>КНТ-97408</t>
  </si>
  <si>
    <t>Евроальянс</t>
  </si>
  <si>
    <t>Познакомился с Александром Сергеевичем.
В компании 150 ПК ( по разным филиалам расположены).
На следуюищий год планов много по IT.
Планируют переход на отечественные системы виртуализации, можно будет устроить ВКС потенциально.
Есть ещё старые не закрытые задачи по серверным мощностям - в планах расширяться и по шлюзам безопасности.
Хотели в этом году, но не вышло.
Договорились связаться после новогодних и выйти на встречу с руководителем.
Не обсудил инженерку - уточнить обязательно на встрече</t>
  </si>
  <si>
    <t>КНТ-97410</t>
  </si>
  <si>
    <t>Управление специальной связи по Нижегородской области</t>
  </si>
  <si>
    <t>В НОВОМ ГОДУ ДОПРОФИЛИРОВАТЬ</t>
  </si>
  <si>
    <t>КОТЛЕТАРЬ</t>
  </si>
  <si>
    <t>КНТ-97414</t>
  </si>
  <si>
    <t>Познакомился с Владимиром, адекватный.
В компании 100ПК и печатка.
Используют стационарные ПК
Антивирусы DR web, закупают у одного и того же поставщика, недавно взяли.
ОС Windows, врядли будут покупать лицензии.
Linux пробовали - им не зашло.
Закупки бюджетируемые на каждый месяц.
Поставщики есть, но не против новых. Иногда берут в розницу, когда сроки горят.
Серверных мощностей хватает, врядли будут закупаться в ближайшее время.
Предложил вариант тестирования отечественного ПО - говорит они не против, но надо понимать что предлагаете.
Отправить презентации NGFV,Систем виртуализаций, ПО,Кибербэкапа
Есть второй ITшник Алексей</t>
  </si>
  <si>
    <t>КНТ-97453</t>
  </si>
  <si>
    <t>КНТ-97454</t>
  </si>
  <si>
    <t>КНТ-97455</t>
  </si>
  <si>
    <t>КНТ-97456</t>
  </si>
  <si>
    <t>КНТ-97457</t>
  </si>
  <si>
    <t>Познакомился с Николаем
В компании 15 пк, покупают 2 картриджа в месяц максимум
""поставщика менять не планируют"".
Планов на 26 год нет.
Компаний не интересна</t>
  </si>
  <si>
    <t>Познакомился с Алексеем из IT Отдела
С нами лет 10 назад работал, знает что адекватная компания
Касательно нынешнего места - сокращения, завод закрывается скорее всего.
Закупок никаких 100% не будет.
Дал свою почту, мало ли в дальнейшем столкнётся с закупками на новом месте работы.</t>
  </si>
  <si>
    <t>НЕ БЫЛО НА МЕСТЕ</t>
  </si>
  <si>
    <t>ДОПРОФИЛИРОВАТЬ И ЗАКИНУТЬ НА СЕБЯ</t>
  </si>
  <si>
    <t>Фактическое выполнение 100%
Итоговое количество - 35 компаний
1)КНТ-97203 2)КНТ-97199 3)КНТ-96725 4)КНТ-96789 
5)КНТ-97192 6)КНТ-97200 7)КНТ-97193 8)КНТ-97194
9)КНТ-97195 10)КНТ-97198 11)КНТ-97196 12)КНТ-96956
13)КНТ-97197 14)КНТ-97201 15)КНТ-97202 16)КНТ-96999
17)КНТ-97043 18)КНТ-97453 )19КНТ-97455 20) КНТ-97456
21)КНТ-97457 22)КНТ-97454 23)КНТ-97234 24)КНТ-97254 
25)КНТ-97274 26)КНТ-97285 27)КНТ-97304 28)КНТ-97009 
29)КНТ-97312 30)КНТ-9732431)КНТ-97378 32)КНТ-97408 
33)КНТ-97414 34)стр. 389  35)стр. 430</t>
  </si>
  <si>
    <t>Фактическое выполнение 100% 
Итоговое количество - 5 компаний:
Альфа-строй Иваново КНТ-97218
World Class КНТ-97030
Олимпия КНТ-97399
Селтекс КНТ-97503
Полимер Экспорт  КНТ-97513
Планируются встречи:
ИП Федосеева
Сонум
Экомера</t>
  </si>
  <si>
    <t>IT-аутсорс</t>
  </si>
  <si>
    <t>Бахвалова Елена Трофимовна ИП</t>
  </si>
  <si>
    <t>СНСЗ</t>
  </si>
  <si>
    <t>Камеры, комплектующие</t>
  </si>
  <si>
    <t>КНТ-97503</t>
  </si>
  <si>
    <t>Встретились с клиентом.
Денис работает на несколько компаний - Терминал текстиль, Бояртекс (знаком с Максимом, при встрече можно об этом сказать), Селтекс и ещё несколько компаний по Иванову.
Запросов не много, у них всё функционирует хорошо.
В селтексе душный учредитель, подбирает сам каждую железяку, но порой закупает очень дорого когда что-то горит.
По задачам - есть запрос на настройку внутреннего Wifi. У них офис где подключаются люди hotspot.
По  сути туда могут подключаться все. Ему интересно сделать двухфакторную систему авторизации, которую можно будет мониторить.
+вопрос в том как потом  вытаскивать данные (образно изначально собирается информация по пользователям - mac адреса, фио и тд, и если запросят ОРГАНЫ, то чтобы можно было вытащить эту информацию обратно и дать им).</t>
  </si>
  <si>
    <t>Поздравление с НГ. Генерация СДК.</t>
  </si>
  <si>
    <t>КНТ-97513</t>
  </si>
  <si>
    <t>Поздравление на НГ. Генерация СДК.</t>
  </si>
  <si>
    <t>Встретились с Артёмом.
Бюджет на IT заложен 10 млн., из которых 4-5 на CRM.
Заложил примерную сумму на Wifi, прислать ему расценки 29.12.
По системе пожаротушению вернуться в январе - но это с Сергеем.
DLP системы будут закупать в 26 году.
Есть проблема в скорости работы между серверами, не может понять в чём сложность. Можно помочь удаленными работами.
Нужна камера / штатив / микрофон для Маркетолога сразу после новогодних.</t>
  </si>
  <si>
    <t>КНТ-97309</t>
  </si>
  <si>
    <t>Александр приезжал с новым ITшником, своим заместителем, тоже зовут Александр.
Из большего будет он со мной взаимодействовать.
В январе - феврале переведут всех сотрудников на новую фирму, оплачивать всё будут тоже с неё, ждем.
Сейчас арендуют помещение, но пытаются его выкупить. Пока что в иваново на 2000 и на 4000 кв.м. есть.
Бюджет на IT Заложен 10 млн на данный момент, но он понимает что этого будет мало в текущих реалиях. Приоритетно будет закупка сервера.
Есть представительство в Казахстане, там закупают физические сервера и ставят и держат их на аутсорсе чтобы сразу решали задачи.
Закупать сервера в казахстане дешевле, но везти в россию не вариант из за гарантии и таможни.
На следующий год что по планам:
Есть новый склад с офисом - сейчас на нём даже wifi времянка. 
На 2026 год в планах прокинуть там скс, сделать wifi. Также будут туда переезжать сотрудники, человек 50-60 офисные.
Также поняли что не будут обновлять старый сервер, рассмотрят покупку нового.
По Металл Альянсу - возможно будет закупка новых рабочих мест в 2026 году.
DLP системы не сильно рассматривают.
Переход на Zabbix однозначно будет. Также интегрируют Bitrix в систему.
По серверам - обещали что предложим демо серверы вендоров, типо они дешевле будут.
Также отправить аудиосистему для переговорных комнат.
У них 3 переговорных по филиалам.
Ещё будут закупать жесткие диски для NAS СХД
По СКС - сами врядли будут делать работы по протяжке и монтажу, тоже можно поучаствовать.</t>
  </si>
  <si>
    <t>Встреча с клиентом. Поздравление с НГ. Генерация СДК.</t>
  </si>
  <si>
    <t>КНТ-97399</t>
  </si>
  <si>
    <t>Провели встречу с клиентом.
В Олимпии спорт 2 системных администратора и в Олимпии Life другие два.
Павел в Олимпии Life с Александром.
По формату работы - он подбирает оборудование, запрашивает счета и передаёт в бухгалтерию. Не против поработать.
Помимо Олимпии работает ещё в нескольких местах (не афиширует это). В провайдере (простор телеком)  и в паре стоматологий в Московском микрорайоне (Династия и ещё +1).
По задачам - в начале 2026 года на Олимпиюпланируется закупка 3х компьютеров на Ryzen 5 5600GT 8 ГБ оператива 512 SSD.
Также будет закупка батареек, по количеству определится, отправит вначале года.
По стоматологии Династия скорее всего будет закупка видеорегистратора и 8 камер - подключать будут знакомые владельца стоматологии, поэтому только железо, пришлёт позиции.</t>
  </si>
  <si>
    <t>Встреча с клиентом. Генерация СДК.</t>
  </si>
  <si>
    <t>Олимпия ФК</t>
  </si>
  <si>
    <t>СУП-ДС  (Андрей Мартынов)</t>
  </si>
  <si>
    <t>Фактическое выполнение 50%
Итоговое количество - 1 компания:
Полимерсбыт КНТ-97309 (СДК-07809, СДК-07813)</t>
  </si>
  <si>
    <t>Фактическое выполнение 50%
Активности 2:
1) Связь ВСД Запрос цен №4237924 (3 647 680 руб.)
2) НИИК АО Запрос предложений № 4244786  (256 000. руб.)</t>
  </si>
  <si>
    <t>СДК-07809</t>
  </si>
  <si>
    <t>СДК-07813</t>
  </si>
  <si>
    <t>СДК-07824</t>
  </si>
  <si>
    <t>Альфа Транском</t>
  </si>
  <si>
    <t>СДК-07825</t>
  </si>
  <si>
    <t>СДК-07823</t>
  </si>
  <si>
    <t>Бояртекс (профит текстиль)</t>
  </si>
  <si>
    <t>СДК-07650</t>
  </si>
  <si>
    <t>СДК-07675</t>
  </si>
  <si>
    <t>Новый город УК</t>
  </si>
  <si>
    <t>СДК-07647</t>
  </si>
  <si>
    <t>ИВХИМПРОМ ОАО</t>
  </si>
  <si>
    <t>Закупка сервера</t>
  </si>
  <si>
    <t>Витая пара</t>
  </si>
  <si>
    <t>Apple iMac</t>
  </si>
  <si>
    <t>Видеокамера</t>
  </si>
  <si>
    <t>Февраль 26 г.</t>
  </si>
  <si>
    <t>Универсальные системы связи</t>
  </si>
  <si>
    <t>СДК-07852</t>
  </si>
  <si>
    <t>СДК-07851</t>
  </si>
  <si>
    <t>Бытовая техника</t>
  </si>
  <si>
    <t>NAS СХД</t>
  </si>
  <si>
    <t>СДК-07849</t>
  </si>
  <si>
    <t>СДК-07850</t>
  </si>
  <si>
    <t>СДК-07853</t>
  </si>
  <si>
    <t>Фальш-панели</t>
  </si>
  <si>
    <t>Запрос на видеокарты</t>
  </si>
  <si>
    <t>Сервер / камеры / печатка / rмедиаконверторы</t>
  </si>
  <si>
    <t>Анализ деятельности январь 2026.</t>
  </si>
  <si>
    <t>стр. 1872</t>
  </si>
  <si>
    <t>ООО ТК "СОФИЙСКАЯ"</t>
  </si>
  <si>
    <t>В компании меньше 10 ПК и пара принтеров.
ITшник на удалёнке.
Компания не интересна.</t>
  </si>
  <si>
    <t>ООО "ПРОМБАЗИС"</t>
  </si>
  <si>
    <t>стр. 1830</t>
  </si>
  <si>
    <t>Есть ITшник, нет на месте, звонить в другой день</t>
  </si>
  <si>
    <t>стр. 1753</t>
  </si>
  <si>
    <t>Познакомился с Ильёй из IT отдела.
Есть ещё склад в химках.
100 пк и печатка
Работают в предоплату, рассылает запросы по требованию.
Согласование порой до 3х недель
используют моноблоки и ноутбуки
ПО - DR web покупают ежегодно.
Под новые рабочие места закупают office, аналог acrobat reader.
Иногда специфичное медициноское ПО берут med calc или что-то такое.
По инженерке тоже к ним, пока что расширений не планируют.
В прошлом году оборудовали 3 конференц комнаты, пока что больше не планируют.</t>
  </si>
  <si>
    <t>ООО "МИРУС МЕДИКАЛ"</t>
  </si>
  <si>
    <t>ООО "ДС-ЛОГИСТИК"</t>
  </si>
  <si>
    <t>IT руководитель Юрий Стош.
На месте после 16:00</t>
  </si>
  <si>
    <t>ООО "ВОРНЕР МЬЮЗИК"</t>
  </si>
  <si>
    <t>ФЕВРАЛЬ</t>
  </si>
  <si>
    <t>IT специалист Сергей Дементьев.
Вопросы закупок актуальны будут в феврале, набрать</t>
  </si>
  <si>
    <t>АО АКБ "ЕВРОФИНАНС МОСНАРБАНК"</t>
  </si>
  <si>
    <t>стр. 1684</t>
  </si>
  <si>
    <t>Соединяют с IT отделом без проблем, не брали трубку</t>
  </si>
  <si>
    <t>ООО "ТД СТИНЕРЖИ"</t>
  </si>
  <si>
    <t>Добавочный ITшника 258
не было на месте ещё звони</t>
  </si>
  <si>
    <t>ЗВОНИ</t>
  </si>
  <si>
    <t>АО БАНК "НАЦИОНАЛЬНЫЙ СТАНДАРТ"</t>
  </si>
  <si>
    <t>Соединяют без проблем, ещё звонить</t>
  </si>
  <si>
    <t>ООО "РТ-ЭНЕРГО"</t>
  </si>
  <si>
    <t>Соединяют без проблем, звонить ещё , не было на месте</t>
  </si>
  <si>
    <t>АО "ЦБА"</t>
  </si>
  <si>
    <t>переключают без проблем
на месте не было</t>
  </si>
  <si>
    <t>Провести 2 результативные встречи (или ВКС для клиентов из других регионов).</t>
  </si>
  <si>
    <t>Выполнить 30 результативных звонков по ДСП
max 200%</t>
  </si>
  <si>
    <t>В учет идут активности по СП и новым клиентам: 
1. Оплаченные счета от 50 т.р.,
2. Договора (отсрочка/рассрочка) от 100 т.р.,
3. СДК, занесённые в 1С от 350 т.р.,
* В рамках одного клиента идет в отчет один из перечисленных пунктов.
6 000 /  10 штук
max 150%</t>
  </si>
  <si>
    <t>ООО "ТОРГОВЫЙ ДОМ "МОСКВОРЕЦКИЙ"</t>
  </si>
  <si>
    <t>стр. 1522</t>
  </si>
  <si>
    <t>Есть IT отдел
84957717114, добавочный 333.
Попал на рядового ITшника, который не занимаемся закупками и подбором.
Написать на почту порекомендовал, имён не дал.
Направил на почту, набрать получить ОС</t>
  </si>
  <si>
    <t>Познакомился с Владиславом Терешкиным, специалистом отдела закупок. tereshkinVD@transneft.ru
Есть ещё Евгений Ануров.
Обед с 13 до 14
Их отдел закупается на все филиалы, всё централизованно.
Интересна постоплата (от 15 дней)
Позиции даёт IT отдел.
Задач много, готовы работать, пришлёт запросы при возникновении.
Крупные закупки в формате конкурсов идут.
По количеству компьютеров не сориентировал, выйти на первые СДК.
Периодически созваниваться.
Выйти на ITшника</t>
  </si>
  <si>
    <t>стр. 1463</t>
  </si>
  <si>
    <t>АО "ТРАНСНЕФТЬ - АВТОМАТИЗАЦИЯ И МЕТРОЛОГИЯ"</t>
  </si>
  <si>
    <t>Познакомился с Иваном, специалистом IT отдела. Есть ещё IT руководители.
В московском офисе порядка 300 рабочих мест и ещё по регионам.
Закупки централизованные.
Уже имеется поставщик который закрывает все их потребности - расходники, оборудование. Закупают у них всё что нужно для ЦОДов.
В поставщике интересна надежность, менять ничего не хотят, т.к. не первый год с той компанией работают и проблем не было.
Уточнил почту, попробовать ещё созвониться.
Пока что в любом случае задач нет даже для тестового запроса.</t>
  </si>
  <si>
    <t>стр. 1452</t>
  </si>
  <si>
    <t>ООО "ТРИАЛ МАРКЕТ"</t>
  </si>
  <si>
    <t>стр. 1406</t>
  </si>
  <si>
    <t>ООО "ГУД-ФУД ПОСТАВКА"</t>
  </si>
  <si>
    <t>"Познакомился с Романом Витальевичем
Руководителем СИТ(it отдела).
В компании более 100 ПК.
Есть компании с кем сотрудничают, но могут и нас рассмотреть.
Инженеркой тоже он занимается, как раз есть потребность сейчас.
Прислал позиции для просчёта.
Сделать расчёт"</t>
  </si>
  <si>
    <t>ООО "РАЛЬФ РИНГЕР РИТЕЙЛ"</t>
  </si>
  <si>
    <t>стр. 1643</t>
  </si>
  <si>
    <t>Есть в базе, звонить ещё туда!!!</t>
  </si>
  <si>
    <t>Познакомился с Алексеем
Бюджет на этот год формировали.
В компании 50 ПК
Один в отделе, сам закупается.
В работе используют ПК/Моноблоки/Сервера
Есть оборудование Eltex
Используют ПО Windows и Linux
По инженерке тоже он оборудование подбирает.
Работать не против.</t>
  </si>
  <si>
    <t>АО "ГЛАВНАЯ ДОРОГА"</t>
  </si>
  <si>
    <t>стр. 1611</t>
  </si>
  <si>
    <t>ООО "ЭЛЕКТРОННЫЙ МИР"</t>
  </si>
  <si>
    <t>стр. 1761</t>
  </si>
  <si>
    <t>Познакомился с Дмитрием из отдела закупкок.
Компания участвует в конкурсах, закупается под них ITшным оборудованием.
Рассматривают новых поставщиков.
У самих парк техники не большой, до 50 ПК
zakupki@electronmir.ru 
Уточнить по ITшнику и инженерке при следующем звонке</t>
  </si>
  <si>
    <t>НПАО "АМИКО"</t>
  </si>
  <si>
    <t>стр. 1720</t>
  </si>
  <si>
    <t>"Познакомился с Иваном Владимировичем IT отдел, несколько человек
В компании порядка 100 ПК и печатка.
ПО иногда закупают под запрос отделов, их много разных.
Серверных мощностей хватает,  используют под БД и корпоративные системы.
По инженерке он подбирает оборудование, но такие задачи редко бывают.
По задачам пока что глухо.
Написал ему на почту it@amico.ru"</t>
  </si>
  <si>
    <t>ООО "ИЗДАТЕЛЬСКАЯ ГРУППА "АЗБУКА-АТТИКУС"</t>
  </si>
  <si>
    <t>стр. 1417</t>
  </si>
  <si>
    <t>Есть IT оттдел, специалиста зовут Алексей
Сейчас поставщиков не рассматривают, связаться позже возможно.
Направить письмо
asokolov@atticus-group.ru
набрать ещё и допрофилировать</t>
  </si>
  <si>
    <t>стр. 1395</t>
  </si>
  <si>
    <t>Общался с Романом, сказал IT специалист.
Новых поставщиков не рассматривают, закупки редко, компьютеров мало, количество не сказал.
По инн маленькие, не интересны.</t>
  </si>
  <si>
    <t>ООО "ОМЕГА МЕТАЛЛ"</t>
  </si>
  <si>
    <t>стр. 1300</t>
  </si>
  <si>
    <t>Есть 1 ITшник, но сказали на него бесполезно переключать
Не дозвон, ещё набрать</t>
  </si>
  <si>
    <t>АО "АВТОБАУ"</t>
  </si>
  <si>
    <t>стр. 1867</t>
  </si>
  <si>
    <t>стр. 1866</t>
  </si>
  <si>
    <t>сказать "соедините с IT отделом"
"Соединили с IT отделом, но никого не было на месте.
Ещё звонить"</t>
  </si>
  <si>
    <t>ООО "ТЕХИНКОМ-КОМТРАНС"</t>
  </si>
  <si>
    <t>ООО "ААА ТРАКСЕРВИС"</t>
  </si>
  <si>
    <t>ООО "ФРАНКО"</t>
  </si>
  <si>
    <t>стр. 1864</t>
  </si>
  <si>
    <t>АО "ВЕКТОР-БЕСТ-ЕВРОПА"</t>
  </si>
  <si>
    <t>стр. 1857</t>
  </si>
  <si>
    <t>IT специалист Александр, на месте не было</t>
  </si>
  <si>
    <t>стр. 1856</t>
  </si>
  <si>
    <t>"84951505105
Соединить с IT отделом, переключат
Познакомился с Артёмом, it специалистом.
Есть ещё руководитель, который как раз занимается закупками.
Есть один единственный поставщик, через которого работают и менять его не будут. Уже звонили другие конкуренты, итог был один.
В компании 120 компьютеров, серверное оборудование приобрели в том году с запасом.
ПО изредко берут в розницу.
Направил на почту письмо, ещё набрать попробовать выйти на руководителя, пообщаться."</t>
  </si>
  <si>
    <t>АО "ЕВРОХИМ-1 ФД"</t>
  </si>
  <si>
    <t>АО "ЛАУТ"</t>
  </si>
  <si>
    <t>itшник алексей, будет в четверг</t>
  </si>
  <si>
    <t>стр. 1835</t>
  </si>
  <si>
    <t>ООО "МОНСТЕР ЭНЕРДЖИ РУС"</t>
  </si>
  <si>
    <t>стр. 1823</t>
  </si>
  <si>
    <t>itшник Владимир, сегодня занят
набрать в другой день</t>
  </si>
  <si>
    <t>ООО "ПРОФИЛЬМЕТ"</t>
  </si>
  <si>
    <t>стр. 1785</t>
  </si>
  <si>
    <t>попросил соединить с ITшником по серверному оборудованию
Переключили
Не дозвон</t>
  </si>
  <si>
    <t>Фактическое выполнение 100%
Активности 2:
Планы по встречам:
КНТ-98139 Клиника Луч
КНТ-98305 ИП Федосеева Е.Е.</t>
  </si>
  <si>
    <t>НИИК АО</t>
  </si>
  <si>
    <t>Техснаб Иваново</t>
  </si>
  <si>
    <t>Раум Профи</t>
  </si>
  <si>
    <t>Видеорегистратор</t>
  </si>
  <si>
    <t>СХД</t>
  </si>
  <si>
    <t>КНТ-98139</t>
  </si>
  <si>
    <t>Познакомились с Александром.
Работает на несколько организаций.
Иногда берет также задачи на установки камер видеонаблюдения, настройкой любого оборудования занимается сам.
На Останкино Ярославль на полставки.
По этой организации редкие закупки.
По Клинике луч планируют открытие 3х точек куда будет нужно оборудование (камеры, коммутация. принтеры, мини ПК)
В Шуе планируют переезд, точка переедет и заберет несколько помещений/этаж. Тоже понадобится оборудование.
На этот год запланировано 1млн руб. на эти задачи.
Рассматривают закупки в отсрочку, договорились заключить договор, сделать несколько закупок в отсрочку и потом увеличить срок.
Сейчас берут в комусе с отсрочкой в 45 кд.
Можно закупать не только ITшку если будем давать цены конкурентные.
ПК серверы, хотелось бы полноценныый вариант с удалённым подключением, но к этому придут позднее.
СХД не используют, просто диски отдельные стоят на которые данные записывают.
ДД - договор, заказы по отсрочке.</t>
  </si>
  <si>
    <t>Фактическое выполнение 33%
Активности 10:
СУП-ДС  (Андрей Мартынов)
1)стр. 1872 2) стр. 1753 3) стр. 1463 4) стр. 1452 5) стр. 1406 
6)  стр. 1611 7) стр. 1720 8) стр. 1761  9) стр. 1395 10)стр. 1856</t>
  </si>
  <si>
    <t>Фактическое выполнение 60%
Активности 6:
СДК-07925 Администрация Ильинского района  (СДК, занесённые в 1С от 350 т.р.)
СДК-07921 Экохиммаш (СДК, занесённые в 1С от 350 т.р.)
СДК-08058 Стентекс  (СДК, занесённые в 1С от 350 т.р.)
СДК-08062 Омега 3 (СДК, занесённые в 1С от 350 т.р.)
Сч-190911 Альфа-строй Иваново ООО (Оплаченные счета от 50 т.р.)
Сч-191685 ГКС (Оплаченные счета от 50 т.р.)</t>
  </si>
  <si>
    <t>СДК-07921</t>
  </si>
  <si>
    <t>Экохиммаш, ЗАО</t>
  </si>
  <si>
    <t>СДК-07925</t>
  </si>
  <si>
    <t>Администрация Ильинского района</t>
  </si>
  <si>
    <t>СДК-08076</t>
  </si>
  <si>
    <t>Омега 3</t>
  </si>
  <si>
    <t>СДК-08058</t>
  </si>
  <si>
    <t>Стентекс</t>
  </si>
  <si>
    <t>СДК-08062</t>
  </si>
  <si>
    <t>Сервера</t>
  </si>
  <si>
    <t>Закупка 2026 год</t>
  </si>
  <si>
    <t>Закупка ноутбуков</t>
  </si>
  <si>
    <t>Сканер паспорта</t>
  </si>
  <si>
    <t>Май 26 г.</t>
  </si>
  <si>
    <t>Договорились на встречу в 19:00.
Встретились с Андреем.
Обсудили задачи, потребуется 5 ПК, закинуть КП для согласования бюджета. 
Позднее будет закупка комплектующих для апгрейда других компьютеров, сообщит.
Возможна закупка еще и печатной техники либою.
По ПО - антивирус бесплатный используют, не планируют на лицензии переходить, ОС тоже не покупают.
По инженерным направлням задач не планируется.
Уточнил по отечественному оборудованию - не интересует.
ДД - Направить КП на компьютеры.</t>
  </si>
  <si>
    <t>Не отмечено в ДСП</t>
  </si>
  <si>
    <t>СДК-08096</t>
  </si>
  <si>
    <t>СДК-08098</t>
  </si>
  <si>
    <t>СДК-08097</t>
  </si>
  <si>
    <t>Коммутатор под перепродажу</t>
  </si>
  <si>
    <t>Видеотелефоны</t>
  </si>
  <si>
    <t>Выполнить 10 активностей по СП и переданной УКБ: 
1. Оплаченные счета от 50 т.р.,
2. Договора (отсрочка/рассрочка) от 100 т.р.,
3. СДК, занесенные в 1С от 350 т.р.,
* В рамках одного клиента идет в отчет один из перечисленных пунктов.
(перевыполнение пропорционально, макс х1.5)</t>
  </si>
  <si>
    <t>Провести 4 результативные встречи (или ВКС для клиентов из других регионов).
Перевыполнение пропорционально, макс х2</t>
  </si>
  <si>
    <t>7 000 / 100%
max 200%</t>
  </si>
  <si>
    <t>8 000 / 100%
max 200%</t>
  </si>
  <si>
    <t>7 000 / 100%
max 150%</t>
  </si>
  <si>
    <t>Бигам</t>
  </si>
  <si>
    <t>Клиника №1 ООО</t>
  </si>
  <si>
    <t>КОМИТАС</t>
  </si>
  <si>
    <t>Серебряная нить</t>
  </si>
  <si>
    <t>КНТ-98714</t>
  </si>
  <si>
    <t>КНТ-98713</t>
  </si>
  <si>
    <t>ГМЗ Агат</t>
  </si>
  <si>
    <t>На встрече помимо Юрия был его коллега Андрей.
Финансовая ситуация сейчас плачевная, выделяют средства на месяц, они закупаются по возможностям.
Процесс согласования может занимать неделю и более.
Рассматривают постоплату с частичной предоплатой, чтобы можно было зафиксировать ценник. По каждой закупке обсуждать сроки по оплате.
Среди планов есть обновление до 3ей версии касперского mail gateway  100 шт. Ориентировочно на июнь-июль.
Есть в планах обновление EDR 20-30 лицензий.Ориентировочно на август.
Обновление самого касперского было перед новым годом, купили у Мегафона, они предоставляют доп условия по связи им, менять не будут.
NGFV у них нет, но хотели бы. Сейчас Firewall Cisco обычный стоит.
DLP стахановец брали в тест на 2 месяца вроде.
По картриджам NV print не любят! Используют uniton, порекомендовали им Integra.
Оборудование берут б/у, отечественное не смотрят, тк думают что это говно.
Из железа у них старые Cisco.
ПО старый MS office, докупать не будут.
Есть проблема с кондиционированием в серверной. Несколько домашних кондиционеров стоят, в будущем эту задачу рассмотреть хотят.
Обсуждали так же СКУД, но из больше просто поинтересовались с какими работаем, можно ещё уточнить.</t>
  </si>
  <si>
    <t>Встретились с ITшником Дмитрием и закупщиком Сергеем.
Сейчас расходов на IT почти нет, закрыли несколько филиалов, подменный фонд сейчас имеется. Мощностей хватает, в работе ничего не беспокоит.
Могут быть задачи п окамерам, он обратится.
Идут работы в серверной комнате, будут устанавливать систему пожаротушения. Пришлёт позиции для закупки. Работы своими силами реализуют, есть свой специалист, да и тех директор забракует другие варианты.
По Инфобезу ничего нет по сути но хотели. Предложили рассмотреть позитив бесплатный, очень было бы интересно.
Также интересна утилита для тестирования почты.
Пообщались с Сергеем, у него не много вопросов было - самый актуальный это сократить время поставки, напрямую развозить товар в их отделения. Обычно схема Владимир-Ярославль-офис москва. Сказали проблем нет, будет указывать в счетах адреса.</t>
  </si>
  <si>
    <t>КНТ-98885</t>
  </si>
  <si>
    <t>Познакомились с Александром.
Курирует все отделения по региону (шуя, кинешма, южа, иваново).
Итоговые решения по закупкам за ним.
Сейчас в компании происходит переезд в новый филиал в Москве.
В Москве будет основной офис, в Иваново будет тестовое отделение.
По информационной безопасности им нужно делать пинтест каждый год.
Бесплатная утилита им не подойдёт, т.к. им нужны по регламенту тесты с допусками ФСБ, которых у нас нет.
Для бэкапов используют кибербэкап - всё устраивает, претензий нет.
Сейчас для корпоративных созвонов используют Skype for business.
В принципе рассматривают решения, отправить презентации (запросить в Аксофт).</t>
  </si>
  <si>
    <t>КНТ-99208</t>
  </si>
  <si>
    <t>РЦ Автодилер</t>
  </si>
  <si>
    <t>На встрече присутствовал старший системный администратор Антон Игнатьев (худой) и его коллега Антон (по общению будто его руководитель.)
Подбором решений, закупками и согласованием у руководства занимаются они.
ПО Касперу сбор предложений будет в августе, заккупка в сентябре. Нужно поссмотреть по базе сколько лицензий мы продавали, зарегистрировать сделку.
По Инфобезу - хотели бы перейти на НГФВ, но решения дорогие, не выделяют финансы. Им считали Форти и Айдеко. Скорее всего не раньше следующего года будут. Сейчас стоят микротики, на них вся защита сети. Понимают что никакая по сути. Безопасников своих нет, окон много, по системе учёта возможно вернутся к задаче - обсуждать периодически.
Хотят протянуть Wifi точки в офисе, у них потолок армстронг, будет не сложно. Попросить Диму Г. связаться и выехать обсудить задачу конкретнее. 
В рамках проекта замены серверов в ЦОДе интересно сопровождение. Планируется замена 20 юнитов на Blade сервера. Старые сервера Supermicro, интересно было бы их продать. Устроить ВКС с Мишей Лузгиным. Можно уточнить почему именно Blade сервера, мб предложить системы виртуализаций. (дозакупить оборудование и тд).
ТСД - переходят с 1С на АРТWMS (немецкое ПО). Атолы хорошо работают в двух системах одновременно, но старые. Купили зебры - их нужно переключать между ПО, что не удобно. Интересен тест чтобы потом закупить оборудование для работы в двух системах с дальнейшим переходом на АРТWMS (уходят от 1С). Промежуточное решение на 3-4 месяца.
Термотикетки иногда закупают, термопринтеры есть.
Есть задача для Димы Г. Клиент хочет отказаться от сотрудников охраны и перейти н интеллектуальную защиту периметра. Сейчас у них Альянс, не хотят что бы всё было завязано на них. Также туда же привяжут громкоговорители, сирены, камеры.
У них 100 камер на складе и 20-30 по периметру. Для задачи по интеллектуальной защите не хотели бы перезакупать камеры, может возможно купить AI видеорегистратор и тд.
Комната для конференций и ВКС - хотят закупить PTZ камеру , которая сможет снимать на 10-15 метров. Также хотели бы систему звука потолочную, которая будет ловить от камеры голоса если это возможно. Ну или просто рассмотрели бы систему записи звука.
Также нужны будут 3-4 петличных микрофона для спикеров, сейчас обычный микрофон. Ещё нужен будет микшер, сейчас одним компьютером пользуются на все задачи. Интересен был бы тест подобного оборудования.
ДД:
Регистрация сделки по касперскому. Уточнить количество лицензий.
Дима Г. - выезд для расчёта Wifi
ВКС с Лузгиным
ТСД в тест
Дима Г. - Интеллектуальная защита периметра
КОнференц зал - камера, микрофоны, микшер</t>
  </si>
  <si>
    <t>КНТ-99212</t>
  </si>
  <si>
    <t>Название отеля Ибис
Познакомились с Анатолием.
Всё оборудование закупают одного бренда - регламент компании. Чаще всего это HPE.
Закупки чаще централизованные, попробовать выйти на головную организацию.
Умер коммутатор, пока переключили на другие (свободные порты были). Пришлёт модель.
Сейчас есть потребность в закупке ПК для видеонаблюдения, к которому подключат 3 монитора на 60 камер.
Направить КП.
Сейчас планируется установка шлагбаума, поделился контактами инженера. Уточнить этап сделки - купили или ещё выбирают оборудование.
По ИБП проблем не бывает. По мультимедиа - закупились недавно, им привезут из МСК.
Электронные ключи недавно обновили, не актуально для них.
В конце года будет закупка винды на сервер.
Мощностей хватает. по сервакам.</t>
  </si>
  <si>
    <t>КНТ-99213</t>
  </si>
  <si>
    <t>Анализ деятельности февраль 2026.</t>
  </si>
  <si>
    <t>Фактическое выполнение 150%
Активности 6:
КНТ-98713 ГМЗ Агат (СДК-08181,СДК-08182, СДК-08304)
КНТ-98714 Бигам (СДК-08177, СДК-08178, СДК-08179)
КНТ-98885 Евроальянс (СДК-08190)
КНТ-99208 РЦ Автодилер (СДК-08305, СДК-08306, СДК-08307, СДК-08308, СДК-08309, СДК-08310)
КНТ-99212 ЯрХотэл (СДК-08325)
КНТ-99213 Спанлайн (СДК-08380)</t>
  </si>
  <si>
    <t>Фактическое выполнение 130%
Активности 13:
1) Сч-191964 Омега 3  (Оплаченные счета от 50 т.р.)
2) Сч-192298 Бигам (Оплаченные счета от 50 т.р.)
3) Сч-192364 Кострома-Лада (Оплаченные счета от 50 т.р.)
4) Сч-191976  Полимерсбыт ООО (Оплаченные счета от 50 т.р.)
5) СДК-08312 Гарпикс (garpix)  (СДК, занесённые в 1С от 350 т.р.)
6) СДК-08313 Комитас (СДК, занесённые в 1С от 350 т.р.)
7) СДК-08314  МКС Луганск  (СДК, занесённые в 1С от 350 т.р.)
8) СДК-08317 Белгородский Молочный Комбинат (СДК, занесённые в 1С от 350 т.р.)
9) СДК-08161 Костромская ПБСТИН (СДК, занесённые в 1С от 350 т.р.)
10) СДК-08324 Альфа-строй Иваново (СДК, занесённые в 1С от 350 т.р.)
11) СДК-08341 ЦКБ по СПК им. Р.Е. Алексеева (СДК, занесённые в 1С от 350 т.р.)
12) СДК-08343 Образовательный комплекс № 36 (СДК, занесённые в 1С от 350 т.р.)
13) СДК-08351 Экомера сервер (СДК, занесённые в 1С от 350 т.р.)</t>
  </si>
  <si>
    <t>СДК-08183</t>
  </si>
  <si>
    <t>СДК-08314</t>
  </si>
  <si>
    <t>СДК-08351</t>
  </si>
  <si>
    <t>СДК-08161</t>
  </si>
  <si>
    <t>СДК-08312</t>
  </si>
  <si>
    <t>СДК-08341</t>
  </si>
  <si>
    <t>СДК-08343</t>
  </si>
  <si>
    <t>СДК-08317</t>
  </si>
  <si>
    <t>СДК-08324</t>
  </si>
  <si>
    <t>СДК-08313</t>
  </si>
  <si>
    <t>СДК-08380</t>
  </si>
  <si>
    <t>СДК-08181</t>
  </si>
  <si>
    <t>СДК-08373</t>
  </si>
  <si>
    <t>СДК-08182</t>
  </si>
  <si>
    <t>СДК-08304</t>
  </si>
  <si>
    <t>СДК-08179</t>
  </si>
  <si>
    <t>СДК-08178</t>
  </si>
  <si>
    <t>СДК-08325</t>
  </si>
  <si>
    <t>СДК-08305</t>
  </si>
  <si>
    <t>СДК-08306</t>
  </si>
  <si>
    <t>СДК-08307</t>
  </si>
  <si>
    <t>СДК-08308</t>
  </si>
  <si>
    <t>СДК-08177</t>
  </si>
  <si>
    <t>СДК-08309</t>
  </si>
  <si>
    <t>СДК-08310</t>
  </si>
  <si>
    <t>СДК-08262</t>
  </si>
  <si>
    <t>МКС Луганск</t>
  </si>
  <si>
    <t>Костромская ПБСТИН</t>
  </si>
  <si>
    <t>Гарпикс (garpix)</t>
  </si>
  <si>
    <t>ЦКБ по СПК им. Р.Е. Алексеева</t>
  </si>
  <si>
    <t>Образовательный комплекс № 36</t>
  </si>
  <si>
    <t>Белгородский Молочный Комбинат</t>
  </si>
  <si>
    <t>ТЭК ИНФОРМ</t>
  </si>
  <si>
    <t>ТТК Иваново</t>
  </si>
  <si>
    <t>Закупк телефонии</t>
  </si>
  <si>
    <t>Сервер под проект</t>
  </si>
  <si>
    <t>МФУ А3</t>
  </si>
  <si>
    <t>Закупка ноутбуков в Воронеж</t>
  </si>
  <si>
    <t>Закупка АКБ</t>
  </si>
  <si>
    <t>ПК для инженеров</t>
  </si>
  <si>
    <t>Закупка точек доступа MOXA</t>
  </si>
  <si>
    <t>Закупка компьютеров</t>
  </si>
  <si>
    <t>Обновление EDR</t>
  </si>
  <si>
    <t>Mail Gateway 100 шт. обновление + продление</t>
  </si>
  <si>
    <t>KATA (песочница)</t>
  </si>
  <si>
    <t>Кондиционирование серверной</t>
  </si>
  <si>
    <t>Позитив</t>
  </si>
  <si>
    <t>Компьютер и коммутатор</t>
  </si>
  <si>
    <t>Wifi в офисе</t>
  </si>
  <si>
    <t>Замена серверов (аутсорс, покупка оборудования)</t>
  </si>
  <si>
    <t>ТСД</t>
  </si>
  <si>
    <t>Оборудование для системы пожаротушения</t>
  </si>
  <si>
    <t>Интеллектуальная защита периметра</t>
  </si>
  <si>
    <t>PTZ камера и микрофоны, микшер</t>
  </si>
  <si>
    <t>Телефония, расходиники (реестровое)</t>
  </si>
  <si>
    <t>Июнь 26 г.</t>
  </si>
  <si>
    <t>Август 26 г.</t>
  </si>
  <si>
    <t>Февраль 27 г.</t>
  </si>
  <si>
    <t>Июль 26 г.</t>
  </si>
  <si>
    <t>Сентябрь 26 г.</t>
  </si>
  <si>
    <t>СДК-08378</t>
  </si>
  <si>
    <t>Полимерсбыт ООО</t>
  </si>
  <si>
    <t>СДК-08371</t>
  </si>
  <si>
    <t>СДК-08377</t>
  </si>
  <si>
    <t>СДК-08376</t>
  </si>
  <si>
    <t>СДК-08375</t>
  </si>
  <si>
    <t>СДК-08190</t>
  </si>
  <si>
    <t>СДК-08185</t>
  </si>
  <si>
    <t>Закупка сервера по Тз клиента</t>
  </si>
  <si>
    <t>Телевизоры</t>
  </si>
  <si>
    <t>Диски для СВН</t>
  </si>
  <si>
    <t>Закупка ПК и комплектующих</t>
  </si>
  <si>
    <t>ПО для Видеоконференцсвявзи</t>
  </si>
  <si>
    <t>АТС и телефоны</t>
  </si>
  <si>
    <t>Познакомился с Владимиром
Работает на несколько организаций (В совокупе 100+ ПК, 2 сервера)
По Спанлайну (основная компания):
Парк ПК	60 рабочих станций, 20 МФУ и принтеров, 1 физических сервер HP ProLiant
ПО не закупают.
Периодически бывают закупки Камер и видеорегистраторов.
Сейчас есть склад на 48 камер (часть покупали у нас). Монтаж сами делают.
С отечественными решениями не работали, интереса нет.
На ХХХ удобно работать, нужно будет отписать то что уже заработал.
Возможно будет нужен проектор, не точно, пришлёт ТЗ если актуально будет.
Из ближайших закупок - 3 компьютера. 
Также пришлёт модели расходников.</t>
  </si>
  <si>
    <t>Знакомство с клиентом. Генерация СДК.</t>
  </si>
  <si>
    <t>Знакомство с клиентом. Презентация компании. Генерация СДК</t>
  </si>
  <si>
    <t>Встреча. Генерация СДК.</t>
  </si>
  <si>
    <t>СДК-08177, СДК-08178, СДК-08179</t>
  </si>
  <si>
    <t>СДК-08181,СДК-08182, СДК-08304</t>
  </si>
  <si>
    <t>СДК-08305, СДК-08306, СДК-08307, СДК-08308, СДК-08309, СДК-08310</t>
  </si>
  <si>
    <t>Выполнить 10 активностей по СП и переданной УКБ: 
1. Оплаченные счета от 50 т.р.,
2. Договора (отсрочка/рассрочка) от 100 т.р.,
3. СДК, занесенные в 1С от 350 т.р.,
* В рамках одного клиента идет в отчет один из перечисленных пунктов.
Перевыполнение пропорционально, макс х1.5</t>
  </si>
  <si>
    <t>Сетевое оборудование</t>
  </si>
  <si>
    <t>АКБ</t>
  </si>
  <si>
    <t>Сервер по ТЗ клиента в рассрочку</t>
  </si>
  <si>
    <t>Планируется закупка сервера под проект в июне.
Прислал ТЗ, сориентировал по ценам его.
Он заложил сумму в проект, интересоваться стадией.
Будет ещё один проект по маркировке, понадобится скорее всего ПК сервер. Обратится позднее</t>
  </si>
  <si>
    <t>Есть задача по закупке телефонии.
Нужны 300 шт телефонов, POE не обязательно.
Направил клиенту, пока согласовает модели</t>
  </si>
  <si>
    <t>Уточнить у клиента пройдут строго реестровые позиции или рассматривают не реестр тоже.
Проставят регистрацию на оба варианта.
Получить ответ от клиента.</t>
  </si>
  <si>
    <t>Запрос на ноуты с доставкой в Воронеж.
Запрос по строгой спецификации</t>
  </si>
  <si>
    <t>Запрос по ТЗ клиента.
Отдельными счетами с строительными материалами посчитать.
Направил КП и счёт, на согласовании</t>
  </si>
  <si>
    <t>Этой закупкой занимается Шевцов Андрей.
Прислал предложение конкурента на аналоги - дешевле, но качество ниже. Передал на согласование
Закупка будет в формате конкурса на РСТ тендере</t>
  </si>
  <si>
    <t>Запрос накомплектующие для принетеров этикеток.
Аналоги не рассматривают.
Направил КП, ожидаем ОС.
Собирает предложения от разных поставщиков</t>
  </si>
  <si>
    <t>Закупка компьютеров для инженеров.
Не строгое ТЗ.
На этапе согласования, передали руководству.</t>
  </si>
  <si>
    <t>Цены у нас самые интересные и сроки. 
Закупка ориентировочно в среду-четверг</t>
  </si>
  <si>
    <t>Закупка телевизоров.
Нужна гарантия 3 года</t>
  </si>
  <si>
    <t>Закупка ПК по спецификации клиента</t>
  </si>
  <si>
    <t>Обновил цены, ожидание решения</t>
  </si>
  <si>
    <t>Закупка дисков для СВН.</t>
  </si>
  <si>
    <t>Плановая закупка акб по ТЗ клиента</t>
  </si>
  <si>
    <t>По ценам сориентировал.
Ждём ответ по сравнению с другим предложением.
Закупка планируется летом, сейчас ничего брать не будут, нет финансов.</t>
  </si>
  <si>
    <t>Планируют бюджет на 27 год.</t>
  </si>
  <si>
    <t>Закупка по ТЗ клиента</t>
  </si>
  <si>
    <t>В рамках проекта замены серверов в ЦОДе интересно сопровождение. Планируется замена 20 юнитов на Blade сервера. Старые сервера Supermicro, интересно было бы их продать. Устроить ВКС с Мишей Лузгиным. Можно уточнить почему именно Blade сервера, мб предложить системы виртуализаций. (дозакупить оборудование и тд).</t>
  </si>
  <si>
    <t>Хотят протянуть Wifi точки в офисе, у них потолок армстронг, будет не сложно.
Попросить Диму Г. связаться и выехать обсудить задачу конкретнее.</t>
  </si>
  <si>
    <t>ПО Каспер сбор предложений будет в августе, заккупка в сентябре. Нужно поссмотреть по базе сколько лицензий мы продавали, зарегистрировать сделку.</t>
  </si>
  <si>
    <t>Получить модель коммутатора и параметры по ПК</t>
  </si>
  <si>
    <t>ТСД - переходят с 1С на АРТWMS (немецкое ПО). Атолы хорошо работают в двух системах одновременно, но старые. Купили зебры - их нужно переключать между ПО, что не удобно. Интересен тест чтобы потом закупить оборудование для работы в двух системах с дальнейшим переходом на АРТWMS (уходят от 1С). Промежуточное решение на 3-4 месяца.
Термотикетки иногда закупают, термопринтеры есть.
Есть задача для Димы Г. Клиент хочет отказаться от сотру</t>
  </si>
  <si>
    <t>Есть задача для Димы Г. Клиент хочет отказаться от сотрудников охраны и перейти на интеллектуальную защиту периметра. Сейчас у них Альянс, не хотят что бы всё было завязано на них. Также туда же привяжут громкоговорители, сирены, камеры.
У них 100 камер на складе и 20-30 по периметру. Для задачи по интеллектуальной защите не хотели бы перезакупать камеры, может возможно купить AI видеорегистратор и тд.</t>
  </si>
  <si>
    <t>Комната для конференций и ВКС - хотят закупить PTZ камеру , которая сможет снимать на 10-15 метров. Также хотели бы систему звука потолочную, которая будет ловить от камеры голоса если это возможно. Ну или просто рассмотрели бы систему записи звука.
Также нужны будут 3-4 петличных микрофона для спикеров, сейчас обычный микрофон. Ещё нужен будет микшер, сейчас одним компьютером пользуются на все задачи. Интересен был бы тест подобного оборудования.</t>
  </si>
  <si>
    <t>Нужна лицензия KATA , пока нужна только песочница
Сейчас KSMG в интеграции с KATA.
Нужно на 1 почтовый шлюз на 100 пользователей.
Можно рассмотреть других вендоров, вопрос того как будет интегрироваться.
Презентации, ВКС, демо актуально.</t>
  </si>
  <si>
    <t>Закинул в аксофт номер лицензий.
Ожидаем цены.</t>
  </si>
  <si>
    <t>В серверной комнате плохое охлаждение.
Возможно в будущем будут рассматривать адекватную систему кондиционирования.
Уточнять по этой задаче, предложить посчитать варианты решения.</t>
  </si>
  <si>
    <t>Обсудили с Иваном, он подготовит план действий для клиента.
Дмитрий пока болеет, связаться с ним 24.02.</t>
  </si>
  <si>
    <t>Позвонить поставщикам, напомнить по запросу, получить цены.</t>
  </si>
  <si>
    <t>Ознакомится к концу недели с презентациям.
Созвониться и обсудить ПО, в сторону какого решения будем двигаться.
Закинуть цены на R-admin</t>
  </si>
  <si>
    <t>По IP телефонии используют Fanwill.
Планируют Call центр на виртуальной АТС делать, провайдер рекомендует yealinkи (ростелеком).
нужно 60 телефонов не дороже 4500 руб.</t>
  </si>
  <si>
    <t>Ближайшая закупка в Июле, будут выкладывать на площадку РТ-тендер (оперативная память, блоки питания, корпуса, HDD/SSD, клавиатуры, мыши, гарнитуры, веб-камеры. Новые ПК не закупают — только комплектующие)
Есть отдельная форма КП для ТКК, если они такую попросят, иногда бывает. Ярик прислал файлик готовый.
Почему то в конкурса которые подаёмся часто выигрываем, хотя цены даём высокие.
Лучше с ними работать по предоплате, т.к. бухгалтерия часто просрачивает счета.
Ближайшая закупка в мае. Строго реестровое оборудование будут брать.
Телефония, гарнитуры, патч корды.</t>
  </si>
  <si>
    <t>?</t>
  </si>
  <si>
    <t>"Выполнить 12 активностей по клиентам: 
1. Оплаченные счета от 50 т.р.,
2. Договора (отсрочка/рассрочка) от 100 т.р.,
3. СДК, занесенные в 1С от 350 т.р.,
* В рамках одного клиента идет в отчет один из перечисленных пунктов.
7 т.р. / задача
(перевыполнение пропорционально, макс х1.5)"</t>
  </si>
  <si>
    <t>Принять участие в 5 профильных конкурса по клиентам из УКБ с НМЦ от 300 тыс., в которых нас не отклонили
2 000 / задача
max. x2</t>
  </si>
  <si>
    <t>Провести 3 встречи (или ВКС для клиентов из других регионов), на которых будут сгенерированы 2 СДК
6 т.р. / задача
(перевыполнение пропорционально, макс х2)</t>
  </si>
  <si>
    <t>6 000 / 100%
max 200%</t>
  </si>
  <si>
    <t>Анализ деятельности март 2026.</t>
  </si>
  <si>
    <t>Фактическое выполнение 0%
Активности 0 :</t>
  </si>
  <si>
    <t>Фактическое выполнение 0%
Активности 0:</t>
  </si>
  <si>
    <t>ИП Буддалова Наталья Юрьевна</t>
  </si>
  <si>
    <t>Принять участие в  4 профильных конкурса по клиентам из УКБ с НМЦ от 300 тыс., в которых нас не отклонили
2 000 / задача
max. x2</t>
  </si>
  <si>
    <t>Выполнить 12 активностей по клиентам: 
1. Оплаченные счета от 50 т.р.,
2. Договора (отсрочка/рассрочка) от 100 т.р.,
3. СДК, занесенные в 1С от 350 т.р.,
* В рамках одного клиента идет в отчет один из перечисленных пунктов.
7 т.р. / задача
(перевыполнение пропорционально, макс х1.5)</t>
  </si>
  <si>
    <t>Фактическое выполнение 30%
Активности 4:
1) Сч-193349 Омега 3  (Оплаченные счета от 50 т.р.)
2) Сч-193287 Федосеев В.С. ИП (Оплаченные счета от 50 т.р.)
3) Сч-193362 Новый город УК (Оплаченные счета от 50 т.р.)
4) Сч-ИК-039 ГМЗ Агат (Оплаченные счета от 50 т.р.)
5)СДК-08561 Клиника луч (СДК, занесённые в 1С от 350 т.р.)
6)Закупка комплектующих ЦКБ по СПК им. Р.Е. Алексеева (Оплаченные счета от 50 т.р.)
7)СДК-08834 Комитас (СДК, занесённые в 1С от 350 т.р.)</t>
  </si>
  <si>
    <t>Фактическое выполнение 100%
Активности 3:
КНТ-100878 ТТК (СДК-08932,  СДК-08934)
КНТ-100879 ЯрКамп (СДК-08930, СДК-08931)
КНТ-101282 Меланж (СДК-09082, СДК-09084)</t>
  </si>
  <si>
    <r>
      <t>Фактическое выполнение 108%
Активности 13:
1)Сч-192790 Полимерсбыт (Оплаченные счета от 50 т.р.)
2)Сч-195678 Новый город УК  (Оплаченные счета от 50 т.р.)
3)Сч-195795 Комитас (Оплаченные счета от 50 т.р.)
4)Сч-195394 ИП Буддалова Наталья Юрьевна (Оплаченные счета от 50 т.р.)
5) СДК-09014 МФЦ Ярославской области  (СДК, занесённые в 1С от 350 т.р.)
6) СДК-08943 Балаково МЗ (СДК, занесённые в 1С от 350 т.р.)
7)СДК-08933 ТТК (СДК, занесённые в 1С от 350 т.р.)
8)СДК-08941 НИИК (СДК, занесённые в 1С от 350 т.р.)
9)СДК-08949 Связь ВСД (СДК, занесённые в 1С от 350 т.р.)
10)СДК-08957 Детская школа искусств (СДК, занесённые в 1С от 350 т.р.)
11</t>
    </r>
    <r>
      <rPr>
        <sz val="10"/>
        <rFont val="Calibri"/>
        <family val="2"/>
        <charset val="204"/>
        <scheme val="minor"/>
      </rPr>
      <t>) СДК-09085 МКС Луганск  (СДК, занесённые в 1С от 350 т.р.)
12)СДК-09086 1000ПК Радиочастотный центр - Москва (СДК, занесённые в 1С от 350 т.р.)</t>
    </r>
    <r>
      <rPr>
        <sz val="10"/>
        <color rgb="FFFF0000"/>
        <rFont val="Calibri"/>
        <family val="2"/>
        <charset val="204"/>
        <scheme val="minor"/>
      </rPr>
      <t xml:space="preserve">
</t>
    </r>
    <r>
      <rPr>
        <sz val="10"/>
        <color theme="1"/>
        <rFont val="Calibri"/>
        <family val="2"/>
        <charset val="204"/>
        <scheme val="minor"/>
      </rPr>
      <t xml:space="preserve">13)СДК-08940 Новая Ривьера (СДК, занесённые в 1С от 350 т.р.)
</t>
    </r>
  </si>
  <si>
    <t>Фактическое выполнение 75%
Активности 3:
НИИК
2 884 050 руб.
Допущен до переторжки, подведение итогов.
https://www.b2b-center.ru/app/market/rekonstruktsiia-inzhenernykh-sistem-zashchity-zdaniia-nauka-ao-niik/tender-4417910/
АГРОЭКО-ЛОГИСТИКА
3 080 000 руб.
Проигрыш, конкурент дал цены ниже.
https://www.b2b-center.ru/market/view.html?id=4423106
Связь ВСД
1 094 996 272,09
Рассмотрение заявки. Ожидание переторжки.
https://www.b2b-center.ru/app/market/postavka-sistem-khraneniia-dannykh-skhd/tender-4407811/</t>
  </si>
  <si>
    <t>КНТ-100879</t>
  </si>
  <si>
    <t>КНТ-101282</t>
  </si>
  <si>
    <t xml:space="preserve"> (СДК-08932,  СДК-08934)</t>
  </si>
  <si>
    <t>(СДК-09082, СДК-09084)</t>
  </si>
  <si>
    <t>ЯрКамп</t>
  </si>
  <si>
    <t>Меланж</t>
  </si>
  <si>
    <t>КНТ-100878</t>
  </si>
  <si>
    <t>Выезжали с Георгием на встречу. На встрече был Василий - нач IT.
Филиалы по разным регионам, часть офисов закрыли, много оборудования хранится на складах, большой запас. Поэтому закупки редко бывают.
По печатки их обслуживает Ярославская компания, ремонтируют / меняют на следующий день, любые работы, не пролезть.
IT Аутсорс не рассматривают, придерживаются принципе иметь своих специалистов под задачи, дешевле.
Касательно нового офиса - стройка завершена, коммуникаций и тд там нет. Пока ничего не планируют, т.к. нет команды нанимать сотрудников и ТД. Финансы пока что в другое русло направлены.
У них есть контракт с ситилинком, по которому им бесплатно собирают и доставляют. Василий ранее открывал филиалы Ситилинка в Ярославле, поэтому есть свои контакты.
Касательно инфо беза - их пытались взломать пару раз, ведь рядом находится важный объект. Хоть у них и не используется специальное ПО, справляются силами железа и норм.
Пользуются почтой от Mail, платят порядка 700-800к за это. Не против рассмотреть аналоги.
Задачи:
1)Закинуть аналоги по почтовым сервисам;
2)В будущем планируют вынести ЦОД в контейнер, сейчас находится в центре здания где вокруг кабинеты. Скорее всего на 2026 год переходит</t>
  </si>
  <si>
    <t>Выехали на встречу вместе с Георгием. На встрече был Виталий.
Финансов особо не выделяют на закупки, стараются закупиться через конкурс с запасом сразу на полгода/год.
Частично закупки идут в клиентов (как например телефония из ближайших).
Касательно информационной безопасности особо ничего нет, пользуются функциями маршрутизаторов.
Есть специалист по ИБ который периодически ходит на наши конференции. Но это больше личный интерес.
Недавно переехали в новый офис, оборудование поставили старое со складов.
Привезли недавно видосерверы Qtech, хорошо работают, всё устраивает.
Закупает такое оборудование Москва, через них только.
По запросам:
1)Обсудили высокие цены на комплектующие. Не против рассмотреть реестровые ПК/Мини - ПК/Моноблоки. Если они будут по цене дешевле чем покупать отдельно SSD и Оперативку. Закинуть вендорам;
2)По закупке телефонии тоже готовы рассмотреть Реестровые аналоги, закинуть другим вендорам;</t>
  </si>
  <si>
    <t>Встретился с ITшником Александром Дубовым.
Есть серверная комната, 2 сервака около 130 ПК
Есть начальника отдела снабжения Чечурин Александр Валентинович.. 
Александр направляем ему запрос, Чечурин раскидывает по поставщикам, собирает цены и согласовывают закупки у генерального директора. 
Я с ним периодчески тоже общаюсь, присылает запросы, хоть и маленькие.
Часто закупаются в основном в рознице, Ситилинк Комус DNS из-за низких цен  и коротких сроков.
ПО не покупают - экономят на всём.
По инженерке глухо, не помнит чтобы камеры покупали или что - то такое.
По потребностям:
1)Ранее поставляли картриджи для печатного устройства. Устройство сломалось, ищут новое или аналог.
2)Планируется закупка сервера на вторую половину 2026 года. По параметрам пришлёт ТЗ, пока формируют. Самосбор или б/у рассматривают.</t>
  </si>
  <si>
    <t>(СДК-08930, СДК-08931)</t>
  </si>
  <si>
    <t>Анализ деятельности апрель 2026.</t>
  </si>
  <si>
    <t>14.69</t>
  </si>
  <si>
    <t>Профит ФГ 26-27</t>
  </si>
  <si>
    <t>СДК-08943</t>
  </si>
  <si>
    <t>СДК-09086</t>
  </si>
  <si>
    <t>СДК-09085</t>
  </si>
  <si>
    <t>СДК-09014</t>
  </si>
  <si>
    <t>СДК-08933</t>
  </si>
  <si>
    <t>СДК-08941</t>
  </si>
  <si>
    <t>СДК-08934</t>
  </si>
  <si>
    <t>СДК-08957</t>
  </si>
  <si>
    <t>СДК-08932</t>
  </si>
  <si>
    <t>СДК-08940</t>
  </si>
  <si>
    <t>СДК-08949</t>
  </si>
  <si>
    <t>СДК-08836</t>
  </si>
  <si>
    <t>СДК-08930</t>
  </si>
  <si>
    <t>СДК-08931</t>
  </si>
  <si>
    <t>СДК-09082</t>
  </si>
  <si>
    <t>СДК-09084</t>
  </si>
  <si>
    <t>Балаково МЗ</t>
  </si>
  <si>
    <t>Радиочастотный центр - Москва</t>
  </si>
  <si>
    <t>МФЦ Ярославской области</t>
  </si>
  <si>
    <t>Детская школа искусств № 6 г. Иваново</t>
  </si>
  <si>
    <t>Новая Ривьера</t>
  </si>
  <si>
    <t>Комплектующие Cisco</t>
  </si>
  <si>
    <t>1000 ПК</t>
  </si>
  <si>
    <t>Джамперы 2000 шт.</t>
  </si>
  <si>
    <t>Терминалы электронной очереди</t>
  </si>
  <si>
    <t>Оборудование Cisco.</t>
  </si>
  <si>
    <t>Реестровые комплектующие</t>
  </si>
  <si>
    <t>Интерактивные панели и оргтехника</t>
  </si>
  <si>
    <t>Телефония</t>
  </si>
  <si>
    <t>ПО MS</t>
  </si>
  <si>
    <t>Проектор Sony</t>
  </si>
  <si>
    <t>ПО для Видеоконференцсвявзи (прошлая СДК-08190)</t>
  </si>
  <si>
    <t>Почтовый сервис</t>
  </si>
  <si>
    <t>Сервер 1 шт.</t>
  </si>
  <si>
    <t>Плоттер</t>
  </si>
  <si>
    <t>Апрель 26 г.</t>
  </si>
  <si>
    <t>СДК-08938</t>
  </si>
  <si>
    <t>Принтеры пластиковых карт</t>
  </si>
  <si>
    <t>СДК-09156</t>
  </si>
  <si>
    <t>СДК-09155</t>
  </si>
  <si>
    <t>СДК-09154</t>
  </si>
  <si>
    <t>СДК-09150</t>
  </si>
  <si>
    <t>Серверные комплектующие HP</t>
  </si>
  <si>
    <t>Телефоны Panasonic</t>
  </si>
  <si>
    <t>СДК-09153</t>
  </si>
  <si>
    <t>СДК-09152</t>
  </si>
  <si>
    <t>СДК-09151</t>
  </si>
  <si>
    <t>Модули для промышленный компьютеров</t>
  </si>
  <si>
    <t>ПК и оргтехника</t>
  </si>
  <si>
    <t>1.3. Динамика продаж год к году 2024/2025/2026 (апрель-апрель)</t>
  </si>
  <si>
    <t>Оргтехника, периферия</t>
  </si>
  <si>
    <t>ПК, Оргтехника</t>
  </si>
  <si>
    <t>Хранение</t>
  </si>
  <si>
    <t>КЦОД</t>
  </si>
  <si>
    <t>"Заполнить продуктовую матрицу по действующей УКБ
5 000 / задача</t>
  </si>
  <si>
    <t>5000 / 100%</t>
  </si>
  <si>
    <t>Выполнить 10 активностей по клиентам из СП
1. Оплаченные счета от 50 т.р.,
2. Договора (отсрочка/рассрочка) от 100 т.р.,
3. СДК, занесенные в 1С от 350 т.р.,
* В рамках одного клиента идет в отчет один из перечисленных пунктов
6 т.р. / задача
(перевыполнение пропорционально, макс х1.5)</t>
  </si>
  <si>
    <t>Провести 5 встреч с клиентами
3 т.р. / задача
(перевыполнение пропорционально, макс х2)</t>
  </si>
  <si>
    <t xml:space="preserve">Фактическое выполнение 20%
Активности 1:
1) КНТ-101900    ОК УФСИН </t>
  </si>
  <si>
    <t>Фактическое выполнение 100%
Активности 32:
1)Костромская ПБСТИН
2)Спортмастер
3)Полимер Экспорт
4)РЦ Автодилер
5)Связь ВСД
6)Клиника №1
7)НИИК
8)ИЛК
9)WorlClass
10)ЦКБ по СПК им. Р.Е. Алексеева
11)Меланж
12)Спанлайн
13)Клиника луч
14)ИП Федосеева
15)ИКТ
16)ЯрКамп
17)Комитас
18)Полимерсбыт
19)Экомера
20)Бигам
21)МФЦ Ярославской области
22)Армос Маркет
23)МКС Луганск
24)Балаково МЗ
25)Армос-блок
26)Автоматика Ярославль
27)ТТК Иваново
28)Образовательный комплекс
29)Газсервис Иваново
30)ГМЗ АГАТ
31)Альфа-строй Иваново
32)УФСИН по Ивановской области</t>
  </si>
  <si>
    <t>Фактическое выполнение 110%
Активности 11:
1) СДК-09267 СпортМастер (СДК, занесённые в 1С от 350 т.р.)
2) СДК-09270 МКС Луганск (СДК, занесённые в 1С от 350 т.р.)
3) Сч-196882 ИКТ (Ивановский кооперативный техникум)  (Оплаченные счета от 50 т.р.)
4) Сч-197060 МФЦ Ярославской области (отсрочка/рассрочка) от 100 т.р.
5) СДК-09268 РВБ(покупатель) (СДК, занесённые в 1С от 350 т.р.)
6) СДК-09339 Радиочастотный центр - Москва  (СДК, занесённые в 1С от 350 т.р.)
7) СДК-09387 Родниковский комплексный центр  (СДК, занесённые в 1С от 350 т.р.)
8) СДК-09386 Экомера (СДК, занесённые в 1С от 350 т.р.)    
9) СДК-09338  СПЕЦПЕТРОСЕРВИС (СДК, занесённые в 1С от 350 т.р.)
 10)  СДК-09389 СКБ ПА ОАО (СДК, занесённые в 1С от 350 т.р.)
11) Сч-197402 Металл Альянс (Оплаченные счета от 50 т.р.)</t>
  </si>
  <si>
    <t>ОК УФСИН России по Ивановской Области, ФКУ</t>
  </si>
  <si>
    <t>КНТ-101900</t>
  </si>
  <si>
    <t>Встречу провели с Михаилом, начальником IT.
По зонам ответственности подтвердилось - подбор оборудования,сбор предложений, формирование ТЗ.
ТЗ пытаются делать максимально простым, для открытой конкуренции.
Закупки конкурсами, больше отечественные решения.
Бывают мелкие закупки через площадку на 100к через сбер аст,но там ИПшники заходят часто.
Есть ограничения по суммам закупок оборудования - печатка +-50к, АРМ +-85К.
По формату выделения средств - пишут заявку на оборудования (без конкретики), образно - "надо 10 серверов".
Дальше ждут пока выделят средства. Уже под выделенные средства подстраивают ТЗ чтобы уложиться в бюджет.
В планах закупка серверов, запрос уже направили руководству, обычно бюджет к осени выделяют и закупка осенью происходит.
Ещё будет закупка ИБП как в прошлых конкурсах, посмотреть ТЗ, позапрашивать цены.
Обычно у них в конкурсах компания из Нижнего Новгорода участвует и забирает (дочерняя там Мегатрон).
Головной офис обязал перейти всех с IDeco на континент. 
Коммутационное оборудование пока смешанное - Juniper и Cisco.
Будут переходить на отечетсвенные решения, можно предложить тест,как и по серверам.
По печатке ранее был конкурс на Катюши, в котором мы не участвовали.
В итоге закупили Пантумы.
По видеонаблюдению бывают закупки, готов обращаться к нам с запросами.</t>
  </si>
  <si>
    <t>Анализ деятельности май 2026.</t>
  </si>
  <si>
    <t>ИКТ (Ивановский кооперативный техникум)</t>
  </si>
  <si>
    <t>СХД, Диски</t>
  </si>
  <si>
    <t>СДК-09389</t>
  </si>
  <si>
    <t>СДК-09267</t>
  </si>
  <si>
    <t>СДК-09338</t>
  </si>
  <si>
    <t>СДК-09387</t>
  </si>
  <si>
    <t>СДК-09266</t>
  </si>
  <si>
    <t>СДК-09295</t>
  </si>
  <si>
    <t>СпортМастер</t>
  </si>
  <si>
    <t>СПЕЦПЕТРОСЕРВИС</t>
  </si>
  <si>
    <t>Родниковский комплексный центр соц.обслуживания населения</t>
  </si>
  <si>
    <t>Импортозамещение</t>
  </si>
  <si>
    <t>Закупка серверов с ТП</t>
  </si>
  <si>
    <t>Запрос на ССД и ПО</t>
  </si>
  <si>
    <t>ПК и МФУ</t>
  </si>
  <si>
    <t>Ежегодная закупка Касперского</t>
  </si>
  <si>
    <t>Веб камеры</t>
  </si>
  <si>
    <t>СДК-09339</t>
  </si>
  <si>
    <t>СДК-09388</t>
  </si>
  <si>
    <t>СДК-09386</t>
  </si>
  <si>
    <t>СДК-09270</t>
  </si>
  <si>
    <t>СДК-09436</t>
  </si>
  <si>
    <t>СДК-09438</t>
  </si>
  <si>
    <t>АРЕС ЭКИПАЖ</t>
  </si>
  <si>
    <t>Металл Альянс</t>
  </si>
  <si>
    <t>Закупка 40 серверов</t>
  </si>
  <si>
    <t>Check Point</t>
  </si>
  <si>
    <t>Запрос на коммутаторы</t>
  </si>
  <si>
    <t>МФУ 4 шт.</t>
  </si>
  <si>
    <t>4 000 / 100%
max 150%</t>
  </si>
  <si>
    <t>6000 / 100%</t>
  </si>
  <si>
    <t>Принять участие в 5 профильных конкурсах от 500 т.р., в которых мы подали документы и нас не отклонили
2 000 / задача
перевыполнение 
max x2</t>
  </si>
  <si>
    <t>Выполнить 5 активностей по СП: 
1. Оплаченные счета от 50 т.р.,
2. Договора (отсрочка/рассрочка) от 100 т.р.,
3. СДК, занесенные в 1С от 350 т.р.,
* В рамках одного клиента идет в отчет один из перечисленных пунктов.
4 000 / 5 штук
перевыполнение пропорционально 
max х2</t>
  </si>
  <si>
    <t>Согласовать с руководителем 2 направления по продуктовой матрице.
По направлению составить и согласовать список вопросов для проработки.
По каждому направлению прозвонить действующую УКБ и заполнить в матрице новую страницу с выбранным направлением по списку вопросов.
Карточка считается заполненной при наполнении от 80% информации.
Контакт с клиентом должен быть зафиксирован в 1С.
3 000 / направление</t>
  </si>
  <si>
    <t>Фактическое выполнение 0%</t>
  </si>
  <si>
    <t>3000 / 100%</t>
  </si>
  <si>
    <t>Анализ деятельности июнь 2026.</t>
  </si>
  <si>
    <t>Комитас</t>
  </si>
  <si>
    <t>СДК-09539</t>
  </si>
  <si>
    <t>САМОТЛОРНЕФТЕПРОМХИМ</t>
  </si>
  <si>
    <t>СДК-09541</t>
  </si>
  <si>
    <t>Арбитражный суд Ивановской области</t>
  </si>
  <si>
    <t>СДК-09575</t>
  </si>
  <si>
    <t>ГКУ Калиниградской области</t>
  </si>
  <si>
    <t>СДК-09542</t>
  </si>
  <si>
    <t>СДК-09557</t>
  </si>
  <si>
    <t>СДК-09536</t>
  </si>
  <si>
    <t>СДК-09503</t>
  </si>
  <si>
    <t>Запрос по спецификации</t>
  </si>
  <si>
    <t>Расходники Катюша</t>
  </si>
  <si>
    <t>Оргтехника для офиса</t>
  </si>
  <si>
    <t>Запрос на 4 ТСД Атол</t>
  </si>
  <si>
    <t>Декабрь 26 г.</t>
  </si>
  <si>
    <t>Управление образования Администрации города Иванова</t>
  </si>
  <si>
    <t>Оборудование ВКС</t>
  </si>
  <si>
    <t>Расходники, мини ПК</t>
  </si>
  <si>
    <t>Оборудование для СВН</t>
  </si>
  <si>
    <t>Принтеры карт</t>
  </si>
  <si>
    <t>Детская школа искусств города Иванова</t>
  </si>
  <si>
    <t>ПО Alive</t>
  </si>
  <si>
    <t>Фактическое выполнение 80%
Активности 4:
КУПИШУЗ Lamoda
https://bidzaar.com/app/process/light/019e5f45-6516-70ae-8445-e55ecca93c36
СВЯЗЬ ВСД Поставка серверного оборудования
https://www.b2b-energo.ru/app/market/postavka-servernogo-oborudovaniia-dlia-ob-ektnogo-khranilishcha/tender-4452008/
САМОТЛОРНЕФТЕПРОМХИМ (подча до 16.06.)
https://www.b2b-center.ru/market/view.html?id=4452090
Связь ВСД Поставка систем хранения данных
https://www.b2b-energo.ru/app/market/postavka-sistem-khraneniia-dannykh-skhd/tender-4461942/
Плановые активности 1 шт.:
1) МФЦ Ярославской области (до конца месяца)
Конкурс на терминалы электронной очереди</t>
  </si>
  <si>
    <t>Фактическое выполнение 180%
Активности 9:
1) СДК-09267 СпортМастер (СДК, занесённые в 1С от 350 т.р.)
2) Сч-197574 Трикотаж с любовью (Оплаченные счета от 50 т.р.)
3) Сч-195976 Управление образования Администрации города Иванова (Оплаченные счета от 50 т.р.)
4) СДК-09541 Арбитражный суд Ивановской области  (СДК, занесённые в 1С от 350 т.р.)
5) Сч-198135 Комитас (Оплаченные счета от 50 т.р.)
6) Сч-196654 Ультрастаб (Оплаченные счета от 50 т.р.)
7) Сч-198215 ИКТ (Ивановский кооперативный техникум)  (Оплаченные счета от 50 т.р.)
8) СДК-09575 ГКУ Калиниградской области (СДК, занесённые в 1С от 350 т.р.)
9) Сч-198578 Детская школа искусств города Иванова (Оплаченные счета от 50 т.р.)</t>
  </si>
  <si>
    <t xml:space="preserve">Провести 3 результативные встречи (или ВКС для клиентов из других регионов) с клиентами.
</t>
  </si>
  <si>
    <t xml:space="preserve">
Оплата: 4 500 / задача
перевыполнение пропорционально 
max х2</t>
  </si>
  <si>
    <t xml:space="preserve">За месяц сгенерированы 7 сделок с оборотом от 300 т.р. и выше. 
В учет идут сделки по разным направлениям, но не более 2 штук в одного клиента.
*СДК со встреч учитываются в другой задаче.
</t>
  </si>
  <si>
    <t xml:space="preserve">
Оплата: 7 000 / 7 штук
перевыполнение пропорционально 
max х2</t>
  </si>
  <si>
    <t xml:space="preserve">Согласовать с руководителем направление по продуктовой матрице.
По направлению составить и согласовать список вопросов для проработки.
По каждому направлению прозвонить действующую УКБ и заполнить в матрице новую страницу с выбранным направлением по списку вопросов.
Карточка считается заполненной при наполнении от 80% информации.
Контакт с клиентом должен быть зафиксирован в 1С.
</t>
  </si>
  <si>
    <t>Оплата: 3 500 / задача</t>
  </si>
  <si>
    <t>СДК-09793</t>
  </si>
  <si>
    <t>СДК-09792</t>
  </si>
  <si>
    <t>Планшеты для клиники</t>
  </si>
  <si>
    <r>
      <t xml:space="preserve">Фактическое выполнение 100%
1) </t>
    </r>
    <r>
      <rPr>
        <sz val="10"/>
        <rFont val="Calibri"/>
        <family val="2"/>
        <charset val="204"/>
        <scheme val="minor"/>
      </rPr>
      <t>КНТ-103819 Омега 3 (СДК-09792, СДК-09794)</t>
    </r>
    <r>
      <rPr>
        <sz val="10"/>
        <color theme="1"/>
        <rFont val="Calibri"/>
        <family val="2"/>
        <charset val="204"/>
        <scheme val="minor"/>
      </rPr>
      <t xml:space="preserve">
2) КНТ-103821 Армос-Блок (СДК-09889, СДК-09891)
3) КНТ-104093 Альфа-строй Иваново (СДК-10005, )</t>
    </r>
  </si>
  <si>
    <t xml:space="preserve">Фактическое выполнение 100%
Сервер Меланж-Текстиль 
 СДК-09751 Газпром Газораспределение Петрозаводск
</t>
  </si>
  <si>
    <t>ЯрКамп - Сервис</t>
  </si>
  <si>
    <t>IT Аутсорс</t>
  </si>
  <si>
    <t>Комплектующие, Оргтехника</t>
  </si>
  <si>
    <t>Неттоп</t>
  </si>
  <si>
    <t>СДК-09936</t>
  </si>
  <si>
    <t>Коммутаторы Huawei</t>
  </si>
  <si>
    <t>Август 2026 г.</t>
  </si>
  <si>
    <t>СДК-09848</t>
  </si>
  <si>
    <t>ФКУ ЦИТОВ УФСИН РОССИИ ПО ИВАНОВСКОЙ ОБЛАСТИ</t>
  </si>
  <si>
    <t>Континент 7 шт.</t>
  </si>
  <si>
    <t>СДК-09846</t>
  </si>
  <si>
    <t>Сервер 1 шт. самосборный</t>
  </si>
  <si>
    <t>СДК-10006</t>
  </si>
  <si>
    <t>Экшн-камеры</t>
  </si>
  <si>
    <t>Сентябрь 2026 г.</t>
  </si>
  <si>
    <t>СДК-09870</t>
  </si>
  <si>
    <t>Комитет Ивановской области по делам гражданской обороны и защиты населения</t>
  </si>
  <si>
    <t>Закупка Катюш мфу</t>
  </si>
  <si>
    <t>СДК-09888</t>
  </si>
  <si>
    <t>Комплектующие для ПК</t>
  </si>
  <si>
    <t>СДК-10005</t>
  </si>
  <si>
    <t>Закупка NAS СХД</t>
  </si>
  <si>
    <t>СДК-09883</t>
  </si>
  <si>
    <t>Администрация Мышкинского МР, МУ</t>
  </si>
  <si>
    <t>Мультимедиа оборудование для актового зала</t>
  </si>
  <si>
    <t>Март 2027 г.</t>
  </si>
  <si>
    <t>СДК-09889</t>
  </si>
  <si>
    <t>Армос-Блок</t>
  </si>
  <si>
    <t>Сервер под ERP</t>
  </si>
  <si>
    <t>СДК-09891</t>
  </si>
  <si>
    <t>Система WMS и оборудование</t>
  </si>
  <si>
    <t>СДК-09973</t>
  </si>
  <si>
    <t>Закупка оргтехники и ПК</t>
  </si>
  <si>
    <t>Октябрь 2026 г.</t>
  </si>
  <si>
    <t>СДК-09844</t>
  </si>
  <si>
    <t>Июль 2026 г.</t>
  </si>
  <si>
    <t>СДК-09845</t>
  </si>
  <si>
    <t>Телефония Yealink и Fanvil</t>
  </si>
  <si>
    <t>СДК-09847</t>
  </si>
  <si>
    <t>ПК 1 шт.</t>
  </si>
  <si>
    <t>СДК-09751</t>
  </si>
  <si>
    <t>Газпром Газораспределение Петрозаводск</t>
  </si>
  <si>
    <t>Сервера реестровые</t>
  </si>
  <si>
    <t>Декабрь 2026 г.</t>
  </si>
  <si>
    <t>СДК-09754</t>
  </si>
  <si>
    <t>АРМ реестровые</t>
  </si>
  <si>
    <t>СДК-09755</t>
  </si>
  <si>
    <t>МФУ Реестровые (Катюша)</t>
  </si>
  <si>
    <t>Апрель 2027 г.</t>
  </si>
  <si>
    <t>СДК-09757</t>
  </si>
  <si>
    <t>МСЭ</t>
  </si>
  <si>
    <t>Февраль 2027 г.</t>
  </si>
  <si>
    <t>СДК-09794</t>
  </si>
  <si>
    <t>Инженерка и оборудование для  новой клиники</t>
  </si>
  <si>
    <t>2026-07-31</t>
  </si>
  <si>
    <t>КНТ-104093</t>
  </si>
  <si>
    <t>СДК-10005, СДК-10006</t>
  </si>
  <si>
    <t>На встрече присутствовал закупщик Дмитрий и инженер Александр.
По серверному обрудованию - последний купленный закрывает все потребности.
Печатное оборудование пока не требуется, расход небольшой плюс есть фирма в соседнем здании - напишут модели которые покупают, ради интереса посчитаем, но врядли пройдём.
ПО не покупают и не планируют, нет запросов. Тестировать пока ничего не будут, нет времени, возможно в след. году.
По инженерке для нас задач нет, сами монтируют, только если железо брать. На счёт железа как раз есть запросы:
1)Планируется закупка экшн-камер, пришлёт в понедельник модели, порядка 30 шт. Уже запрашивали у поставщика в москве - 23-24к за шт.
2)Осенью будут нужны 2 шт. NAS хранилища, DAS прошлые не подошли. Посмотреть на Synology и по минимум 2 диска в каждый на 14 ТБ.
3)Вопрос жестких дисков актуален всегда, если будет хорошая цена - всегда готовы брать (частая потребность). 1-2-4-8 ТБ</t>
  </si>
  <si>
    <t>2026-07-23</t>
  </si>
  <si>
    <t>КНТ-103821</t>
  </si>
  <si>
    <t>СДК-09889, СДК-09891</t>
  </si>
  <si>
    <t>Генерация СДК. Знакомство с клиентом.</t>
  </si>
  <si>
    <t>Провели встречу в главном филиале Армос.
Закрывают некоторые точки продаж, из Иваново много оборудование перевезли в Химтекс, там же будут сервера 1С.
Осталось 3    1Сника.
Помимо Михаила есть 1 ITшник в Армос Маркете и один в Хим тексе.
Компьютеров порядка 150 шт. Большой подменный фонд с закрывшихся точек.
Много печатных устройств, но они им не нравятся. Пантумы станые модели говно (новые в тест можно).
Берут в итоге Киосеру. Но есть ньюансы с заправками, чипами и тд, просят через раз оригиналы.
Можно запросить демо и направить им какие -нибудь модели (цветные нужны!).
ПО не покупают, нет необходимости.
Будет закупка серверов, скорее всего в следующем году, держать на контроле:
1)Сервер под ERP , 9-10  поколения DDR5. Делали расчёт в сервис моле, +- 1.8 млн дали. Пока жесткой необходимости нет, но держать на контроле. (платформа дешёвая за 100к)
2)Сервер под WM системы. Туда же будут нужны канеры, принтеры и многое другое.Можно запросить сканеры для тестов от Godex. Mindeo не понравились. Сейчас используют Zebra за 4500 руб., закупают через Ozon (сразу с НДС). Тоже касается и расходников, 100% можно поработать, запросить в тест.
За видеонаблюдение и отвечает другой сотрудник, нужно будет потом связаться.
Базово обращаются в вичугу за решениями, врядли сможем залезть, но попробовать стоит.
Недавно выиграли что-то типо гранта и построили производство.
Там установили 70 камер +-. Ну и плюс остальные.
Вроде бы заметили что частично старые камеры аналоговые, надо уточнить, мб будут обновляться.</t>
  </si>
  <si>
    <t>2026-07-04</t>
  </si>
  <si>
    <t>КНТ-103819</t>
  </si>
  <si>
    <t>СДК-09792, СДК-09794</t>
  </si>
  <si>
    <t>Генерация СДК. Вопрос закрытия долга.</t>
  </si>
  <si>
    <t>Встреча от 04.07.
СДК-09792, СДК-09844
На встрече присутствовал исполнительный - Арсен Шагенович , директор клиники - Лариса Ренатовна и ITспециалист Виталий Михайлович.
Клинику почти доделали, готовятся к открытию.
Директор - владелец РИО. Виталий как раз там работает, есть ещё закупщица Ольга.
Есть ряд проблем ввиду смерти старого ITшника Анатолия, часть оборудования в принципе найти не могут и тд.
Попросили придумать что то с телевизорами, кронштейнами и планшетами. Предложил им вариант чтобы они их сотрудникам в виде ЗП предложили - отличный вариант.
По задачам - Виталий сетку настроил, ничего особо не требуется. Единственное с настройкой сканера нужна была помощь, я обратился к вендору - всё решили.
По текущим задачам:
1)Планируют закупку сканеров для врачей, чтобы вносили информацию по клиентам и тд.
2)У Арсена Шагеновича идёт стройка в москве (порядка 7000 кв. метров). Туда будут нужны коммуникация, оборудование и тд.
К разговору по этому проекту придём в августе, пока пауза.</t>
  </si>
  <si>
    <t>Провести 3 результативные встречи (или ВКС для клиентов из других регионов) с клиентами.</t>
  </si>
  <si>
    <t>За месяц сгенерированы 7 сделок с оборотом от 300 т.р. и выше. 
В учет идут сделки по разным направлениям, но не более 2 штук в одного клиента.
*СДК со встреч учитываются в другой задаче.</t>
  </si>
  <si>
    <t>Согласовать с руководителем направление по продуктовой матрице.
По направлению составить и согласовать список вопросов для проработки.
По каждому направлению прозвонить действующую УКБ и заполнить в матрице новую страницу с выбранным направлением по списку вопросов.
Карточка считается заполненной при наполнении от 80% информации.
Контакт с клиентом должен быть зафиксирован в 1С.</t>
  </si>
  <si>
    <t>Фактическое выполнение 100%
1) СДК-09973  РЯЗАНСКИЙ КОЛЛЕДЖ КУЛЬТУРЫ
2)  СДК-09936 МКС Луганск
3) СДК-09870 Комитет Ивановской области по делам гражданской обороны и защиты населения
4) СДК-09888 (Комплектующие направление)  ФКУ ЦИТОВ УФСИН
5) СДК-09846 ЭКОМЕРА
6) СДК-09848(ИБ направление) ФКУ ЦИТОВ УФСИН
7) СДК-09793 МФЦ Ярославской области
8) СДК-09844 Омега 3</t>
  </si>
  <si>
    <t>Фактическое выполнение 100%
1) КНТ-103819 Омега 3 (СДК-09792, СДК-09794)
2) КНТ-103821 Армос-Блок (СДК-09889, СДК-09891)
3) КНТ-104093 Альфа-строй Иваново (СДК-10005, СДК-10006)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</si>
</sst>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 #,##0.00\ &quot;₽&quot;_-;\-* #,##0.00\ &quot;₽&quot;_-;_-* &quot;-&quot;??\ &quot;₽&quot;_-;_-@_-"/>
    <numFmt numFmtId="164" formatCode="_-* #,##0.00\ _₽_-;\-* #,##0.00\ _₽_-;_-* &quot;-&quot;??\ _₽_-;_-@_-"/>
    <numFmt numFmtId="165" formatCode="#,##0\ &quot;₽&quot;"/>
    <numFmt numFmtId="166" formatCode="#,##0.00\ &quot;₽&quot;"/>
    <numFmt numFmtId="167" formatCode="_-* #,##0_р_._-;\-* #,##0_р_._-;_-* &quot;-&quot;??_р_._-;_-@_-"/>
    <numFmt numFmtId="168" formatCode="0.0%"/>
    <numFmt numFmtId="169" formatCode="#,##0\ _₽"/>
    <numFmt numFmtId="170" formatCode="[$-419]mmmm\ yyyy;@"/>
    <numFmt numFmtId="171" formatCode="[$-F800]dddd\,\ mmmm\ dd\,\ yyyy"/>
    <numFmt numFmtId="172" formatCode="#,##0.00\ [$₽-419]"/>
    <numFmt numFmtId="173" formatCode="_-* #,##0.00\ [$₽-419]_-;\-* #,##0.00\ [$₽-419]_-;_-* &quot;-&quot;??\ [$₽-419]_-;_-@_-"/>
  </numFmts>
  <fonts count="78" x14ac:knownFonts="1">
    <font>
      <sz val="11"/>
      <color theme="1"/>
      <name val="Calibri"/>
      <family val="2"/>
      <scheme val="minor"/>
    </font>
    <font>
      <sz val="11"/>
      <color theme="1"/>
      <name val="Calibri"/>
      <family val="2"/>
      <charset val="204"/>
      <scheme val="minor"/>
    </font>
    <font>
      <sz val="11"/>
      <color theme="1"/>
      <name val="Calibri"/>
      <family val="2"/>
      <scheme val="minor"/>
    </font>
    <font>
      <sz val="18"/>
      <color theme="3"/>
      <name val="Calibri Light"/>
      <family val="2"/>
      <charset val="204"/>
      <scheme val="major"/>
    </font>
    <font>
      <b/>
      <sz val="15"/>
      <color theme="3"/>
      <name val="Calibri"/>
      <family val="2"/>
      <charset val="204"/>
      <scheme val="minor"/>
    </font>
    <font>
      <sz val="11"/>
      <color rgb="FF9C0006"/>
      <name val="Calibri"/>
      <family val="2"/>
      <charset val="204"/>
      <scheme val="minor"/>
    </font>
    <font>
      <b/>
      <sz val="12"/>
      <name val="Calibri"/>
      <family val="2"/>
      <scheme val="minor"/>
    </font>
    <font>
      <sz val="10"/>
      <color theme="1"/>
      <name val="Calibri"/>
      <family val="2"/>
      <scheme val="minor"/>
    </font>
    <font>
      <b/>
      <sz val="10"/>
      <color theme="3"/>
      <name val="Calibri"/>
      <family val="2"/>
      <scheme val="minor"/>
    </font>
    <font>
      <sz val="11"/>
      <name val="Calibri"/>
      <family val="2"/>
      <scheme val="minor"/>
    </font>
    <font>
      <sz val="10"/>
      <color theme="3"/>
      <name val="Calibri"/>
      <family val="2"/>
      <scheme val="minor"/>
    </font>
    <font>
      <sz val="10"/>
      <name val="Calibri"/>
      <family val="2"/>
      <scheme val="minor"/>
    </font>
    <font>
      <b/>
      <sz val="10"/>
      <color theme="1"/>
      <name val="Calibri"/>
      <family val="2"/>
      <scheme val="minor"/>
    </font>
    <font>
      <sz val="10"/>
      <color theme="0"/>
      <name val="Calibri"/>
      <family val="2"/>
      <scheme val="minor"/>
    </font>
    <font>
      <b/>
      <sz val="10"/>
      <color theme="0"/>
      <name val="Calibri"/>
      <family val="2"/>
      <scheme val="minor"/>
    </font>
    <font>
      <sz val="10"/>
      <color theme="0"/>
      <name val="Calibri"/>
      <family val="2"/>
      <charset val="204"/>
      <scheme val="minor"/>
    </font>
    <font>
      <b/>
      <sz val="10"/>
      <name val="Calibri"/>
      <family val="2"/>
      <scheme val="minor"/>
    </font>
    <font>
      <b/>
      <i/>
      <sz val="10"/>
      <color theme="0"/>
      <name val="Calibri"/>
      <family val="2"/>
      <scheme val="minor"/>
    </font>
    <font>
      <b/>
      <i/>
      <sz val="10"/>
      <color theme="1"/>
      <name val="Calibri"/>
      <family val="2"/>
      <scheme val="minor"/>
    </font>
    <font>
      <b/>
      <i/>
      <sz val="10"/>
      <color rgb="FF00B050"/>
      <name val="Calibri"/>
      <family val="2"/>
      <scheme val="minor"/>
    </font>
    <font>
      <b/>
      <i/>
      <sz val="10"/>
      <color rgb="FFFF0000"/>
      <name val="Calibri"/>
      <family val="2"/>
      <scheme val="minor"/>
    </font>
    <font>
      <b/>
      <sz val="11"/>
      <name val="Calibri"/>
      <family val="2"/>
      <scheme val="minor"/>
    </font>
    <font>
      <sz val="8"/>
      <name val="Times New Roman"/>
      <family val="1"/>
      <charset val="204"/>
    </font>
    <font>
      <sz val="10"/>
      <name val="Calibri"/>
      <family val="2"/>
      <charset val="204"/>
      <scheme val="minor"/>
    </font>
    <font>
      <sz val="10"/>
      <color rgb="FF000000"/>
      <name val="Calibri"/>
      <family val="2"/>
      <scheme val="minor"/>
    </font>
    <font>
      <sz val="10"/>
      <color rgb="FFFF0000"/>
      <name val="Calibri"/>
      <family val="2"/>
      <scheme val="minor"/>
    </font>
    <font>
      <b/>
      <sz val="9"/>
      <color indexed="81"/>
      <name val="Tahoma"/>
      <family val="2"/>
      <charset val="204"/>
    </font>
    <font>
      <sz val="9"/>
      <color indexed="81"/>
      <name val="Tahoma"/>
      <family val="2"/>
      <charset val="204"/>
    </font>
    <font>
      <sz val="10"/>
      <name val="Calibri"/>
      <family val="2"/>
      <charset val="204"/>
      <scheme val="minor"/>
    </font>
    <font>
      <b/>
      <i/>
      <sz val="10"/>
      <name val="Calibri"/>
      <family val="2"/>
      <charset val="204"/>
      <scheme val="minor"/>
    </font>
    <font>
      <sz val="10"/>
      <color theme="1"/>
      <name val="Calibri"/>
      <family val="2"/>
      <charset val="204"/>
      <scheme val="minor"/>
    </font>
    <font>
      <sz val="10"/>
      <color rgb="FF9C0006"/>
      <name val="Calibri"/>
      <family val="2"/>
      <charset val="204"/>
      <scheme val="minor"/>
    </font>
    <font>
      <b/>
      <sz val="12"/>
      <color theme="1"/>
      <name val="Calibri"/>
      <family val="2"/>
      <scheme val="minor"/>
    </font>
    <font>
      <sz val="11"/>
      <color rgb="FF006100"/>
      <name val="Calibri"/>
      <family val="2"/>
      <charset val="204"/>
      <scheme val="minor"/>
    </font>
    <font>
      <sz val="11"/>
      <name val="Calibri"/>
      <family val="2"/>
      <charset val="204"/>
      <scheme val="minor"/>
    </font>
    <font>
      <sz val="10"/>
      <color theme="1"/>
      <name val="Calibri"/>
      <family val="2"/>
      <charset val="204"/>
      <scheme val="minor"/>
    </font>
    <font>
      <sz val="10"/>
      <color theme="1"/>
      <name val="Calibri"/>
      <family val="2"/>
      <charset val="204"/>
      <scheme val="minor"/>
    </font>
    <font>
      <sz val="10"/>
      <name val="Calibri"/>
      <family val="2"/>
      <charset val="204"/>
      <scheme val="minor"/>
    </font>
    <font>
      <sz val="10"/>
      <color rgb="FF000000"/>
      <name val="Calibri"/>
      <family val="2"/>
      <charset val="204"/>
      <scheme val="minor"/>
    </font>
    <font>
      <i/>
      <sz val="10"/>
      <color rgb="FF00B050"/>
      <name val="Calibri"/>
      <family val="2"/>
      <charset val="204"/>
      <scheme val="minor"/>
    </font>
    <font>
      <sz val="10"/>
      <color theme="1"/>
      <name val="Calibri"/>
      <family val="2"/>
      <charset val="204"/>
      <scheme val="minor"/>
    </font>
    <font>
      <b/>
      <sz val="10"/>
      <color theme="1"/>
      <name val="Calibri"/>
      <family val="2"/>
      <charset val="204"/>
      <scheme val="minor"/>
    </font>
    <font>
      <sz val="10"/>
      <name val="Calibri"/>
      <family val="2"/>
      <charset val="204"/>
      <scheme val="minor"/>
    </font>
    <font>
      <sz val="10"/>
      <color theme="1"/>
      <name val="Calibri"/>
      <family val="2"/>
      <charset val="204"/>
      <scheme val="minor"/>
    </font>
    <font>
      <sz val="10"/>
      <color theme="1"/>
      <name val="Calibri"/>
      <family val="2"/>
      <charset val="204"/>
      <scheme val="minor"/>
    </font>
    <font>
      <sz val="10"/>
      <name val="Calibri"/>
      <family val="2"/>
      <charset val="204"/>
      <scheme val="minor"/>
    </font>
    <font>
      <sz val="10"/>
      <name val="Calibri"/>
      <family val="2"/>
      <charset val="204"/>
      <scheme val="minor"/>
    </font>
    <font>
      <b/>
      <sz val="10"/>
      <name val="Calibri"/>
      <family val="2"/>
      <charset val="204"/>
      <scheme val="minor"/>
    </font>
    <font>
      <sz val="10"/>
      <name val="Calibri"/>
      <family val="2"/>
      <charset val="204"/>
      <scheme val="minor"/>
    </font>
    <font>
      <sz val="10"/>
      <color rgb="FF00B050"/>
      <name val="Calibri"/>
      <family val="2"/>
      <scheme val="minor"/>
    </font>
    <font>
      <sz val="10"/>
      <color rgb="FF00B050"/>
      <name val="Calibri"/>
      <family val="2"/>
      <charset val="204"/>
      <scheme val="minor"/>
    </font>
    <font>
      <sz val="10"/>
      <name val="Calibri"/>
      <family val="2"/>
      <charset val="204"/>
      <scheme val="minor"/>
    </font>
    <font>
      <sz val="10"/>
      <color theme="1"/>
      <name val="Calibri"/>
      <family val="2"/>
      <charset val="204"/>
      <scheme val="minor"/>
    </font>
    <font>
      <sz val="10"/>
      <color rgb="FFFF0000"/>
      <name val="Calibri"/>
      <family val="2"/>
      <charset val="204"/>
      <scheme val="minor"/>
    </font>
    <font>
      <sz val="10"/>
      <name val="Calibri"/>
      <family val="2"/>
      <charset val="204"/>
      <scheme val="minor"/>
    </font>
    <font>
      <i/>
      <sz val="10"/>
      <name val="Calibri"/>
      <family val="2"/>
      <charset val="204"/>
      <scheme val="minor"/>
    </font>
    <font>
      <sz val="10"/>
      <name val="Calibri"/>
      <family val="2"/>
      <charset val="204"/>
      <scheme val="minor"/>
    </font>
    <font>
      <b/>
      <i/>
      <sz val="10"/>
      <color theme="1"/>
      <name val="Calibri"/>
      <family val="2"/>
      <charset val="204"/>
      <scheme val="minor"/>
    </font>
    <font>
      <sz val="9"/>
      <color theme="1"/>
      <name val="Calibri"/>
      <family val="2"/>
      <scheme val="minor"/>
    </font>
    <font>
      <sz val="10"/>
      <name val="Calibri"/>
      <family val="2"/>
      <charset val="204"/>
      <scheme val="minor"/>
    </font>
    <font>
      <i/>
      <sz val="10"/>
      <color theme="1"/>
      <name val="Calibri"/>
      <family val="2"/>
      <charset val="204"/>
      <scheme val="minor"/>
    </font>
    <font>
      <sz val="10"/>
      <name val="Calibri"/>
      <family val="2"/>
      <charset val="204"/>
      <scheme val="minor"/>
    </font>
    <font>
      <sz val="10"/>
      <name val="Calibri"/>
      <family val="2"/>
      <charset val="204"/>
      <scheme val="minor"/>
    </font>
    <font>
      <i/>
      <sz val="10"/>
      <name val="Calibri"/>
      <family val="2"/>
      <charset val="204"/>
      <scheme val="minor"/>
    </font>
    <font>
      <i/>
      <sz val="10"/>
      <name val="Calibri"/>
      <family val="2"/>
      <scheme val="minor"/>
    </font>
    <font>
      <sz val="10"/>
      <name val="Calibri"/>
      <family val="2"/>
      <charset val="204"/>
      <scheme val="minor"/>
    </font>
    <font>
      <sz val="11"/>
      <color indexed="81"/>
      <name val="Tahoma"/>
      <family val="2"/>
      <charset val="204"/>
    </font>
    <font>
      <b/>
      <sz val="11"/>
      <color indexed="81"/>
      <name val="Tahoma"/>
      <family val="2"/>
      <charset val="204"/>
    </font>
    <font>
      <b/>
      <sz val="12"/>
      <color rgb="FFFF0000"/>
      <name val="Calibri"/>
      <family val="2"/>
      <charset val="204"/>
      <scheme val="minor"/>
    </font>
    <font>
      <sz val="9"/>
      <color theme="1"/>
      <name val="Calibri"/>
      <family val="2"/>
      <charset val="204"/>
      <scheme val="minor"/>
    </font>
    <font>
      <sz val="9"/>
      <name val="Calibri"/>
      <family val="2"/>
      <scheme val="minor"/>
    </font>
    <font>
      <sz val="10"/>
      <name val="Calibri"/>
      <family val="2"/>
      <charset val="204"/>
      <scheme val="minor"/>
    </font>
    <font>
      <i/>
      <sz val="10"/>
      <name val="Calibri"/>
      <family val="2"/>
      <charset val="204"/>
      <scheme val="minor"/>
    </font>
    <font>
      <sz val="8"/>
      <name val="Calibri"/>
      <family val="2"/>
      <scheme val="minor"/>
    </font>
    <font>
      <i/>
      <sz val="10"/>
      <color theme="1"/>
      <name val="Calibri"/>
      <family val="2"/>
      <scheme val="minor"/>
    </font>
    <font>
      <sz val="10"/>
      <color theme="1"/>
      <name val="Calibri"/>
      <family val="2"/>
      <charset val="204"/>
    </font>
    <font>
      <b/>
      <sz val="10"/>
      <color theme="0"/>
      <name val="Calibri"/>
      <family val="2"/>
      <charset val="204"/>
      <scheme val="minor"/>
    </font>
    <font>
      <sz val="10"/>
      <color rgb="FF000000"/>
      <name val="Calibri"/>
      <family val="2"/>
      <charset val="204"/>
    </font>
  </fonts>
  <fills count="14">
    <fill>
      <patternFill patternType="none"/>
    </fill>
    <fill>
      <patternFill patternType="gray125"/>
    </fill>
    <fill>
      <patternFill patternType="solid">
        <fgColor rgb="FFFFC7CE"/>
      </patternFill>
    </fill>
    <fill>
      <patternFill patternType="solid">
        <fgColor theme="0"/>
        <bgColor indexed="64"/>
      </patternFill>
    </fill>
    <fill>
      <patternFill patternType="solid">
        <fgColor theme="4" tint="0.59999389629810485"/>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theme="7" tint="0.79998168889431442"/>
        <bgColor indexed="64"/>
      </patternFill>
    </fill>
    <fill>
      <patternFill patternType="solid">
        <fgColor rgb="FF1159CD"/>
        <bgColor indexed="64"/>
      </patternFill>
    </fill>
    <fill>
      <patternFill patternType="solid">
        <fgColor rgb="FFC6EFCE"/>
      </patternFill>
    </fill>
    <fill>
      <patternFill patternType="solid">
        <fgColor theme="4" tint="0.79998168889431442"/>
        <bgColor indexed="64"/>
      </patternFill>
    </fill>
    <fill>
      <patternFill patternType="solid">
        <fgColor rgb="FFFF0000"/>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style="thin">
        <color theme="8" tint="0.39997558519241921"/>
      </left>
      <right/>
      <top/>
      <bottom/>
      <diagonal/>
    </border>
    <border>
      <left/>
      <right/>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indexed="64"/>
      </bottom>
      <diagonal/>
    </border>
    <border>
      <left/>
      <right/>
      <top style="thin">
        <color indexed="64"/>
      </top>
      <bottom style="thin">
        <color indexed="64"/>
      </bottom>
      <diagonal/>
    </border>
    <border>
      <left/>
      <right style="thin">
        <color theme="8" tint="0.39997558519241921"/>
      </right>
      <top/>
      <bottom/>
      <diagonal/>
    </border>
    <border>
      <left style="thin">
        <color theme="8"/>
      </left>
      <right style="thin">
        <color theme="8"/>
      </right>
      <top/>
      <bottom/>
      <diagonal/>
    </border>
  </borders>
  <cellStyleXfs count="9">
    <xf numFmtId="0" fontId="0" fillId="0" borderId="0"/>
    <xf numFmtId="164"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3" fillId="0" borderId="0" applyNumberFormat="0" applyFill="0" applyBorder="0" applyAlignment="0" applyProtection="0"/>
    <xf numFmtId="0" fontId="4" fillId="0" borderId="1" applyNumberFormat="0" applyFill="0" applyAlignment="0" applyProtection="0"/>
    <xf numFmtId="0" fontId="5" fillId="2" borderId="0" applyNumberFormat="0" applyBorder="0" applyAlignment="0" applyProtection="0"/>
    <xf numFmtId="0" fontId="22" fillId="0" borderId="0">
      <alignment horizontal="left"/>
    </xf>
    <xf numFmtId="0" fontId="33" fillId="10" borderId="0" applyNumberFormat="0" applyBorder="0" applyAlignment="0" applyProtection="0"/>
  </cellStyleXfs>
  <cellXfs count="403">
    <xf numFmtId="0" fontId="0" fillId="0" borderId="0" xfId="0"/>
    <xf numFmtId="0" fontId="6" fillId="3" borderId="0" xfId="4" applyFont="1" applyFill="1" applyBorder="1"/>
    <xf numFmtId="0" fontId="7" fillId="3" borderId="0" xfId="0" applyFont="1" applyFill="1"/>
    <xf numFmtId="0" fontId="8" fillId="3" borderId="0" xfId="4" applyFont="1" applyFill="1" applyBorder="1"/>
    <xf numFmtId="0" fontId="10" fillId="3" borderId="0" xfId="5" applyFont="1" applyFill="1" applyBorder="1"/>
    <xf numFmtId="0" fontId="7" fillId="0" borderId="0" xfId="0" applyFont="1" applyAlignment="1">
      <alignment horizontal="center"/>
    </xf>
    <xf numFmtId="0" fontId="7" fillId="3" borderId="0" xfId="0" applyFont="1" applyFill="1" applyAlignment="1">
      <alignment horizontal="center"/>
    </xf>
    <xf numFmtId="0" fontId="7" fillId="0" borderId="0" xfId="0" applyFont="1"/>
    <xf numFmtId="3" fontId="7" fillId="0" borderId="0" xfId="0" applyNumberFormat="1" applyFont="1" applyAlignment="1">
      <alignment horizontal="center"/>
    </xf>
    <xf numFmtId="3" fontId="11" fillId="0" borderId="0" xfId="0" applyNumberFormat="1" applyFont="1" applyAlignment="1">
      <alignment horizontal="center" vertical="center"/>
    </xf>
    <xf numFmtId="9" fontId="7" fillId="0" borderId="0" xfId="3" applyFont="1" applyAlignment="1">
      <alignment horizontal="center"/>
    </xf>
    <xf numFmtId="3" fontId="7" fillId="0" borderId="0" xfId="3" applyNumberFormat="1" applyFont="1" applyAlignment="1">
      <alignment horizontal="center"/>
    </xf>
    <xf numFmtId="0" fontId="12" fillId="3" borderId="0" xfId="0" applyFont="1" applyFill="1"/>
    <xf numFmtId="3" fontId="12" fillId="3" borderId="0" xfId="0" applyNumberFormat="1" applyFont="1" applyFill="1"/>
    <xf numFmtId="9" fontId="12" fillId="3" borderId="0" xfId="3" applyFont="1" applyFill="1" applyAlignment="1">
      <alignment horizontal="center"/>
    </xf>
    <xf numFmtId="3" fontId="11" fillId="3" borderId="0" xfId="0" applyNumberFormat="1" applyFont="1" applyFill="1"/>
    <xf numFmtId="0" fontId="13" fillId="3" borderId="0" xfId="0" applyFont="1" applyFill="1"/>
    <xf numFmtId="0" fontId="11" fillId="3" borderId="0" xfId="0" applyFont="1" applyFill="1"/>
    <xf numFmtId="0" fontId="14" fillId="0" borderId="2" xfId="0" applyFont="1" applyBorder="1" applyAlignment="1">
      <alignment horizontal="center"/>
    </xf>
    <xf numFmtId="0" fontId="14" fillId="0" borderId="0" xfId="0" applyFont="1" applyAlignment="1">
      <alignment horizontal="center"/>
    </xf>
    <xf numFmtId="0" fontId="11" fillId="3" borderId="0" xfId="0" applyFont="1" applyFill="1" applyAlignment="1">
      <alignment horizontal="center"/>
    </xf>
    <xf numFmtId="9" fontId="7" fillId="0" borderId="0" xfId="0" applyNumberFormat="1" applyFont="1" applyAlignment="1">
      <alignment horizontal="center"/>
    </xf>
    <xf numFmtId="4" fontId="7" fillId="3" borderId="0" xfId="0" applyNumberFormat="1" applyFont="1" applyFill="1"/>
    <xf numFmtId="0" fontId="13" fillId="3" borderId="0" xfId="0" applyFont="1" applyFill="1" applyAlignment="1">
      <alignment horizontal="center"/>
    </xf>
    <xf numFmtId="3" fontId="7" fillId="0" borderId="0" xfId="0" applyNumberFormat="1" applyFont="1"/>
    <xf numFmtId="0" fontId="15" fillId="5" borderId="3" xfId="0" applyFont="1" applyFill="1" applyBorder="1" applyAlignment="1">
      <alignment horizontal="center" vertical="center" wrapText="1"/>
    </xf>
    <xf numFmtId="0" fontId="15" fillId="5" borderId="3" xfId="0" applyFont="1" applyFill="1" applyBorder="1" applyAlignment="1">
      <alignment horizontal="center" vertical="center"/>
    </xf>
    <xf numFmtId="0" fontId="11" fillId="6" borderId="4" xfId="0" applyFont="1" applyFill="1" applyBorder="1" applyAlignment="1">
      <alignment horizontal="center" vertical="center"/>
    </xf>
    <xf numFmtId="3" fontId="11" fillId="6" borderId="4" xfId="0" applyNumberFormat="1" applyFont="1" applyFill="1" applyBorder="1" applyAlignment="1">
      <alignment horizontal="center"/>
    </xf>
    <xf numFmtId="9" fontId="7" fillId="6" borderId="4" xfId="3" applyFont="1" applyFill="1" applyBorder="1" applyAlignment="1">
      <alignment horizontal="center" vertical="center"/>
    </xf>
    <xf numFmtId="0" fontId="11" fillId="0" borderId="4" xfId="0" applyFont="1" applyBorder="1" applyAlignment="1">
      <alignment horizontal="center" vertical="center"/>
    </xf>
    <xf numFmtId="3" fontId="11" fillId="0" borderId="4" xfId="0" applyNumberFormat="1" applyFont="1" applyBorder="1" applyAlignment="1">
      <alignment horizontal="center"/>
    </xf>
    <xf numFmtId="9" fontId="7" fillId="0" borderId="4" xfId="3" applyFont="1" applyFill="1" applyBorder="1" applyAlignment="1">
      <alignment horizontal="center" vertical="center"/>
    </xf>
    <xf numFmtId="0" fontId="11" fillId="0" borderId="5" xfId="0" applyFont="1" applyBorder="1" applyAlignment="1">
      <alignment horizontal="center" vertical="center"/>
    </xf>
    <xf numFmtId="3" fontId="11" fillId="0" borderId="5" xfId="0" applyNumberFormat="1" applyFont="1" applyBorder="1" applyAlignment="1">
      <alignment horizontal="center"/>
    </xf>
    <xf numFmtId="10" fontId="7" fillId="3" borderId="0" xfId="3" applyNumberFormat="1" applyFont="1" applyFill="1"/>
    <xf numFmtId="0" fontId="16" fillId="0" borderId="6" xfId="0" applyFont="1" applyBorder="1" applyAlignment="1">
      <alignment horizontal="right"/>
    </xf>
    <xf numFmtId="3" fontId="16" fillId="0" borderId="6" xfId="0" applyNumberFormat="1" applyFont="1" applyBorder="1" applyAlignment="1">
      <alignment horizontal="center"/>
    </xf>
    <xf numFmtId="3" fontId="16" fillId="3" borderId="6" xfId="0" applyNumberFormat="1" applyFont="1" applyFill="1" applyBorder="1" applyAlignment="1">
      <alignment horizontal="center"/>
    </xf>
    <xf numFmtId="0" fontId="2" fillId="3" borderId="0" xfId="0" applyFont="1" applyFill="1"/>
    <xf numFmtId="3" fontId="7" fillId="3" borderId="0" xfId="0" applyNumberFormat="1" applyFont="1" applyFill="1"/>
    <xf numFmtId="0" fontId="11" fillId="3" borderId="7" xfId="0" applyFont="1" applyFill="1" applyBorder="1" applyAlignment="1">
      <alignment horizontal="right"/>
    </xf>
    <xf numFmtId="3" fontId="7" fillId="3" borderId="7" xfId="0" applyNumberFormat="1" applyFont="1" applyFill="1" applyBorder="1" applyAlignment="1">
      <alignment horizontal="center"/>
    </xf>
    <xf numFmtId="9" fontId="7" fillId="3" borderId="6" xfId="3" applyFont="1" applyFill="1" applyBorder="1" applyAlignment="1">
      <alignment horizontal="center"/>
    </xf>
    <xf numFmtId="0" fontId="17" fillId="0" borderId="0" xfId="0" applyFont="1" applyAlignment="1">
      <alignment horizontal="center"/>
    </xf>
    <xf numFmtId="0" fontId="18" fillId="3" borderId="0" xfId="0" applyFont="1" applyFill="1"/>
    <xf numFmtId="165" fontId="11" fillId="0" borderId="0" xfId="0" applyNumberFormat="1" applyFont="1" applyAlignment="1">
      <alignment horizontal="center"/>
    </xf>
    <xf numFmtId="165" fontId="19" fillId="0" borderId="0" xfId="0" applyNumberFormat="1" applyFont="1" applyAlignment="1">
      <alignment horizontal="center"/>
    </xf>
    <xf numFmtId="166" fontId="20" fillId="0" borderId="0" xfId="0" applyNumberFormat="1" applyFont="1" applyAlignment="1">
      <alignment horizontal="center"/>
    </xf>
    <xf numFmtId="3" fontId="7" fillId="7" borderId="0" xfId="0" applyNumberFormat="1" applyFont="1" applyFill="1" applyAlignment="1">
      <alignment horizontal="right"/>
    </xf>
    <xf numFmtId="165" fontId="7" fillId="3" borderId="0" xfId="0" applyNumberFormat="1" applyFont="1" applyFill="1"/>
    <xf numFmtId="167" fontId="12" fillId="3" borderId="0" xfId="1" applyNumberFormat="1" applyFont="1" applyFill="1" applyBorder="1"/>
    <xf numFmtId="9" fontId="12" fillId="3" borderId="0" xfId="0" applyNumberFormat="1" applyFont="1" applyFill="1"/>
    <xf numFmtId="9" fontId="12" fillId="3" borderId="0" xfId="1" applyNumberFormat="1" applyFont="1" applyFill="1" applyBorder="1"/>
    <xf numFmtId="0" fontId="7" fillId="0" borderId="0" xfId="0" applyFont="1" applyAlignment="1">
      <alignment horizontal="center" wrapText="1"/>
    </xf>
    <xf numFmtId="0" fontId="11" fillId="0" borderId="0" xfId="0" applyFont="1" applyAlignment="1">
      <alignment horizontal="center" vertical="center" wrapText="1"/>
    </xf>
    <xf numFmtId="44" fontId="11" fillId="0" borderId="0" xfId="2" applyFont="1" applyFill="1" applyAlignment="1">
      <alignment horizontal="center" vertical="center" wrapText="1"/>
    </xf>
    <xf numFmtId="168" fontId="7" fillId="0" borderId="0" xfId="3" applyNumberFormat="1" applyFont="1" applyFill="1" applyAlignment="1">
      <alignment horizontal="center" vertical="center"/>
    </xf>
    <xf numFmtId="44" fontId="7" fillId="0" borderId="0" xfId="2" applyFont="1" applyFill="1" applyAlignment="1">
      <alignment horizontal="center" vertical="center"/>
    </xf>
    <xf numFmtId="0" fontId="11" fillId="0" borderId="0" xfId="0" applyFont="1" applyAlignment="1">
      <alignment horizontal="center" vertical="center"/>
    </xf>
    <xf numFmtId="44" fontId="7" fillId="0" borderId="0" xfId="2" applyFont="1" applyFill="1" applyAlignment="1">
      <alignment horizontal="center"/>
    </xf>
    <xf numFmtId="168" fontId="7" fillId="0" borderId="0" xfId="3" applyNumberFormat="1" applyFont="1" applyFill="1" applyAlignment="1">
      <alignment horizontal="center"/>
    </xf>
    <xf numFmtId="3" fontId="7" fillId="3" borderId="0" xfId="0" applyNumberFormat="1" applyFont="1" applyFill="1" applyAlignment="1">
      <alignment horizontal="center"/>
    </xf>
    <xf numFmtId="0" fontId="12" fillId="3" borderId="0" xfId="0" applyFont="1" applyFill="1" applyAlignment="1">
      <alignment horizontal="right"/>
    </xf>
    <xf numFmtId="167" fontId="12" fillId="3" borderId="0" xfId="1" applyNumberFormat="1" applyFont="1" applyFill="1" applyBorder="1" applyAlignment="1">
      <alignment horizontal="right"/>
    </xf>
    <xf numFmtId="39" fontId="12" fillId="3" borderId="0" xfId="1" applyNumberFormat="1" applyFont="1" applyFill="1" applyBorder="1" applyAlignment="1">
      <alignment horizontal="left"/>
    </xf>
    <xf numFmtId="10" fontId="12" fillId="8" borderId="6" xfId="3" applyNumberFormat="1" applyFont="1" applyFill="1" applyBorder="1" applyAlignment="1">
      <alignment horizontal="center"/>
    </xf>
    <xf numFmtId="167" fontId="12" fillId="8" borderId="6" xfId="1" applyNumberFormat="1" applyFont="1" applyFill="1" applyBorder="1"/>
    <xf numFmtId="167" fontId="7" fillId="3" borderId="0" xfId="0" applyNumberFormat="1" applyFont="1" applyFill="1"/>
    <xf numFmtId="0" fontId="14" fillId="0" borderId="8" xfId="0" applyFont="1" applyBorder="1" applyAlignment="1">
      <alignment horizontal="center" wrapText="1"/>
    </xf>
    <xf numFmtId="167" fontId="14" fillId="0" borderId="0" xfId="1" applyNumberFormat="1" applyFont="1" applyFill="1" applyBorder="1" applyAlignment="1">
      <alignment horizontal="center"/>
    </xf>
    <xf numFmtId="0" fontId="7" fillId="0" borderId="0" xfId="0" applyFont="1" applyAlignment="1">
      <alignment horizontal="left" vertical="center" wrapText="1"/>
    </xf>
    <xf numFmtId="3" fontId="7" fillId="0" borderId="0" xfId="0" applyNumberFormat="1" applyFont="1" applyAlignment="1">
      <alignment horizontal="center" vertical="center"/>
    </xf>
    <xf numFmtId="9" fontId="7" fillId="0" borderId="0" xfId="0" applyNumberFormat="1" applyFont="1" applyAlignment="1">
      <alignment horizontal="center" vertical="center" wrapText="1"/>
    </xf>
    <xf numFmtId="0" fontId="7" fillId="0" borderId="0" xfId="0" applyFont="1" applyAlignment="1">
      <alignment horizontal="center" vertical="center"/>
    </xf>
    <xf numFmtId="169" fontId="7" fillId="0" borderId="0" xfId="0" applyNumberFormat="1" applyFont="1" applyAlignment="1">
      <alignment horizontal="center" vertical="center"/>
    </xf>
    <xf numFmtId="0" fontId="7" fillId="0" borderId="0" xfId="0" applyFont="1" applyAlignment="1">
      <alignment horizontal="right"/>
    </xf>
    <xf numFmtId="167" fontId="7" fillId="0" borderId="0" xfId="0" applyNumberFormat="1" applyFont="1"/>
    <xf numFmtId="9" fontId="7" fillId="0" borderId="0" xfId="0" applyNumberFormat="1" applyFont="1"/>
    <xf numFmtId="0" fontId="11" fillId="3" borderId="0" xfId="5" applyFont="1" applyFill="1" applyBorder="1" applyAlignment="1"/>
    <xf numFmtId="170" fontId="14" fillId="9" borderId="0" xfId="4" applyNumberFormat="1" applyFont="1" applyFill="1" applyBorder="1" applyAlignment="1">
      <alignment horizontal="left" wrapText="1"/>
    </xf>
    <xf numFmtId="0" fontId="12" fillId="0" borderId="0" xfId="0" applyFont="1" applyAlignment="1">
      <alignment horizontal="center" wrapText="1"/>
    </xf>
    <xf numFmtId="0" fontId="11" fillId="3" borderId="0" xfId="4" applyFont="1" applyFill="1" applyBorder="1"/>
    <xf numFmtId="3" fontId="7" fillId="0" borderId="0" xfId="0" applyNumberFormat="1" applyFont="1" applyAlignment="1">
      <alignment horizontal="right"/>
    </xf>
    <xf numFmtId="3" fontId="11" fillId="0" borderId="0" xfId="0" applyNumberFormat="1" applyFont="1" applyAlignment="1">
      <alignment horizontal="right"/>
    </xf>
    <xf numFmtId="9" fontId="7" fillId="0" borderId="0" xfId="0" applyNumberFormat="1" applyFont="1" applyAlignment="1">
      <alignment horizontal="right"/>
    </xf>
    <xf numFmtId="9" fontId="7" fillId="3" borderId="0" xfId="0" applyNumberFormat="1" applyFont="1" applyFill="1"/>
    <xf numFmtId="0" fontId="11" fillId="0" borderId="0" xfId="4" applyFont="1" applyFill="1" applyBorder="1"/>
    <xf numFmtId="0" fontId="6" fillId="0" borderId="0" xfId="4" applyFont="1" applyFill="1" applyBorder="1"/>
    <xf numFmtId="0" fontId="10" fillId="3" borderId="0" xfId="5" applyFont="1" applyFill="1" applyBorder="1" applyAlignment="1">
      <alignment horizontal="center"/>
    </xf>
    <xf numFmtId="0" fontId="10" fillId="3" borderId="0" xfId="5" applyFont="1" applyFill="1" applyBorder="1" applyAlignment="1">
      <alignment horizontal="left"/>
    </xf>
    <xf numFmtId="0" fontId="14" fillId="0" borderId="0" xfId="0" applyFont="1" applyAlignment="1">
      <alignment horizontal="center" vertical="center" wrapText="1"/>
    </xf>
    <xf numFmtId="10" fontId="7" fillId="0" borderId="0" xfId="0" applyNumberFormat="1" applyFont="1" applyAlignment="1">
      <alignment horizontal="center" vertical="center" wrapText="1"/>
    </xf>
    <xf numFmtId="10" fontId="7" fillId="0" borderId="0" xfId="7" applyNumberFormat="1" applyFont="1" applyAlignment="1">
      <alignment horizontal="center" vertical="center" wrapText="1"/>
    </xf>
    <xf numFmtId="0" fontId="7" fillId="0" borderId="0" xfId="0" applyFont="1" applyAlignment="1">
      <alignment horizontal="center" vertical="center" wrapText="1"/>
    </xf>
    <xf numFmtId="170" fontId="7" fillId="0" borderId="0" xfId="0" applyNumberFormat="1" applyFont="1" applyAlignment="1">
      <alignment horizontal="center" vertical="center" wrapText="1"/>
    </xf>
    <xf numFmtId="3" fontId="7" fillId="0" borderId="0" xfId="7" applyNumberFormat="1" applyFont="1" applyAlignment="1">
      <alignment horizontal="center" vertical="center" wrapText="1"/>
    </xf>
    <xf numFmtId="4" fontId="11" fillId="0" borderId="0" xfId="7" applyNumberFormat="1" applyFont="1" applyAlignment="1">
      <alignment horizontal="center" vertical="center" wrapText="1"/>
    </xf>
    <xf numFmtId="10" fontId="11" fillId="0" borderId="0" xfId="0" applyNumberFormat="1" applyFont="1" applyAlignment="1">
      <alignment horizontal="center" vertical="center" wrapText="1"/>
    </xf>
    <xf numFmtId="10" fontId="11" fillId="0" borderId="0" xfId="7" applyNumberFormat="1" applyFont="1" applyAlignment="1">
      <alignment horizontal="center" vertical="center" wrapText="1"/>
    </xf>
    <xf numFmtId="3" fontId="11" fillId="0" borderId="0" xfId="7" applyNumberFormat="1" applyFont="1" applyAlignment="1">
      <alignment horizontal="center" vertical="center" wrapText="1"/>
    </xf>
    <xf numFmtId="170" fontId="11" fillId="0" borderId="0" xfId="0" applyNumberFormat="1" applyFont="1" applyAlignment="1">
      <alignment horizontal="center" vertical="center"/>
    </xf>
    <xf numFmtId="3" fontId="11" fillId="0" borderId="0" xfId="0" applyNumberFormat="1" applyFont="1" applyAlignment="1">
      <alignment horizontal="center" vertical="center" wrapText="1"/>
    </xf>
    <xf numFmtId="170" fontId="11" fillId="0" borderId="0" xfId="0" applyNumberFormat="1" applyFont="1" applyAlignment="1">
      <alignment horizontal="center" vertical="center" wrapText="1"/>
    </xf>
    <xf numFmtId="0" fontId="7" fillId="3" borderId="0" xfId="0" applyFont="1" applyFill="1" applyAlignment="1">
      <alignment horizontal="center" vertical="center"/>
    </xf>
    <xf numFmtId="10" fontId="7" fillId="3" borderId="0" xfId="7" applyNumberFormat="1" applyFont="1" applyFill="1" applyAlignment="1">
      <alignment horizontal="center" vertical="center" wrapText="1"/>
    </xf>
    <xf numFmtId="0" fontId="7" fillId="3" borderId="0" xfId="0" applyFont="1" applyFill="1" applyAlignment="1">
      <alignment horizontal="center" vertical="center" wrapText="1"/>
    </xf>
    <xf numFmtId="17" fontId="7" fillId="3" borderId="0" xfId="0" applyNumberFormat="1" applyFont="1" applyFill="1" applyAlignment="1">
      <alignment horizontal="center" vertical="center" wrapText="1"/>
    </xf>
    <xf numFmtId="169" fontId="7" fillId="3" borderId="0" xfId="0" applyNumberFormat="1" applyFont="1" applyFill="1" applyAlignment="1">
      <alignment horizontal="center" vertical="center" wrapText="1"/>
    </xf>
    <xf numFmtId="0" fontId="23" fillId="0" borderId="0" xfId="0" applyFont="1" applyAlignment="1">
      <alignment horizontal="center" vertical="center" wrapText="1"/>
    </xf>
    <xf numFmtId="3" fontId="11" fillId="3" borderId="0" xfId="7" applyNumberFormat="1" applyFont="1" applyFill="1" applyAlignment="1">
      <alignment vertical="top" wrapText="1"/>
    </xf>
    <xf numFmtId="9" fontId="11" fillId="3" borderId="0" xfId="7" applyNumberFormat="1" applyFont="1" applyFill="1" applyAlignment="1">
      <alignment horizontal="center" vertical="top" wrapText="1"/>
    </xf>
    <xf numFmtId="0" fontId="14" fillId="0" borderId="2" xfId="0" applyFont="1" applyBorder="1" applyAlignment="1">
      <alignment horizontal="center" vertical="center" wrapText="1"/>
    </xf>
    <xf numFmtId="14" fontId="11" fillId="0" borderId="0" xfId="0" applyNumberFormat="1" applyFont="1" applyAlignment="1">
      <alignment horizontal="center" vertical="center"/>
    </xf>
    <xf numFmtId="14" fontId="11" fillId="0" borderId="0" xfId="0" applyNumberFormat="1" applyFont="1" applyAlignment="1">
      <alignment horizontal="center" vertical="center" wrapText="1"/>
    </xf>
    <xf numFmtId="0" fontId="23" fillId="0" borderId="0" xfId="0" applyFont="1" applyAlignment="1">
      <alignment wrapText="1"/>
    </xf>
    <xf numFmtId="14" fontId="23" fillId="0" borderId="0" xfId="0" applyNumberFormat="1" applyFont="1" applyAlignment="1">
      <alignment horizontal="center" vertical="center" wrapText="1"/>
    </xf>
    <xf numFmtId="0" fontId="11" fillId="0" borderId="0" xfId="0" applyFont="1" applyAlignment="1">
      <alignment wrapText="1"/>
    </xf>
    <xf numFmtId="14" fontId="7" fillId="3" borderId="0" xfId="0" applyNumberFormat="1" applyFont="1" applyFill="1"/>
    <xf numFmtId="10" fontId="23" fillId="0" borderId="0" xfId="7" applyNumberFormat="1" applyFont="1" applyAlignment="1">
      <alignment horizontal="center" vertical="center" wrapText="1"/>
    </xf>
    <xf numFmtId="0" fontId="13" fillId="0" borderId="9" xfId="0" applyFont="1" applyBorder="1" applyAlignment="1">
      <alignment horizontal="center" vertical="center" wrapText="1"/>
    </xf>
    <xf numFmtId="3" fontId="24" fillId="0" borderId="0" xfId="0" applyNumberFormat="1" applyFont="1" applyAlignment="1">
      <alignment horizontal="center" vertical="center"/>
    </xf>
    <xf numFmtId="0" fontId="7" fillId="3" borderId="0" xfId="0" applyFont="1" applyFill="1" applyAlignment="1">
      <alignment vertical="center" wrapText="1"/>
    </xf>
    <xf numFmtId="17" fontId="7" fillId="3" borderId="0" xfId="0" applyNumberFormat="1" applyFont="1" applyFill="1" applyAlignment="1">
      <alignment vertical="center" wrapText="1"/>
    </xf>
    <xf numFmtId="0" fontId="11" fillId="3" borderId="0" xfId="0" applyFont="1" applyFill="1" applyAlignment="1">
      <alignment horizontal="center" vertical="center"/>
    </xf>
    <xf numFmtId="0" fontId="0" fillId="0" borderId="0" xfId="0" applyAlignment="1">
      <alignment horizontal="center" vertical="center"/>
    </xf>
    <xf numFmtId="0" fontId="25" fillId="0" borderId="0" xfId="0" applyFont="1" applyAlignment="1">
      <alignment horizontal="center" vertical="center"/>
    </xf>
    <xf numFmtId="167" fontId="11" fillId="0" borderId="0" xfId="1" applyNumberFormat="1" applyFont="1" applyFill="1" applyAlignment="1">
      <alignment horizontal="center" vertical="center" wrapText="1"/>
    </xf>
    <xf numFmtId="168" fontId="7" fillId="0" borderId="0" xfId="0" applyNumberFormat="1" applyFont="1" applyAlignment="1">
      <alignment horizontal="center" vertical="center" wrapText="1"/>
    </xf>
    <xf numFmtId="14" fontId="29" fillId="0" borderId="0" xfId="0" applyNumberFormat="1" applyFont="1" applyAlignment="1">
      <alignment horizontal="center" vertical="center" wrapText="1"/>
    </xf>
    <xf numFmtId="0" fontId="28" fillId="0" borderId="0" xfId="7" applyFont="1" applyAlignment="1">
      <alignment horizontal="center" vertical="center" wrapText="1"/>
    </xf>
    <xf numFmtId="3" fontId="30" fillId="0" borderId="0" xfId="0" applyNumberFormat="1" applyFont="1" applyAlignment="1">
      <alignment horizontal="center" vertical="center"/>
    </xf>
    <xf numFmtId="3" fontId="24" fillId="0" borderId="0" xfId="0" applyNumberFormat="1" applyFont="1" applyAlignment="1">
      <alignment horizontal="center" vertical="center" wrapText="1"/>
    </xf>
    <xf numFmtId="3" fontId="31" fillId="2" borderId="0" xfId="6" applyNumberFormat="1" applyFont="1" applyAlignment="1">
      <alignment horizontal="center" vertical="center"/>
    </xf>
    <xf numFmtId="0" fontId="32" fillId="3" borderId="0" xfId="4" applyFont="1" applyFill="1" applyBorder="1"/>
    <xf numFmtId="3" fontId="7" fillId="0" borderId="4" xfId="0" applyNumberFormat="1" applyFont="1" applyBorder="1" applyAlignment="1">
      <alignment horizontal="center"/>
    </xf>
    <xf numFmtId="165" fontId="7" fillId="0" borderId="0" xfId="0" applyNumberFormat="1" applyFont="1" applyAlignment="1">
      <alignment horizontal="center"/>
    </xf>
    <xf numFmtId="165" fontId="7" fillId="7" borderId="0" xfId="0" applyNumberFormat="1" applyFont="1" applyFill="1" applyAlignment="1">
      <alignment horizontal="center"/>
    </xf>
    <xf numFmtId="0" fontId="28" fillId="0" borderId="0" xfId="0" applyFont="1" applyAlignment="1">
      <alignment horizontal="center" vertical="center" wrapText="1"/>
    </xf>
    <xf numFmtId="14" fontId="28" fillId="0" borderId="0" xfId="0" applyNumberFormat="1" applyFont="1" applyAlignment="1">
      <alignment horizontal="center" vertical="center" wrapText="1"/>
    </xf>
    <xf numFmtId="3" fontId="25" fillId="0" borderId="0" xfId="0" applyNumberFormat="1" applyFont="1" applyAlignment="1">
      <alignment horizontal="right"/>
    </xf>
    <xf numFmtId="3" fontId="23" fillId="0" borderId="0" xfId="7" applyNumberFormat="1" applyFont="1" applyAlignment="1">
      <alignment vertical="center"/>
    </xf>
    <xf numFmtId="3" fontId="33" fillId="10" borderId="0" xfId="8" applyNumberFormat="1" applyAlignment="1">
      <alignment horizontal="center" vertical="center"/>
    </xf>
    <xf numFmtId="14" fontId="23" fillId="0" borderId="0" xfId="8" applyNumberFormat="1" applyFont="1" applyFill="1" applyBorder="1" applyAlignment="1">
      <alignment horizontal="center" vertical="center" wrapText="1"/>
    </xf>
    <xf numFmtId="14" fontId="23" fillId="0" borderId="0" xfId="8" applyNumberFormat="1" applyFont="1" applyFill="1" applyAlignment="1">
      <alignment horizontal="center" vertical="center" wrapText="1"/>
    </xf>
    <xf numFmtId="14" fontId="34" fillId="0" borderId="0" xfId="8" applyNumberFormat="1" applyFont="1" applyFill="1" applyAlignment="1">
      <alignment horizontal="center" vertical="center" wrapText="1"/>
    </xf>
    <xf numFmtId="1" fontId="11" fillId="0" borderId="0" xfId="0" applyNumberFormat="1" applyFont="1" applyAlignment="1">
      <alignment horizontal="center" vertical="center"/>
    </xf>
    <xf numFmtId="0" fontId="35" fillId="0" borderId="0" xfId="0" applyFont="1" applyAlignment="1">
      <alignment horizontal="center" vertical="center" wrapText="1"/>
    </xf>
    <xf numFmtId="0" fontId="23" fillId="0" borderId="0" xfId="7" applyFont="1" applyAlignment="1">
      <alignment horizontal="center" vertical="center" wrapText="1"/>
    </xf>
    <xf numFmtId="1" fontId="7" fillId="0" borderId="0" xfId="0" applyNumberFormat="1" applyFont="1" applyAlignment="1">
      <alignment horizontal="center" vertical="center"/>
    </xf>
    <xf numFmtId="3" fontId="23" fillId="0" borderId="0" xfId="7" applyNumberFormat="1" applyFont="1" applyAlignment="1">
      <alignment horizontal="center" vertical="center"/>
    </xf>
    <xf numFmtId="10" fontId="36" fillId="0" borderId="0" xfId="7" applyNumberFormat="1" applyFont="1" applyAlignment="1">
      <alignment horizontal="center" vertical="center" wrapText="1"/>
    </xf>
    <xf numFmtId="0" fontId="37" fillId="0" borderId="0" xfId="0" applyFont="1" applyAlignment="1">
      <alignment horizontal="center" vertical="center" wrapText="1"/>
    </xf>
    <xf numFmtId="170" fontId="37" fillId="0" borderId="0" xfId="0" applyNumberFormat="1" applyFont="1" applyAlignment="1">
      <alignment horizontal="center" vertical="center"/>
    </xf>
    <xf numFmtId="3" fontId="37" fillId="0" borderId="0" xfId="0" applyNumberFormat="1" applyFont="1" applyAlignment="1">
      <alignment horizontal="center" vertical="center" wrapText="1"/>
    </xf>
    <xf numFmtId="0" fontId="36" fillId="0" borderId="0" xfId="0" applyFont="1" applyAlignment="1">
      <alignment horizontal="center" vertical="center" wrapText="1"/>
    </xf>
    <xf numFmtId="0" fontId="37" fillId="0" borderId="0" xfId="0" applyFont="1" applyAlignment="1">
      <alignment horizontal="center" vertical="center"/>
    </xf>
    <xf numFmtId="3" fontId="36" fillId="0" borderId="0" xfId="0" applyNumberFormat="1" applyFont="1" applyAlignment="1">
      <alignment horizontal="center" vertical="center"/>
    </xf>
    <xf numFmtId="14" fontId="37" fillId="0" borderId="0" xfId="0" applyNumberFormat="1" applyFont="1" applyAlignment="1">
      <alignment horizontal="center" vertical="center" wrapText="1"/>
    </xf>
    <xf numFmtId="10" fontId="37" fillId="0" borderId="0" xfId="7" applyNumberFormat="1" applyFont="1" applyAlignment="1">
      <alignment horizontal="center" vertical="center" wrapText="1"/>
    </xf>
    <xf numFmtId="14" fontId="37" fillId="0" borderId="0" xfId="8" applyNumberFormat="1" applyFont="1" applyFill="1" applyBorder="1" applyAlignment="1">
      <alignment horizontal="center" vertical="center" wrapText="1"/>
    </xf>
    <xf numFmtId="14" fontId="37" fillId="3" borderId="0" xfId="0" applyNumberFormat="1" applyFont="1" applyFill="1" applyAlignment="1">
      <alignment horizontal="center" vertical="center" wrapText="1"/>
    </xf>
    <xf numFmtId="14" fontId="23" fillId="3" borderId="0" xfId="0" applyNumberFormat="1" applyFont="1" applyFill="1" applyAlignment="1">
      <alignment horizontal="center" vertical="center" wrapText="1"/>
    </xf>
    <xf numFmtId="10" fontId="37" fillId="3" borderId="0" xfId="7" applyNumberFormat="1" applyFont="1" applyFill="1" applyAlignment="1">
      <alignment horizontal="center" vertical="center" wrapText="1"/>
    </xf>
    <xf numFmtId="0" fontId="23" fillId="3" borderId="0" xfId="0" applyFont="1" applyFill="1" applyAlignment="1">
      <alignment horizontal="center" vertical="center" wrapText="1"/>
    </xf>
    <xf numFmtId="0" fontId="37" fillId="3" borderId="0" xfId="0" applyFont="1" applyFill="1" applyAlignment="1">
      <alignment horizontal="center" vertical="center" wrapText="1"/>
    </xf>
    <xf numFmtId="0" fontId="11" fillId="3" borderId="0" xfId="0" applyFont="1" applyFill="1" applyAlignment="1">
      <alignment horizontal="center" vertical="center" wrapText="1"/>
    </xf>
    <xf numFmtId="14" fontId="1" fillId="0" borderId="0" xfId="6" applyNumberFormat="1" applyFont="1" applyFill="1" applyBorder="1" applyAlignment="1">
      <alignment horizontal="center" vertical="center" wrapText="1"/>
    </xf>
    <xf numFmtId="0" fontId="1" fillId="0" borderId="0" xfId="8" applyFont="1" applyFill="1" applyAlignment="1">
      <alignment horizontal="center" vertical="center"/>
    </xf>
    <xf numFmtId="14" fontId="30" fillId="0" borderId="0" xfId="6" applyNumberFormat="1" applyFont="1" applyFill="1" applyBorder="1" applyAlignment="1">
      <alignment horizontal="center" vertical="center" wrapText="1"/>
    </xf>
    <xf numFmtId="14" fontId="30" fillId="0" borderId="0" xfId="8" applyNumberFormat="1" applyFont="1" applyFill="1" applyBorder="1" applyAlignment="1">
      <alignment horizontal="center" vertical="center" wrapText="1"/>
    </xf>
    <xf numFmtId="14" fontId="30" fillId="0" borderId="0" xfId="0" applyNumberFormat="1" applyFont="1" applyAlignment="1">
      <alignment horizontal="center" vertical="center" wrapText="1"/>
    </xf>
    <xf numFmtId="14" fontId="30" fillId="0" borderId="0" xfId="8" applyNumberFormat="1" applyFont="1" applyFill="1" applyAlignment="1">
      <alignment horizontal="center" vertical="center" wrapText="1"/>
    </xf>
    <xf numFmtId="0" fontId="30" fillId="0" borderId="0" xfId="0" applyFont="1" applyAlignment="1">
      <alignment horizontal="center" vertical="center" wrapText="1"/>
    </xf>
    <xf numFmtId="14" fontId="1" fillId="0" borderId="0" xfId="8" applyNumberFormat="1" applyFont="1" applyFill="1" applyAlignment="1">
      <alignment horizontal="center" vertical="center" wrapText="1"/>
    </xf>
    <xf numFmtId="14" fontId="37" fillId="0" borderId="0" xfId="8" applyNumberFormat="1" applyFont="1" applyFill="1" applyAlignment="1">
      <alignment horizontal="center" vertical="center" wrapText="1"/>
    </xf>
    <xf numFmtId="4" fontId="30" fillId="0" borderId="0" xfId="7" applyNumberFormat="1" applyFont="1" applyAlignment="1">
      <alignment horizontal="center" vertical="center"/>
    </xf>
    <xf numFmtId="10" fontId="30" fillId="0" borderId="0" xfId="7" applyNumberFormat="1" applyFont="1" applyAlignment="1">
      <alignment horizontal="center" vertical="center" wrapText="1"/>
    </xf>
    <xf numFmtId="17" fontId="30" fillId="0" borderId="0" xfId="7" applyNumberFormat="1" applyFont="1" applyAlignment="1">
      <alignment horizontal="center" vertical="center" wrapText="1"/>
    </xf>
    <xf numFmtId="170" fontId="30" fillId="0" borderId="0" xfId="7" applyNumberFormat="1" applyFont="1" applyAlignment="1">
      <alignment horizontal="center" vertical="center" wrapText="1"/>
    </xf>
    <xf numFmtId="0" fontId="36" fillId="0" borderId="0" xfId="0" applyFont="1" applyAlignment="1">
      <alignment horizontal="center" vertical="center"/>
    </xf>
    <xf numFmtId="3" fontId="23" fillId="0" borderId="0" xfId="0" applyNumberFormat="1" applyFont="1" applyAlignment="1">
      <alignment horizontal="center" vertical="center"/>
    </xf>
    <xf numFmtId="3" fontId="38" fillId="0" borderId="0" xfId="0" applyNumberFormat="1" applyFont="1" applyAlignment="1">
      <alignment horizontal="center" vertical="center"/>
    </xf>
    <xf numFmtId="3" fontId="23" fillId="0" borderId="0" xfId="7" applyNumberFormat="1" applyFont="1" applyAlignment="1">
      <alignment horizontal="center" vertical="center" wrapText="1"/>
    </xf>
    <xf numFmtId="165" fontId="39" fillId="0" borderId="0" xfId="0" applyNumberFormat="1" applyFont="1" applyAlignment="1">
      <alignment horizontal="center"/>
    </xf>
    <xf numFmtId="3" fontId="23" fillId="3" borderId="0" xfId="0" applyNumberFormat="1" applyFont="1" applyFill="1" applyAlignment="1">
      <alignment horizontal="center" vertical="center"/>
    </xf>
    <xf numFmtId="0" fontId="30" fillId="3" borderId="0" xfId="0" applyFont="1" applyFill="1" applyAlignment="1">
      <alignment horizontal="center"/>
    </xf>
    <xf numFmtId="171" fontId="23" fillId="0" borderId="0" xfId="0" applyNumberFormat="1" applyFont="1" applyAlignment="1">
      <alignment horizontal="center" vertical="center"/>
    </xf>
    <xf numFmtId="17" fontId="40" fillId="0" borderId="0" xfId="7" applyNumberFormat="1" applyFont="1" applyAlignment="1">
      <alignment horizontal="center" vertical="center" wrapText="1"/>
    </xf>
    <xf numFmtId="3" fontId="40" fillId="0" borderId="0" xfId="0" applyNumberFormat="1" applyFont="1" applyAlignment="1">
      <alignment horizontal="center" vertical="center"/>
    </xf>
    <xf numFmtId="4" fontId="30" fillId="0" borderId="0" xfId="7" applyNumberFormat="1" applyFont="1" applyAlignment="1">
      <alignment horizontal="center" vertical="center" wrapText="1"/>
    </xf>
    <xf numFmtId="14" fontId="23" fillId="0" borderId="0" xfId="6" applyNumberFormat="1" applyFont="1" applyFill="1" applyBorder="1" applyAlignment="1">
      <alignment horizontal="center" vertical="center" wrapText="1"/>
    </xf>
    <xf numFmtId="14" fontId="23" fillId="0" borderId="0" xfId="6" applyNumberFormat="1" applyFont="1" applyFill="1" applyAlignment="1">
      <alignment horizontal="center" vertical="center" wrapText="1"/>
    </xf>
    <xf numFmtId="0" fontId="23" fillId="11" borderId="0" xfId="0" applyFont="1" applyFill="1" applyAlignment="1">
      <alignment horizontal="center" vertical="center" wrapText="1"/>
    </xf>
    <xf numFmtId="0" fontId="37" fillId="11" borderId="0" xfId="0" applyFont="1" applyFill="1" applyAlignment="1">
      <alignment horizontal="center" vertical="center" wrapText="1"/>
    </xf>
    <xf numFmtId="14" fontId="37" fillId="11" borderId="0" xfId="0" applyNumberFormat="1" applyFont="1" applyFill="1" applyAlignment="1">
      <alignment horizontal="center" vertical="center" wrapText="1"/>
    </xf>
    <xf numFmtId="10" fontId="37" fillId="11" borderId="0" xfId="7" applyNumberFormat="1" applyFont="1" applyFill="1" applyAlignment="1">
      <alignment horizontal="center" vertical="center" wrapText="1"/>
    </xf>
    <xf numFmtId="14" fontId="23" fillId="11" borderId="0" xfId="0" applyNumberFormat="1" applyFont="1" applyFill="1" applyAlignment="1">
      <alignment horizontal="center" vertical="center" wrapText="1"/>
    </xf>
    <xf numFmtId="0" fontId="11" fillId="11" borderId="0" xfId="0" applyFont="1" applyFill="1" applyAlignment="1">
      <alignment horizontal="center" vertical="center" wrapText="1"/>
    </xf>
    <xf numFmtId="3" fontId="41" fillId="0" borderId="0" xfId="0" applyNumberFormat="1" applyFont="1" applyAlignment="1">
      <alignment horizontal="center" vertical="center" wrapText="1"/>
    </xf>
    <xf numFmtId="0" fontId="12" fillId="0" borderId="0" xfId="0" applyFont="1" applyAlignment="1">
      <alignment horizontal="center"/>
    </xf>
    <xf numFmtId="0" fontId="42" fillId="0" borderId="0" xfId="7" applyFont="1" applyAlignment="1">
      <alignment horizontal="center" vertical="center" wrapText="1"/>
    </xf>
    <xf numFmtId="3" fontId="43" fillId="0" borderId="0" xfId="0" applyNumberFormat="1" applyFont="1" applyAlignment="1">
      <alignment horizontal="center" vertical="center"/>
    </xf>
    <xf numFmtId="0" fontId="42" fillId="0" borderId="0" xfId="0" applyFont="1" applyAlignment="1">
      <alignment horizontal="center" vertical="center" wrapText="1"/>
    </xf>
    <xf numFmtId="14" fontId="42" fillId="0" borderId="0" xfId="0" applyNumberFormat="1" applyFont="1" applyAlignment="1">
      <alignment horizontal="center" vertical="center" wrapText="1"/>
    </xf>
    <xf numFmtId="10" fontId="42" fillId="0" borderId="0" xfId="7" applyNumberFormat="1" applyFont="1" applyAlignment="1">
      <alignment horizontal="center" vertical="center" wrapText="1"/>
    </xf>
    <xf numFmtId="0" fontId="45" fillId="0" borderId="0" xfId="0" applyFont="1" applyAlignment="1">
      <alignment horizontal="center" vertical="center" wrapText="1"/>
    </xf>
    <xf numFmtId="10" fontId="44" fillId="0" borderId="0" xfId="7" applyNumberFormat="1" applyFont="1" applyAlignment="1">
      <alignment horizontal="center" vertical="center" wrapText="1"/>
    </xf>
    <xf numFmtId="3" fontId="45" fillId="0" borderId="0" xfId="0" applyNumberFormat="1" applyFont="1" applyAlignment="1">
      <alignment horizontal="center" vertical="center" wrapText="1"/>
    </xf>
    <xf numFmtId="14" fontId="45" fillId="0" borderId="0" xfId="0" applyNumberFormat="1" applyFont="1" applyAlignment="1">
      <alignment horizontal="center" vertical="center" wrapText="1"/>
    </xf>
    <xf numFmtId="14" fontId="7" fillId="0" borderId="0" xfId="0" applyNumberFormat="1" applyFont="1" applyAlignment="1">
      <alignment horizontal="center" vertical="center" wrapText="1"/>
    </xf>
    <xf numFmtId="3" fontId="7" fillId="0" borderId="0" xfId="7" applyNumberFormat="1" applyFont="1" applyAlignment="1">
      <alignment horizontal="center" vertical="center"/>
    </xf>
    <xf numFmtId="0" fontId="25" fillId="3" borderId="0" xfId="0" applyFont="1" applyFill="1"/>
    <xf numFmtId="14" fontId="25" fillId="0" borderId="0" xfId="0" applyNumberFormat="1" applyFont="1" applyAlignment="1">
      <alignment horizontal="center" vertical="center"/>
    </xf>
    <xf numFmtId="0" fontId="25" fillId="0" borderId="0" xfId="0" applyFont="1" applyAlignment="1">
      <alignment horizontal="center" vertical="center" wrapText="1"/>
    </xf>
    <xf numFmtId="10" fontId="25" fillId="0" borderId="0" xfId="7" applyNumberFormat="1" applyFont="1" applyAlignment="1">
      <alignment horizontal="center" vertical="center" wrapText="1"/>
    </xf>
    <xf numFmtId="3" fontId="25" fillId="0" borderId="0" xfId="0" applyNumberFormat="1" applyFont="1" applyAlignment="1">
      <alignment horizontal="center" vertical="center"/>
    </xf>
    <xf numFmtId="9" fontId="25" fillId="0" borderId="0" xfId="0" applyNumberFormat="1" applyFont="1" applyAlignment="1">
      <alignment horizontal="center" vertical="center" wrapText="1"/>
    </xf>
    <xf numFmtId="170" fontId="7" fillId="0" borderId="0" xfId="0" applyNumberFormat="1" applyFont="1" applyAlignment="1">
      <alignment horizontal="center" vertical="center"/>
    </xf>
    <xf numFmtId="3" fontId="7" fillId="0" borderId="0" xfId="0" applyNumberFormat="1" applyFont="1" applyAlignment="1">
      <alignment horizontal="center" vertical="center" wrapText="1"/>
    </xf>
    <xf numFmtId="4" fontId="7" fillId="0" borderId="0" xfId="7" applyNumberFormat="1" applyFont="1" applyAlignment="1">
      <alignment horizontal="center" vertical="center"/>
    </xf>
    <xf numFmtId="17" fontId="7" fillId="0" borderId="0" xfId="7" applyNumberFormat="1" applyFont="1" applyAlignment="1">
      <alignment horizontal="center" vertical="center" wrapText="1"/>
    </xf>
    <xf numFmtId="170" fontId="7" fillId="0" borderId="0" xfId="7" applyNumberFormat="1" applyFont="1" applyAlignment="1">
      <alignment horizontal="center" vertical="center" wrapText="1"/>
    </xf>
    <xf numFmtId="0" fontId="30" fillId="3" borderId="0" xfId="0" applyFont="1" applyFill="1" applyAlignment="1">
      <alignment horizontal="center" vertical="center"/>
    </xf>
    <xf numFmtId="170" fontId="30" fillId="0" borderId="0" xfId="0" applyNumberFormat="1" applyFont="1" applyAlignment="1">
      <alignment horizontal="center" vertical="center"/>
    </xf>
    <xf numFmtId="3" fontId="30" fillId="0" borderId="0" xfId="0" applyNumberFormat="1" applyFont="1" applyAlignment="1">
      <alignment horizontal="center" vertical="center" wrapText="1"/>
    </xf>
    <xf numFmtId="0" fontId="46" fillId="0" borderId="0" xfId="0" applyFont="1" applyAlignment="1">
      <alignment horizontal="center" vertical="center" wrapText="1"/>
    </xf>
    <xf numFmtId="14" fontId="46" fillId="0" borderId="0" xfId="0" applyNumberFormat="1" applyFont="1" applyAlignment="1">
      <alignment horizontal="center" vertical="center" wrapText="1"/>
    </xf>
    <xf numFmtId="10" fontId="46" fillId="0" borderId="0" xfId="7" applyNumberFormat="1" applyFont="1" applyAlignment="1">
      <alignment horizontal="center" vertical="center" wrapText="1"/>
    </xf>
    <xf numFmtId="14" fontId="46" fillId="0" borderId="0" xfId="6" applyNumberFormat="1" applyFont="1" applyFill="1" applyBorder="1" applyAlignment="1">
      <alignment horizontal="center" vertical="center" wrapText="1"/>
    </xf>
    <xf numFmtId="0" fontId="30" fillId="0" borderId="0" xfId="0" applyFont="1" applyAlignment="1">
      <alignment horizontal="center" vertical="center"/>
    </xf>
    <xf numFmtId="14" fontId="23" fillId="3" borderId="0" xfId="6" applyNumberFormat="1" applyFont="1" applyFill="1" applyBorder="1" applyAlignment="1">
      <alignment horizontal="center" vertical="center" wrapText="1"/>
    </xf>
    <xf numFmtId="14" fontId="47" fillId="0" borderId="0" xfId="0" applyNumberFormat="1" applyFont="1" applyAlignment="1">
      <alignment horizontal="center" vertical="center" wrapText="1"/>
    </xf>
    <xf numFmtId="14" fontId="7" fillId="0" borderId="0" xfId="6" applyNumberFormat="1" applyFont="1" applyFill="1" applyBorder="1" applyAlignment="1">
      <alignment horizontal="center" vertical="center" wrapText="1"/>
    </xf>
    <xf numFmtId="3" fontId="7" fillId="3" borderId="0" xfId="0" applyNumberFormat="1" applyFont="1" applyFill="1" applyAlignment="1">
      <alignment horizontal="right"/>
    </xf>
    <xf numFmtId="3" fontId="12" fillId="0" borderId="0" xfId="0" applyNumberFormat="1" applyFont="1"/>
    <xf numFmtId="0" fontId="7" fillId="3" borderId="0" xfId="0" quotePrefix="1" applyFont="1" applyFill="1"/>
    <xf numFmtId="0" fontId="7" fillId="0" borderId="0" xfId="0" quotePrefix="1" applyFont="1"/>
    <xf numFmtId="17" fontId="23" fillId="0" borderId="0" xfId="0" applyNumberFormat="1" applyFont="1" applyAlignment="1">
      <alignment horizontal="center" vertical="center"/>
    </xf>
    <xf numFmtId="0" fontId="48" fillId="0" borderId="0" xfId="0" applyFont="1" applyAlignment="1">
      <alignment horizontal="center" vertical="center" wrapText="1"/>
    </xf>
    <xf numFmtId="14" fontId="48" fillId="0" borderId="0" xfId="0" applyNumberFormat="1" applyFont="1" applyAlignment="1">
      <alignment horizontal="center" vertical="center" wrapText="1"/>
    </xf>
    <xf numFmtId="171" fontId="23" fillId="0" borderId="0" xfId="0" applyNumberFormat="1" applyFont="1" applyAlignment="1">
      <alignment horizontal="center" vertical="center" wrapText="1"/>
    </xf>
    <xf numFmtId="171" fontId="30" fillId="0" borderId="0" xfId="0" applyNumberFormat="1" applyFont="1" applyAlignment="1">
      <alignment horizontal="center" vertical="center" wrapText="1"/>
    </xf>
    <xf numFmtId="171" fontId="7" fillId="0" borderId="0" xfId="0" applyNumberFormat="1" applyFont="1" applyAlignment="1">
      <alignment horizontal="center" vertical="center"/>
    </xf>
    <xf numFmtId="4" fontId="7" fillId="0" borderId="0" xfId="7" applyNumberFormat="1" applyFont="1" applyAlignment="1">
      <alignment horizontal="center" vertical="center" wrapText="1"/>
    </xf>
    <xf numFmtId="10" fontId="48" fillId="0" borderId="0" xfId="7" applyNumberFormat="1" applyFont="1" applyAlignment="1">
      <alignment horizontal="center" vertical="center" wrapText="1"/>
    </xf>
    <xf numFmtId="4" fontId="30" fillId="0" borderId="0" xfId="0" applyNumberFormat="1" applyFont="1" applyAlignment="1">
      <alignment horizontal="center" vertical="center"/>
    </xf>
    <xf numFmtId="10" fontId="30" fillId="0" borderId="0" xfId="0" applyNumberFormat="1" applyFont="1" applyAlignment="1">
      <alignment horizontal="center" vertical="center" wrapText="1"/>
    </xf>
    <xf numFmtId="167" fontId="30" fillId="0" borderId="0" xfId="1" applyNumberFormat="1" applyFont="1" applyFill="1" applyBorder="1" applyAlignment="1">
      <alignment horizontal="center" vertical="center"/>
    </xf>
    <xf numFmtId="9" fontId="30" fillId="0" borderId="0" xfId="0" applyNumberFormat="1" applyFont="1" applyAlignment="1">
      <alignment horizontal="center" vertical="center"/>
    </xf>
    <xf numFmtId="167" fontId="30" fillId="0" borderId="0" xfId="1" applyNumberFormat="1" applyFont="1" applyFill="1" applyAlignment="1">
      <alignment horizontal="center" vertical="center" wrapText="1"/>
    </xf>
    <xf numFmtId="9" fontId="30" fillId="0" borderId="0" xfId="0" applyNumberFormat="1" applyFont="1" applyAlignment="1">
      <alignment horizontal="center" vertical="center" wrapText="1"/>
    </xf>
    <xf numFmtId="167" fontId="30" fillId="0" borderId="0" xfId="1" applyNumberFormat="1" applyFont="1" applyFill="1" applyBorder="1" applyAlignment="1">
      <alignment horizontal="center" vertical="center" wrapText="1"/>
    </xf>
    <xf numFmtId="171" fontId="30" fillId="0" borderId="0" xfId="0" applyNumberFormat="1" applyFont="1" applyAlignment="1">
      <alignment horizontal="center" vertical="center"/>
    </xf>
    <xf numFmtId="14" fontId="30" fillId="0" borderId="0" xfId="0" applyNumberFormat="1" applyFont="1" applyAlignment="1">
      <alignment horizontal="center" vertical="center"/>
    </xf>
    <xf numFmtId="14" fontId="49" fillId="0" borderId="0" xfId="0" applyNumberFormat="1" applyFont="1" applyAlignment="1">
      <alignment horizontal="center" vertical="center" wrapText="1"/>
    </xf>
    <xf numFmtId="14" fontId="50" fillId="0" borderId="0" xfId="0" applyNumberFormat="1" applyFont="1" applyAlignment="1">
      <alignment horizontal="center" vertical="center" wrapText="1"/>
    </xf>
    <xf numFmtId="14" fontId="50" fillId="0" borderId="0" xfId="6" applyNumberFormat="1" applyFont="1" applyFill="1" applyBorder="1" applyAlignment="1">
      <alignment horizontal="center" vertical="center" wrapText="1"/>
    </xf>
    <xf numFmtId="0" fontId="30" fillId="3" borderId="0" xfId="0" applyFont="1" applyFill="1"/>
    <xf numFmtId="170" fontId="7" fillId="0" borderId="0" xfId="7" applyNumberFormat="1" applyFont="1" applyAlignment="1">
      <alignment horizontal="center" vertical="center"/>
    </xf>
    <xf numFmtId="3" fontId="52" fillId="3" borderId="0" xfId="0" applyNumberFormat="1" applyFont="1" applyFill="1"/>
    <xf numFmtId="171" fontId="53" fillId="0" borderId="0" xfId="0" applyNumberFormat="1" applyFont="1" applyAlignment="1">
      <alignment horizontal="center" vertical="center" wrapText="1"/>
    </xf>
    <xf numFmtId="14" fontId="53" fillId="0" borderId="0" xfId="0" applyNumberFormat="1" applyFont="1" applyAlignment="1">
      <alignment horizontal="center" vertical="center" wrapText="1"/>
    </xf>
    <xf numFmtId="10" fontId="53" fillId="0" borderId="0" xfId="7" applyNumberFormat="1" applyFont="1" applyAlignment="1">
      <alignment horizontal="center" vertical="center" wrapText="1"/>
    </xf>
    <xf numFmtId="0" fontId="53" fillId="0" borderId="0" xfId="0" applyFont="1" applyAlignment="1">
      <alignment horizontal="center" vertical="center" wrapText="1"/>
    </xf>
    <xf numFmtId="14" fontId="54" fillId="0" borderId="0" xfId="0" applyNumberFormat="1" applyFont="1" applyAlignment="1">
      <alignment horizontal="center" vertical="center" wrapText="1"/>
    </xf>
    <xf numFmtId="171" fontId="54" fillId="0" borderId="0" xfId="0" applyNumberFormat="1" applyFont="1" applyAlignment="1">
      <alignment horizontal="center" vertical="center" wrapText="1"/>
    </xf>
    <xf numFmtId="0" fontId="54" fillId="0" borderId="0" xfId="0" applyFont="1" applyAlignment="1">
      <alignment horizontal="center" vertical="center" wrapText="1"/>
    </xf>
    <xf numFmtId="10" fontId="54" fillId="0" borderId="0" xfId="7" applyNumberFormat="1" applyFont="1" applyAlignment="1">
      <alignment horizontal="center" vertical="center" wrapText="1"/>
    </xf>
    <xf numFmtId="14" fontId="54" fillId="0" borderId="0" xfId="6" applyNumberFormat="1" applyFont="1" applyFill="1" applyBorder="1" applyAlignment="1">
      <alignment horizontal="center" vertical="center" wrapText="1"/>
    </xf>
    <xf numFmtId="14" fontId="55" fillId="0" borderId="0" xfId="0" applyNumberFormat="1" applyFont="1" applyAlignment="1">
      <alignment horizontal="center" vertical="center" wrapText="1"/>
    </xf>
    <xf numFmtId="0" fontId="56" fillId="0" borderId="0" xfId="0" applyFont="1" applyAlignment="1">
      <alignment horizontal="center" vertical="center" wrapText="1"/>
    </xf>
    <xf numFmtId="14" fontId="56" fillId="0" borderId="0" xfId="0" applyNumberFormat="1" applyFont="1" applyAlignment="1">
      <alignment horizontal="center" vertical="center" wrapText="1"/>
    </xf>
    <xf numFmtId="14" fontId="56" fillId="0" borderId="0" xfId="6" applyNumberFormat="1" applyFont="1" applyFill="1" applyBorder="1" applyAlignment="1">
      <alignment horizontal="center" vertical="center" wrapText="1"/>
    </xf>
    <xf numFmtId="14" fontId="51" fillId="0" borderId="0" xfId="0" applyNumberFormat="1" applyFont="1" applyAlignment="1">
      <alignment horizontal="center" vertical="center" wrapText="1"/>
    </xf>
    <xf numFmtId="10" fontId="12" fillId="0" borderId="6" xfId="3" applyNumberFormat="1" applyFont="1" applyFill="1" applyBorder="1" applyAlignment="1">
      <alignment horizontal="center"/>
    </xf>
    <xf numFmtId="0" fontId="25" fillId="3" borderId="0" xfId="0" quotePrefix="1" applyFont="1" applyFill="1"/>
    <xf numFmtId="0" fontId="25" fillId="3" borderId="0" xfId="0" quotePrefix="1" applyFont="1" applyFill="1" applyAlignment="1">
      <alignment horizontal="center"/>
    </xf>
    <xf numFmtId="10" fontId="57" fillId="0" borderId="0" xfId="7" applyNumberFormat="1" applyFont="1" applyAlignment="1">
      <alignment horizontal="center" vertical="center" wrapText="1"/>
    </xf>
    <xf numFmtId="0" fontId="25" fillId="3" borderId="0" xfId="0" quotePrefix="1" applyFont="1" applyFill="1" applyAlignment="1">
      <alignment horizontal="left"/>
    </xf>
    <xf numFmtId="14" fontId="57" fillId="0" borderId="0" xfId="0" applyNumberFormat="1" applyFont="1" applyAlignment="1">
      <alignment horizontal="center" vertical="center" wrapText="1"/>
    </xf>
    <xf numFmtId="0" fontId="25" fillId="3" borderId="0" xfId="0" quotePrefix="1" applyFont="1" applyFill="1" applyAlignment="1">
      <alignment wrapText="1"/>
    </xf>
    <xf numFmtId="3" fontId="58" fillId="0" borderId="0" xfId="0" applyNumberFormat="1" applyFont="1" applyAlignment="1">
      <alignment horizontal="right"/>
    </xf>
    <xf numFmtId="3" fontId="58" fillId="0" borderId="0" xfId="0" applyNumberFormat="1" applyFont="1"/>
    <xf numFmtId="9" fontId="58" fillId="0" borderId="0" xfId="0" applyNumberFormat="1" applyFont="1" applyAlignment="1">
      <alignment horizontal="right"/>
    </xf>
    <xf numFmtId="3" fontId="58" fillId="3" borderId="0" xfId="0" applyNumberFormat="1" applyFont="1" applyFill="1"/>
    <xf numFmtId="3" fontId="58" fillId="3" borderId="0" xfId="0" applyNumberFormat="1" applyFont="1" applyFill="1" applyAlignment="1">
      <alignment horizontal="right"/>
    </xf>
    <xf numFmtId="0" fontId="12" fillId="0" borderId="0" xfId="0" applyFont="1" applyAlignment="1">
      <alignment horizontal="center" vertical="center" wrapText="1"/>
    </xf>
    <xf numFmtId="0" fontId="59" fillId="0" borderId="0" xfId="0" applyFont="1" applyAlignment="1">
      <alignment horizontal="center" vertical="center" wrapText="1"/>
    </xf>
    <xf numFmtId="14" fontId="59" fillId="0" borderId="0" xfId="0" applyNumberFormat="1" applyFont="1" applyAlignment="1">
      <alignment horizontal="center" vertical="center" wrapText="1"/>
    </xf>
    <xf numFmtId="14" fontId="60" fillId="0" borderId="0" xfId="0" applyNumberFormat="1" applyFont="1" applyAlignment="1">
      <alignment horizontal="center" vertical="center" wrapText="1"/>
    </xf>
    <xf numFmtId="0" fontId="18" fillId="0" borderId="0" xfId="0" applyFont="1" applyAlignment="1">
      <alignment horizontal="center"/>
    </xf>
    <xf numFmtId="0" fontId="13" fillId="0" borderId="0" xfId="0" applyFont="1" applyAlignment="1">
      <alignment horizontal="center" vertical="center" wrapText="1"/>
    </xf>
    <xf numFmtId="0" fontId="30" fillId="0" borderId="0" xfId="7" applyFont="1" applyAlignment="1">
      <alignment horizontal="center" vertical="center" wrapText="1"/>
    </xf>
    <xf numFmtId="0" fontId="61" fillId="0" borderId="0" xfId="0" applyFont="1" applyAlignment="1">
      <alignment horizontal="center" vertical="center" wrapText="1"/>
    </xf>
    <xf numFmtId="14" fontId="61" fillId="0" borderId="0" xfId="0" applyNumberFormat="1" applyFont="1" applyAlignment="1">
      <alignment horizontal="center" vertical="center" wrapText="1"/>
    </xf>
    <xf numFmtId="9" fontId="7" fillId="0" borderId="0" xfId="0" applyNumberFormat="1" applyFont="1" applyAlignment="1">
      <alignment horizontal="center" vertical="center"/>
    </xf>
    <xf numFmtId="0" fontId="41" fillId="0" borderId="0" xfId="0" applyFont="1" applyAlignment="1">
      <alignment horizontal="center" vertical="center" wrapText="1"/>
    </xf>
    <xf numFmtId="0" fontId="62" fillId="0" borderId="0" xfId="0" applyFont="1" applyAlignment="1">
      <alignment horizontal="center" vertical="center" wrapText="1"/>
    </xf>
    <xf numFmtId="14" fontId="62" fillId="0" borderId="0" xfId="0" applyNumberFormat="1" applyFont="1" applyAlignment="1">
      <alignment horizontal="center" vertical="center" wrapText="1"/>
    </xf>
    <xf numFmtId="0" fontId="23" fillId="12" borderId="0" xfId="0" applyFont="1" applyFill="1" applyAlignment="1">
      <alignment horizontal="center" vertical="center" wrapText="1"/>
    </xf>
    <xf numFmtId="14" fontId="23" fillId="12" borderId="0" xfId="0" applyNumberFormat="1" applyFont="1" applyFill="1" applyAlignment="1">
      <alignment horizontal="center" vertical="center" wrapText="1"/>
    </xf>
    <xf numFmtId="0" fontId="30" fillId="12" borderId="0" xfId="0" applyFont="1" applyFill="1" applyAlignment="1">
      <alignment horizontal="center" vertical="center" wrapText="1"/>
    </xf>
    <xf numFmtId="0" fontId="23" fillId="13" borderId="0" xfId="0" applyFont="1" applyFill="1" applyAlignment="1">
      <alignment horizontal="center" vertical="center" wrapText="1"/>
    </xf>
    <xf numFmtId="14" fontId="23" fillId="13" borderId="0" xfId="0" applyNumberFormat="1" applyFont="1" applyFill="1" applyAlignment="1">
      <alignment horizontal="center" vertical="center" wrapText="1"/>
    </xf>
    <xf numFmtId="10" fontId="7" fillId="13" borderId="0" xfId="7" applyNumberFormat="1" applyFont="1" applyFill="1" applyAlignment="1">
      <alignment horizontal="center" vertical="center" wrapText="1"/>
    </xf>
    <xf numFmtId="0" fontId="30" fillId="13" borderId="0" xfId="0" applyFont="1" applyFill="1" applyAlignment="1">
      <alignment horizontal="center" vertical="center" wrapText="1"/>
    </xf>
    <xf numFmtId="10" fontId="30" fillId="13" borderId="0" xfId="7" applyNumberFormat="1" applyFont="1" applyFill="1" applyAlignment="1">
      <alignment horizontal="center" vertical="center" wrapText="1"/>
    </xf>
    <xf numFmtId="0" fontId="62" fillId="13" borderId="0" xfId="0" applyFont="1" applyFill="1" applyAlignment="1">
      <alignment horizontal="center" vertical="center" wrapText="1"/>
    </xf>
    <xf numFmtId="0" fontId="61" fillId="13" borderId="0" xfId="0" applyFont="1" applyFill="1" applyAlignment="1">
      <alignment horizontal="center" vertical="center" wrapText="1"/>
    </xf>
    <xf numFmtId="14" fontId="61" fillId="13" borderId="0" xfId="0" applyNumberFormat="1" applyFont="1" applyFill="1" applyAlignment="1">
      <alignment horizontal="center" vertical="center" wrapText="1"/>
    </xf>
    <xf numFmtId="14" fontId="63" fillId="0" borderId="0" xfId="0" applyNumberFormat="1" applyFont="1" applyAlignment="1">
      <alignment horizontal="center" vertical="center" wrapText="1"/>
    </xf>
    <xf numFmtId="0" fontId="7" fillId="0" borderId="0" xfId="7" applyFont="1" applyAlignment="1">
      <alignment horizontal="center" vertical="center" wrapText="1"/>
    </xf>
    <xf numFmtId="17" fontId="7" fillId="0" borderId="0" xfId="0" applyNumberFormat="1" applyFont="1" applyAlignment="1">
      <alignment horizontal="center" vertical="center"/>
    </xf>
    <xf numFmtId="0" fontId="23" fillId="0" borderId="0" xfId="0" applyFont="1" applyAlignment="1">
      <alignment horizontal="center" vertical="center"/>
    </xf>
    <xf numFmtId="14" fontId="64" fillId="0" borderId="0" xfId="0" applyNumberFormat="1" applyFont="1" applyAlignment="1">
      <alignment horizontal="center" vertical="center" wrapText="1"/>
    </xf>
    <xf numFmtId="14" fontId="65" fillId="0" borderId="0" xfId="0" applyNumberFormat="1" applyFont="1" applyAlignment="1">
      <alignment horizontal="center" vertical="center" wrapText="1"/>
    </xf>
    <xf numFmtId="3" fontId="11" fillId="12" borderId="0" xfId="7" applyNumberFormat="1" applyFont="1" applyFill="1" applyAlignment="1">
      <alignment vertical="top" wrapText="1"/>
    </xf>
    <xf numFmtId="9" fontId="11" fillId="12" borderId="0" xfId="7" applyNumberFormat="1" applyFont="1" applyFill="1" applyAlignment="1">
      <alignment horizontal="center" vertical="top" wrapText="1"/>
    </xf>
    <xf numFmtId="0" fontId="7" fillId="12" borderId="0" xfId="0" applyFont="1" applyFill="1"/>
    <xf numFmtId="0" fontId="25" fillId="12" borderId="0" xfId="0" applyFont="1" applyFill="1"/>
    <xf numFmtId="10" fontId="18" fillId="0" borderId="0" xfId="7" applyNumberFormat="1" applyFont="1" applyAlignment="1">
      <alignment horizontal="center" vertical="center" wrapText="1"/>
    </xf>
    <xf numFmtId="14" fontId="18" fillId="0" borderId="0" xfId="0" applyNumberFormat="1" applyFont="1" applyAlignment="1">
      <alignment horizontal="center" vertical="center" wrapText="1"/>
    </xf>
    <xf numFmtId="2" fontId="30" fillId="0" borderId="0" xfId="0" applyNumberFormat="1" applyFont="1" applyAlignment="1">
      <alignment horizontal="center" vertical="center"/>
    </xf>
    <xf numFmtId="0" fontId="7" fillId="3" borderId="0" xfId="0" applyFont="1" applyFill="1" applyAlignment="1">
      <alignment wrapText="1"/>
    </xf>
    <xf numFmtId="0" fontId="7" fillId="3" borderId="0" xfId="0" applyFont="1" applyFill="1" applyAlignment="1">
      <alignment vertical="center"/>
    </xf>
    <xf numFmtId="3" fontId="7" fillId="3" borderId="0" xfId="0" applyNumberFormat="1" applyFont="1" applyFill="1" applyAlignment="1">
      <alignment vertical="center"/>
    </xf>
    <xf numFmtId="0" fontId="17" fillId="0" borderId="0" xfId="0" applyFont="1" applyAlignment="1">
      <alignment horizontal="center" vertical="center"/>
    </xf>
    <xf numFmtId="0" fontId="18" fillId="3" borderId="0" xfId="0" applyFont="1" applyFill="1" applyAlignment="1">
      <alignment vertical="center"/>
    </xf>
    <xf numFmtId="0" fontId="14" fillId="0" borderId="2" xfId="0" applyFont="1" applyBorder="1" applyAlignment="1">
      <alignment horizontal="center" vertical="center"/>
    </xf>
    <xf numFmtId="0" fontId="14" fillId="0" borderId="0" xfId="0" applyFont="1" applyAlignment="1">
      <alignment horizontal="center" vertical="center"/>
    </xf>
    <xf numFmtId="0" fontId="14" fillId="0" borderId="8" xfId="0" applyFont="1" applyBorder="1" applyAlignment="1">
      <alignment horizontal="center" vertical="center" wrapText="1"/>
    </xf>
    <xf numFmtId="167" fontId="14" fillId="0" borderId="0" xfId="1" applyNumberFormat="1" applyFont="1" applyFill="1" applyBorder="1" applyAlignment="1">
      <alignment horizontal="center" vertical="center"/>
    </xf>
    <xf numFmtId="0" fontId="25" fillId="3" borderId="0" xfId="0" quotePrefix="1" applyFont="1" applyFill="1" applyAlignment="1">
      <alignment horizontal="center" vertical="center"/>
    </xf>
    <xf numFmtId="0" fontId="68" fillId="3" borderId="0" xfId="5" applyFont="1" applyFill="1" applyBorder="1" applyAlignment="1">
      <alignment horizontal="left"/>
    </xf>
    <xf numFmtId="0" fontId="68" fillId="3" borderId="0" xfId="5" applyFont="1" applyFill="1" applyBorder="1" applyAlignment="1"/>
    <xf numFmtId="3" fontId="69" fillId="0" borderId="0" xfId="0" applyNumberFormat="1" applyFont="1"/>
    <xf numFmtId="9" fontId="11" fillId="3" borderId="6" xfId="3" applyFont="1" applyFill="1" applyBorder="1" applyAlignment="1">
      <alignment horizontal="center"/>
    </xf>
    <xf numFmtId="3" fontId="11" fillId="0" borderId="0" xfId="0" applyNumberFormat="1" applyFont="1"/>
    <xf numFmtId="3" fontId="70" fillId="0" borderId="0" xfId="0" applyNumberFormat="1" applyFont="1"/>
    <xf numFmtId="0" fontId="71" fillId="0" borderId="0" xfId="0" applyFont="1" applyAlignment="1">
      <alignment horizontal="center" vertical="center" wrapText="1"/>
    </xf>
    <xf numFmtId="14" fontId="71" fillId="0" borderId="0" xfId="0" applyNumberFormat="1" applyFont="1" applyAlignment="1">
      <alignment horizontal="center" vertical="center" wrapText="1"/>
    </xf>
    <xf numFmtId="14" fontId="72" fillId="0" borderId="0" xfId="0" applyNumberFormat="1" applyFont="1" applyAlignment="1">
      <alignment horizontal="center" vertical="center" wrapText="1"/>
    </xf>
    <xf numFmtId="10" fontId="71" fillId="0" borderId="0" xfId="7" applyNumberFormat="1" applyFont="1" applyAlignment="1">
      <alignment horizontal="center" vertical="center" wrapText="1"/>
    </xf>
    <xf numFmtId="14" fontId="23" fillId="0" borderId="0" xfId="7" applyNumberFormat="1" applyFont="1" applyAlignment="1">
      <alignment horizontal="center" vertical="center" wrapText="1"/>
    </xf>
    <xf numFmtId="14" fontId="62" fillId="0" borderId="0" xfId="7" applyNumberFormat="1" applyFont="1" applyAlignment="1">
      <alignment horizontal="center" vertical="center" wrapText="1"/>
    </xf>
    <xf numFmtId="171" fontId="62" fillId="0" borderId="0" xfId="0" applyNumberFormat="1" applyFont="1" applyAlignment="1">
      <alignment horizontal="center" vertical="center" wrapText="1"/>
    </xf>
    <xf numFmtId="0" fontId="7" fillId="13" borderId="0" xfId="0" applyFont="1" applyFill="1"/>
    <xf numFmtId="10" fontId="7" fillId="12" borderId="0" xfId="7" applyNumberFormat="1" applyFont="1" applyFill="1" applyAlignment="1">
      <alignment horizontal="center" vertical="center" wrapText="1"/>
    </xf>
    <xf numFmtId="14" fontId="74" fillId="0" borderId="0" xfId="0" applyNumberFormat="1" applyFont="1" applyAlignment="1">
      <alignment horizontal="center" vertical="center" wrapText="1"/>
    </xf>
    <xf numFmtId="14" fontId="12" fillId="0" borderId="0" xfId="0" applyNumberFormat="1" applyFont="1" applyAlignment="1">
      <alignment horizontal="center" vertical="center" wrapText="1"/>
    </xf>
    <xf numFmtId="3" fontId="11" fillId="0" borderId="0" xfId="7" applyNumberFormat="1" applyFont="1" applyAlignment="1">
      <alignment vertical="top" wrapText="1"/>
    </xf>
    <xf numFmtId="9" fontId="11" fillId="0" borderId="0" xfId="7" applyNumberFormat="1" applyFont="1" applyAlignment="1">
      <alignment horizontal="center" vertical="top" wrapText="1"/>
    </xf>
    <xf numFmtId="0" fontId="25" fillId="0" borderId="0" xfId="0" applyFont="1"/>
    <xf numFmtId="3" fontId="58" fillId="0" borderId="0" xfId="0" applyNumberFormat="1" applyFont="1" applyAlignment="1">
      <alignment horizontal="center" vertical="center"/>
    </xf>
    <xf numFmtId="166" fontId="7" fillId="0" borderId="0" xfId="0" applyNumberFormat="1" applyFont="1" applyAlignment="1">
      <alignment horizontal="center"/>
    </xf>
    <xf numFmtId="166" fontId="7" fillId="0" borderId="0" xfId="2" applyNumberFormat="1" applyFont="1" applyFill="1" applyAlignment="1">
      <alignment horizontal="center" vertical="top"/>
    </xf>
    <xf numFmtId="166" fontId="7" fillId="0" borderId="0" xfId="2" applyNumberFormat="1" applyFont="1" applyFill="1" applyAlignment="1">
      <alignment horizontal="center" vertical="center"/>
    </xf>
    <xf numFmtId="9" fontId="25" fillId="3" borderId="6" xfId="3" applyFont="1" applyFill="1" applyBorder="1" applyAlignment="1">
      <alignment horizontal="center"/>
    </xf>
    <xf numFmtId="10" fontId="7" fillId="0" borderId="0" xfId="0" applyNumberFormat="1" applyFont="1" applyAlignment="1">
      <alignment horizontal="center" wrapText="1"/>
    </xf>
    <xf numFmtId="0" fontId="53" fillId="3" borderId="0" xfId="0" applyFont="1" applyFill="1" applyAlignment="1">
      <alignment horizontal="center" vertical="center"/>
    </xf>
    <xf numFmtId="165" fontId="0" fillId="0" borderId="0" xfId="0" applyNumberFormat="1" applyAlignment="1">
      <alignment horizontal="center"/>
    </xf>
    <xf numFmtId="172" fontId="7" fillId="0" borderId="0" xfId="2" applyNumberFormat="1" applyFont="1" applyFill="1" applyAlignment="1">
      <alignment horizontal="center" vertical="center"/>
    </xf>
    <xf numFmtId="172" fontId="7" fillId="0" borderId="0" xfId="0" applyNumberFormat="1" applyFont="1" applyAlignment="1">
      <alignment horizontal="center" vertical="center"/>
    </xf>
    <xf numFmtId="173" fontId="7" fillId="0" borderId="0" xfId="0" applyNumberFormat="1" applyFont="1" applyAlignment="1">
      <alignment horizontal="center" vertical="center"/>
    </xf>
    <xf numFmtId="173" fontId="7" fillId="0" borderId="0" xfId="2" applyNumberFormat="1" applyFont="1" applyFill="1" applyAlignment="1">
      <alignment horizontal="center" vertical="center"/>
    </xf>
    <xf numFmtId="10" fontId="7" fillId="0" borderId="0" xfId="3" applyNumberFormat="1" applyFont="1" applyFill="1" applyAlignment="1">
      <alignment horizontal="center" vertical="center"/>
    </xf>
    <xf numFmtId="9" fontId="7" fillId="0" borderId="6" xfId="3" applyFont="1" applyFill="1" applyBorder="1" applyAlignment="1">
      <alignment horizontal="center"/>
    </xf>
    <xf numFmtId="3" fontId="75" fillId="0" borderId="0" xfId="0" applyNumberFormat="1" applyFont="1" applyAlignment="1">
      <alignment horizontal="center"/>
    </xf>
    <xf numFmtId="3" fontId="75" fillId="3" borderId="0" xfId="0" applyNumberFormat="1" applyFont="1" applyFill="1" applyAlignment="1">
      <alignment horizontal="center"/>
    </xf>
    <xf numFmtId="4" fontId="30" fillId="13" borderId="0" xfId="0" applyNumberFormat="1" applyFont="1" applyFill="1" applyAlignment="1">
      <alignment horizontal="center" vertical="center"/>
    </xf>
    <xf numFmtId="3" fontId="30" fillId="13" borderId="0" xfId="0" applyNumberFormat="1" applyFont="1" applyFill="1" applyAlignment="1">
      <alignment horizontal="center" vertical="center"/>
    </xf>
    <xf numFmtId="9" fontId="30" fillId="13" borderId="0" xfId="0" applyNumberFormat="1" applyFont="1" applyFill="1" applyAlignment="1">
      <alignment horizontal="center" vertical="center"/>
    </xf>
    <xf numFmtId="167" fontId="30" fillId="13" borderId="0" xfId="1" applyNumberFormat="1" applyFont="1" applyFill="1" applyAlignment="1">
      <alignment horizontal="center" vertical="center" wrapText="1"/>
    </xf>
    <xf numFmtId="0" fontId="77" fillId="0" borderId="0" xfId="0" applyFont="1" applyAlignment="1">
      <alignment horizontal="center"/>
    </xf>
    <xf numFmtId="0" fontId="76" fillId="0" borderId="0" xfId="0" quotePrefix="1" applyFont="1" applyAlignment="1">
      <alignment horizontal="center"/>
    </xf>
    <xf numFmtId="0" fontId="77" fillId="0" borderId="0" xfId="0" applyFont="1" applyAlignment="1">
      <alignment horizontal="center" vertical="center"/>
    </xf>
    <xf numFmtId="0" fontId="11" fillId="13" borderId="0" xfId="4" applyFont="1" applyFill="1" applyBorder="1"/>
    <xf numFmtId="3" fontId="58" fillId="13" borderId="0" xfId="0" applyNumberFormat="1" applyFont="1" applyFill="1" applyAlignment="1">
      <alignment horizontal="right"/>
    </xf>
    <xf numFmtId="3" fontId="58" fillId="13" borderId="0" xfId="0" applyNumberFormat="1" applyFont="1" applyFill="1"/>
    <xf numFmtId="9" fontId="58" fillId="13" borderId="0" xfId="0" applyNumberFormat="1" applyFont="1" applyFill="1" applyAlignment="1">
      <alignment horizontal="right"/>
    </xf>
    <xf numFmtId="0" fontId="10" fillId="13" borderId="0" xfId="5" applyFont="1" applyFill="1" applyBorder="1" applyAlignment="1">
      <alignment horizontal="left"/>
    </xf>
    <xf numFmtId="3" fontId="12" fillId="13" borderId="0" xfId="0" applyNumberFormat="1" applyFont="1" applyFill="1"/>
    <xf numFmtId="0" fontId="25" fillId="13" borderId="0" xfId="0" quotePrefix="1" applyFont="1" applyFill="1"/>
    <xf numFmtId="0" fontId="25" fillId="0" borderId="0" xfId="0" quotePrefix="1" applyFont="1"/>
    <xf numFmtId="0" fontId="10" fillId="0" borderId="0" xfId="5" applyFont="1" applyFill="1" applyBorder="1" applyAlignment="1">
      <alignment horizontal="left"/>
    </xf>
    <xf numFmtId="0" fontId="9" fillId="4" borderId="0" xfId="5" applyFont="1" applyFill="1" applyBorder="1" applyAlignment="1">
      <alignment horizontal="center"/>
    </xf>
    <xf numFmtId="0" fontId="2" fillId="4" borderId="0" xfId="5" applyFont="1" applyFill="1" applyBorder="1" applyAlignment="1">
      <alignment horizontal="center"/>
    </xf>
    <xf numFmtId="0" fontId="0" fillId="4" borderId="0" xfId="5" applyFont="1" applyFill="1" applyBorder="1" applyAlignment="1">
      <alignment horizontal="center"/>
    </xf>
    <xf numFmtId="0" fontId="9" fillId="0" borderId="0" xfId="5" applyFont="1" applyFill="1" applyBorder="1" applyAlignment="1">
      <alignment horizontal="center"/>
    </xf>
    <xf numFmtId="0" fontId="2" fillId="0" borderId="0" xfId="5" applyFont="1" applyFill="1" applyBorder="1" applyAlignment="1">
      <alignment horizontal="center"/>
    </xf>
    <xf numFmtId="0" fontId="2" fillId="13" borderId="0" xfId="5" applyFont="1" applyFill="1" applyBorder="1" applyAlignment="1">
      <alignment horizontal="center"/>
    </xf>
    <xf numFmtId="0" fontId="9" fillId="12" borderId="0" xfId="5" applyFont="1" applyFill="1" applyBorder="1" applyAlignment="1">
      <alignment horizontal="center"/>
    </xf>
    <xf numFmtId="0" fontId="2" fillId="12" borderId="0" xfId="5" applyFont="1" applyFill="1" applyBorder="1" applyAlignment="1">
      <alignment horizontal="center"/>
    </xf>
    <xf numFmtId="0" fontId="7" fillId="0" borderId="0" xfId="0" applyFont="1" applyFill="1"/>
    <xf numFmtId="0" fontId="0" fillId="0" borderId="0" xfId="0" applyNumberFormat="1"/>
    <xf numFmtId="0" fontId="0" fillId="0" borderId="0" xfId="0" applyFill="1"/>
    <xf numFmtId="3" fontId="58" fillId="0" borderId="0" xfId="0" applyNumberFormat="1" applyFont="1" applyFill="1" applyAlignment="1">
      <alignment horizontal="right"/>
    </xf>
    <xf numFmtId="9" fontId="58" fillId="0" borderId="0" xfId="0" applyNumberFormat="1" applyFont="1" applyFill="1" applyAlignment="1">
      <alignment horizontal="right"/>
    </xf>
    <xf numFmtId="3" fontId="12" fillId="0" borderId="0" xfId="0" applyNumberFormat="1" applyFont="1" applyFill="1"/>
    <xf numFmtId="0" fontId="25" fillId="0" borderId="0" xfId="0" quotePrefix="1" applyFont="1" applyFill="1"/>
    <xf numFmtId="0" fontId="0" fillId="0" borderId="0" xfId="0" applyAlignment="1">
      <alignment vertical="center"/>
    </xf>
    <xf numFmtId="0" fontId="0" fillId="0" borderId="0" xfId="0" applyAlignment="1">
      <alignment horizontal="center" vertical="center" wrapText="1"/>
    </xf>
  </cellXfs>
  <cellStyles count="9">
    <cellStyle name="Денежный" xfId="2" builtinId="4"/>
    <cellStyle name="Заголовок 1" xfId="5" builtinId="16"/>
    <cellStyle name="Название" xfId="4" builtinId="15"/>
    <cellStyle name="Обычный" xfId="0" builtinId="0"/>
    <cellStyle name="Обычный 2" xfId="7" xr:uid="{E603EDE9-8A91-4A11-818E-3AFD1ED7F19B}"/>
    <cellStyle name="Плохой" xfId="6" builtinId="27"/>
    <cellStyle name="Процентный" xfId="3" builtinId="5"/>
    <cellStyle name="Финансовый" xfId="1" builtinId="3"/>
    <cellStyle name="Хороший" xfId="8" builtinId="26"/>
  </cellStyles>
  <dxfs count="4273">
    <dxf>
      <font>
        <strike val="0"/>
        <outline val="0"/>
        <shadow val="0"/>
        <u val="none"/>
        <vertAlign val="baseline"/>
        <name val="Calibri"/>
        <scheme val="none"/>
      </font>
      <alignment horizontal="center" vertical="center" textRotation="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Calibri"/>
        <scheme val="minor"/>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name val="Calibri"/>
        <scheme val="none"/>
      </font>
      <alignment horizontal="center" vertical="center" textRotation="0" indent="0" justifyLastLine="0" shrinkToFit="0" readingOrder="0"/>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auto="1"/>
        <name val="Calibri"/>
        <charset val="204"/>
        <scheme val="minor"/>
      </font>
      <numFmt numFmtId="22" formatCode="mmm/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rgb="FF000000"/>
        <name val="Calibri"/>
        <family val="2"/>
        <charset val="204"/>
        <scheme val="none"/>
      </font>
      <fill>
        <patternFill patternType="none">
          <fgColor rgb="FF000000"/>
          <bgColor auto="1"/>
        </patternFill>
      </fill>
      <alignment horizontal="general" vertical="center" textRotation="0" wrapText="0" indent="0" justifyLastLine="0" shrinkToFit="0" readingOrder="0"/>
    </dxf>
    <dxf>
      <font>
        <b val="0"/>
        <strike val="0"/>
        <outline val="0"/>
        <shadow val="0"/>
        <u val="none"/>
        <vertAlign val="baseline"/>
        <sz val="10"/>
        <color theme="1"/>
        <name val="Calibri"/>
        <family val="2"/>
        <charset val="204"/>
        <scheme val="minor"/>
      </font>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0"/>
        <color theme="1"/>
        <name val="Calibri"/>
        <family val="2"/>
        <charset val="204"/>
        <scheme val="minor"/>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family val="2"/>
        <charset val="204"/>
        <scheme val="minor"/>
      </font>
      <numFmt numFmtId="14" formatCode="0.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171" formatCode="[$-F800]dddd\,\ mmmm\ dd\,\ yyyy"/>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color rgb="FF000000"/>
        <name val="Calibri"/>
        <family val="2"/>
        <scheme val="none"/>
      </font>
      <fill>
        <patternFill patternType="none">
          <fgColor rgb="FF000000"/>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0"/>
        <color theme="1"/>
        <name val="Calibri"/>
        <family val="2"/>
        <scheme val="minor"/>
      </font>
      <numFmt numFmtId="3" formatCode="#,##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70" formatCode="[$-419]mmmm\ yyyy;@"/>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family val="2"/>
        <charset val="204"/>
        <scheme val="minor"/>
      </font>
      <numFmt numFmtId="14" formatCode="0.00%"/>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0"/>
        <color rgb="FF000000"/>
        <name val="Calibri"/>
        <family val="2"/>
        <charset val="204"/>
        <scheme val="none"/>
      </font>
      <fill>
        <patternFill patternType="none">
          <fgColor rgb="FF000000"/>
          <bgColor auto="1"/>
        </patternFill>
      </fill>
      <alignment horizontal="general" vertical="center" textRotation="0" wrapText="0" indent="0" justifyLastLine="0" shrinkToFit="0" readingOrder="0"/>
    </dxf>
    <dxf>
      <font>
        <b val="0"/>
        <strike val="0"/>
        <outline val="0"/>
        <shadow val="0"/>
        <u val="none"/>
        <vertAlign val="baseline"/>
        <sz val="10"/>
        <color theme="1"/>
        <name val="Calibri"/>
        <family val="2"/>
        <charset val="204"/>
        <scheme val="minor"/>
      </font>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170" formatCode="[$-419]mmmm\ yyyy;@"/>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22" formatCode="mmm/yy"/>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0"/>
        <color rgb="FF000000"/>
        <name val="Calibri"/>
        <family val="2"/>
        <charset val="204"/>
        <scheme val="none"/>
      </font>
      <fill>
        <patternFill patternType="none">
          <fgColor rgb="FF000000"/>
          <bgColor auto="1"/>
        </patternFill>
      </fill>
      <alignment vertical="center" textRotation="0" indent="0" justifyLastLine="0" shrinkToFit="0" readingOrder="0"/>
    </dxf>
    <dxf>
      <font>
        <b val="0"/>
        <i val="0"/>
        <strike val="0"/>
        <condense val="0"/>
        <extend val="0"/>
        <outline val="0"/>
        <shadow val="0"/>
        <u val="none"/>
        <vertAlign val="baseline"/>
        <sz val="10"/>
        <color theme="1"/>
        <name val="Calibri"/>
        <family val="2"/>
        <charset val="204"/>
        <scheme val="minor"/>
      </font>
      <numFmt numFmtId="167" formatCode="_-* #,##0_р_._-;\-* #,##0_р_._-;_-* &quot;-&quot;??_р_._-;_-@_-"/>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charset val="204"/>
        <scheme val="minor"/>
      </font>
      <numFmt numFmtId="1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rgb="FF000000"/>
        <name val="Calibri"/>
        <scheme val="none"/>
      </font>
      <fill>
        <patternFill patternType="none">
          <fgColor rgb="FF000000"/>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14" formatCode="0.00%"/>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0"/>
        <color theme="1"/>
        <name val="Calibri"/>
        <scheme val="minor"/>
      </font>
      <numFmt numFmtId="173" formatCode="_-* #,##0.00\ [$₽-419]_-;\-* #,##0.00\ [$₽-419]_-;_-* &quot;-&quot;??\ [$₽-419]_-;_-@_-"/>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0"/>
        <color theme="1"/>
        <name val="Calibri"/>
        <scheme val="minor"/>
      </font>
      <numFmt numFmtId="173" formatCode="_-* #,##0.00\ [$₽-419]_-;\-* #,##0.00\ [$₽-419]_-;_-* &quot;-&quot;??\ [$₽-419]_-;_-@_-"/>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0"/>
        <color auto="1"/>
        <name val="Calibri"/>
        <scheme val="minor"/>
      </font>
      <fill>
        <patternFill patternType="none">
          <fgColor indexed="64"/>
          <bgColor auto="1"/>
        </patternFill>
      </fill>
      <alignment horizontal="general" vertical="center" textRotation="0" wrapText="0" indent="0" justifyLastLine="0" shrinkToFit="0" readingOrder="0"/>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font>
    </dxf>
    <dxf>
      <font>
        <color theme="5" tint="-0.24994659260841701"/>
      </font>
    </dxf>
    <dxf>
      <font>
        <color theme="9"/>
      </font>
    </dxf>
    <dxf>
      <font>
        <color theme="5" tint="-0.24994659260841701"/>
      </font>
    </dxf>
    <dxf>
      <font>
        <color theme="9"/>
      </font>
    </dxf>
    <dxf>
      <font>
        <color theme="5" tint="-0.24994659260841701"/>
      </font>
    </dxf>
    <dxf>
      <font>
        <color theme="9" tint="-0.24994659260841701"/>
      </font>
    </dxf>
    <dxf>
      <font>
        <color rgb="FFFF0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9"/>
      </font>
    </dxf>
    <dxf>
      <font>
        <color theme="5" tint="-0.24994659260841701"/>
      </font>
    </dxf>
    <dxf>
      <font>
        <color theme="9"/>
      </font>
    </dxf>
    <dxf>
      <font>
        <color theme="5" tint="-0.24994659260841701"/>
      </font>
    </dxf>
    <dxf>
      <font>
        <color theme="9"/>
      </font>
    </dxf>
    <dxf>
      <font>
        <color theme="5" tint="-0.24994659260841701"/>
      </font>
    </dxf>
    <dxf>
      <font>
        <color theme="9" tint="-0.24994659260841701"/>
      </font>
    </dxf>
    <dxf>
      <font>
        <color rgb="FFFF0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9"/>
      </font>
    </dxf>
    <dxf>
      <font>
        <color theme="5" tint="-0.24994659260841701"/>
      </font>
    </dxf>
    <dxf>
      <font>
        <color theme="9"/>
      </font>
    </dxf>
    <dxf>
      <font>
        <color theme="5" tint="-0.24994659260841701"/>
      </font>
    </dxf>
    <dxf>
      <font>
        <color theme="9"/>
      </font>
    </dxf>
    <dxf>
      <font>
        <color theme="5" tint="-0.24994659260841701"/>
      </font>
    </dxf>
    <dxf>
      <font>
        <color theme="9" tint="-0.24994659260841701"/>
      </font>
    </dxf>
    <dxf>
      <font>
        <color rgb="FFFF0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9"/>
      </font>
    </dxf>
    <dxf>
      <font>
        <color theme="5" tint="-0.24994659260841701"/>
      </font>
    </dxf>
    <dxf>
      <font>
        <color theme="9"/>
      </font>
    </dxf>
    <dxf>
      <font>
        <color theme="5" tint="-0.24994659260841701"/>
      </font>
    </dxf>
    <dxf>
      <font>
        <color theme="9"/>
      </font>
    </dxf>
    <dxf>
      <font>
        <color theme="5" tint="-0.24994659260841701"/>
      </font>
    </dxf>
    <dxf>
      <font>
        <color theme="9" tint="-0.24994659260841701"/>
      </font>
    </dxf>
    <dxf>
      <font>
        <color rgb="FFFF0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9"/>
      </font>
    </dxf>
    <dxf>
      <font>
        <color theme="5" tint="-0.24994659260841701"/>
      </font>
    </dxf>
    <dxf>
      <font>
        <color theme="9"/>
      </font>
    </dxf>
    <dxf>
      <font>
        <color theme="5" tint="-0.24994659260841701"/>
      </font>
    </dxf>
    <dxf>
      <font>
        <color theme="9"/>
      </font>
    </dxf>
    <dxf>
      <font>
        <color theme="5" tint="-0.24994659260841701"/>
      </font>
    </dxf>
    <dxf>
      <font>
        <color theme="9" tint="-0.24994659260841701"/>
      </font>
    </dxf>
    <dxf>
      <font>
        <color rgb="FFFF0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9"/>
      </font>
    </dxf>
    <dxf>
      <font>
        <color theme="5" tint="-0.24994659260841701"/>
      </font>
    </dxf>
    <dxf>
      <font>
        <color theme="9"/>
      </font>
    </dxf>
    <dxf>
      <font>
        <color theme="5" tint="-0.24994659260841701"/>
      </font>
    </dxf>
    <dxf>
      <font>
        <color theme="9"/>
      </font>
    </dxf>
    <dxf>
      <font>
        <color theme="5" tint="-0.24994659260841701"/>
      </font>
    </dxf>
    <dxf>
      <font>
        <color theme="9" tint="-0.24994659260841701"/>
      </font>
    </dxf>
    <dxf>
      <font>
        <color rgb="FFFF0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9"/>
      </font>
    </dxf>
    <dxf>
      <font>
        <color theme="5" tint="-0.24994659260841701"/>
      </font>
    </dxf>
    <dxf>
      <font>
        <color theme="9"/>
      </font>
    </dxf>
    <dxf>
      <font>
        <color theme="5" tint="-0.24994659260841701"/>
      </font>
    </dxf>
    <dxf>
      <font>
        <color theme="9"/>
      </font>
    </dxf>
    <dxf>
      <font>
        <color theme="5" tint="-0.24994659260841701"/>
      </font>
    </dxf>
    <dxf>
      <font>
        <color theme="9" tint="-0.24994659260841701"/>
      </font>
    </dxf>
    <dxf>
      <font>
        <color rgb="FFFF0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FF0000"/>
      </font>
    </dxf>
    <dxf>
      <font>
        <color theme="9" tint="-0.24994659260841701"/>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9"/>
      </font>
    </dxf>
    <dxf>
      <font>
        <color theme="5" tint="-0.24994659260841701"/>
      </font>
    </dxf>
    <dxf>
      <font>
        <color theme="9"/>
      </font>
    </dxf>
    <dxf>
      <font>
        <color theme="5" tint="-0.24994659260841701"/>
      </font>
    </dxf>
    <dxf>
      <font>
        <color theme="9"/>
      </font>
    </dxf>
    <dxf>
      <font>
        <color theme="5" tint="-0.24994659260841701"/>
      </font>
    </dxf>
    <dxf>
      <font>
        <color theme="9" tint="-0.24994659260841701"/>
      </font>
    </dxf>
    <dxf>
      <font>
        <color rgb="FFFF0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9"/>
      </font>
    </dxf>
    <dxf>
      <font>
        <color theme="5" tint="-0.24994659260841701"/>
      </font>
    </dxf>
    <dxf>
      <font>
        <color theme="9"/>
      </font>
    </dxf>
    <dxf>
      <font>
        <color theme="5" tint="-0.24994659260841701"/>
      </font>
    </dxf>
    <dxf>
      <font>
        <color theme="9"/>
      </font>
    </dxf>
    <dxf>
      <font>
        <color theme="5" tint="-0.24994659260841701"/>
      </font>
    </dxf>
    <dxf>
      <font>
        <color theme="9" tint="-0.24994659260841701"/>
      </font>
    </dxf>
    <dxf>
      <font>
        <color rgb="FFFF0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9"/>
      </font>
    </dxf>
    <dxf>
      <font>
        <color theme="5" tint="-0.24994659260841701"/>
      </font>
    </dxf>
    <dxf>
      <font>
        <color theme="9"/>
      </font>
    </dxf>
    <dxf>
      <font>
        <color theme="5" tint="-0.24994659260841701"/>
      </font>
    </dxf>
    <dxf>
      <font>
        <color theme="9"/>
      </font>
    </dxf>
    <dxf>
      <font>
        <color theme="5" tint="-0.24994659260841701"/>
      </font>
    </dxf>
    <dxf>
      <font>
        <color theme="9" tint="-0.24994659260841701"/>
      </font>
    </dxf>
    <dxf>
      <font>
        <color rgb="FFFF0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9"/>
      </font>
    </dxf>
    <dxf>
      <font>
        <color theme="5" tint="-0.24994659260841701"/>
      </font>
    </dxf>
    <dxf>
      <font>
        <color theme="9"/>
      </font>
    </dxf>
    <dxf>
      <font>
        <color theme="5" tint="-0.24994659260841701"/>
      </font>
    </dxf>
    <dxf>
      <font>
        <color theme="9"/>
      </font>
    </dxf>
    <dxf>
      <font>
        <color theme="5" tint="-0.24994659260841701"/>
      </font>
    </dxf>
    <dxf>
      <font>
        <color theme="9" tint="-0.24994659260841701"/>
      </font>
    </dxf>
    <dxf>
      <font>
        <color rgb="FFFF0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9"/>
      </font>
    </dxf>
    <dxf>
      <font>
        <color theme="5" tint="-0.24994659260841701"/>
      </font>
    </dxf>
    <dxf>
      <font>
        <color theme="9"/>
      </font>
    </dxf>
    <dxf>
      <font>
        <color theme="5" tint="-0.24994659260841701"/>
      </font>
    </dxf>
    <dxf>
      <font>
        <color theme="9"/>
      </font>
    </dxf>
    <dxf>
      <font>
        <color theme="5" tint="-0.24994659260841701"/>
      </font>
    </dxf>
    <dxf>
      <font>
        <color theme="9" tint="-0.24994659260841701"/>
      </font>
    </dxf>
    <dxf>
      <font>
        <color rgb="FFFF0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9"/>
      </font>
    </dxf>
    <dxf>
      <font>
        <color theme="5" tint="-0.24994659260841701"/>
      </font>
    </dxf>
    <dxf>
      <font>
        <color theme="9"/>
      </font>
    </dxf>
    <dxf>
      <font>
        <color theme="5" tint="-0.24994659260841701"/>
      </font>
    </dxf>
    <dxf>
      <font>
        <color theme="9"/>
      </font>
    </dxf>
    <dxf>
      <font>
        <color theme="5" tint="-0.24994659260841701"/>
      </font>
    </dxf>
    <dxf>
      <font>
        <color theme="9" tint="-0.24994659260841701"/>
      </font>
    </dxf>
    <dxf>
      <font>
        <color rgb="FFFF0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9"/>
      </font>
    </dxf>
    <dxf>
      <font>
        <color theme="5" tint="-0.24994659260841701"/>
      </font>
    </dxf>
    <dxf>
      <font>
        <color theme="9"/>
      </font>
    </dxf>
    <dxf>
      <font>
        <color theme="5" tint="-0.24994659260841701"/>
      </font>
    </dxf>
    <dxf>
      <font>
        <color theme="9"/>
      </font>
    </dxf>
    <dxf>
      <font>
        <color theme="5" tint="-0.24994659260841701"/>
      </font>
    </dxf>
    <dxf>
      <font>
        <color theme="9" tint="-0.24994659260841701"/>
      </font>
    </dxf>
    <dxf>
      <font>
        <color rgb="FFFF0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9"/>
      </font>
    </dxf>
    <dxf>
      <font>
        <color theme="5" tint="-0.24994659260841701"/>
      </font>
    </dxf>
    <dxf>
      <font>
        <color theme="9"/>
      </font>
    </dxf>
    <dxf>
      <font>
        <color theme="5" tint="-0.24994659260841701"/>
      </font>
    </dxf>
    <dxf>
      <font>
        <color theme="9"/>
      </font>
    </dxf>
    <dxf>
      <font>
        <color theme="5" tint="-0.24994659260841701"/>
      </font>
    </dxf>
    <dxf>
      <font>
        <color theme="9" tint="-0.24994659260841701"/>
      </font>
    </dxf>
    <dxf>
      <font>
        <color rgb="FFFF0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9"/>
      </font>
    </dxf>
    <dxf>
      <font>
        <color theme="5" tint="-0.24994659260841701"/>
      </font>
    </dxf>
    <dxf>
      <font>
        <color theme="9"/>
      </font>
    </dxf>
    <dxf>
      <font>
        <color theme="5" tint="-0.24994659260841701"/>
      </font>
    </dxf>
    <dxf>
      <font>
        <color theme="9"/>
      </font>
    </dxf>
    <dxf>
      <font>
        <color theme="5" tint="-0.24994659260841701"/>
      </font>
    </dxf>
    <dxf>
      <font>
        <color theme="9" tint="-0.24994659260841701"/>
      </font>
    </dxf>
    <dxf>
      <font>
        <color rgb="FFFF0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9"/>
      </font>
    </dxf>
    <dxf>
      <font>
        <color theme="5" tint="-0.24994659260841701"/>
      </font>
    </dxf>
    <dxf>
      <font>
        <color theme="9"/>
      </font>
    </dxf>
    <dxf>
      <font>
        <color theme="5" tint="-0.24994659260841701"/>
      </font>
    </dxf>
    <dxf>
      <font>
        <color theme="9"/>
      </font>
    </dxf>
    <dxf>
      <font>
        <color theme="5" tint="-0.24994659260841701"/>
      </font>
    </dxf>
    <dxf>
      <font>
        <color theme="9" tint="-0.24994659260841701"/>
      </font>
    </dxf>
    <dxf>
      <font>
        <color rgb="FFFF0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9"/>
      </font>
    </dxf>
    <dxf>
      <font>
        <color theme="5" tint="-0.24994659260841701"/>
      </font>
    </dxf>
    <dxf>
      <font>
        <color theme="9"/>
      </font>
    </dxf>
    <dxf>
      <font>
        <color theme="5" tint="-0.24994659260841701"/>
      </font>
    </dxf>
    <dxf>
      <font>
        <color theme="9"/>
      </font>
    </dxf>
    <dxf>
      <font>
        <color theme="5" tint="-0.24994659260841701"/>
      </font>
    </dxf>
    <dxf>
      <font>
        <color theme="9" tint="-0.24994659260841701"/>
      </font>
    </dxf>
    <dxf>
      <font>
        <color rgb="FFFF0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9"/>
      </font>
    </dxf>
    <dxf>
      <font>
        <color theme="5" tint="-0.24994659260841701"/>
      </font>
    </dxf>
    <dxf>
      <font>
        <color theme="9"/>
      </font>
    </dxf>
    <dxf>
      <font>
        <color theme="5" tint="-0.24994659260841701"/>
      </font>
    </dxf>
    <dxf>
      <font>
        <color theme="9"/>
      </font>
    </dxf>
    <dxf>
      <font>
        <color theme="5" tint="-0.24994659260841701"/>
      </font>
    </dxf>
    <dxf>
      <font>
        <color theme="9" tint="-0.24994659260841701"/>
      </font>
    </dxf>
    <dxf>
      <font>
        <color rgb="FFFF0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9"/>
      </font>
    </dxf>
    <dxf>
      <font>
        <color theme="5" tint="-0.24994659260841701"/>
      </font>
    </dxf>
    <dxf>
      <font>
        <color theme="9"/>
      </font>
    </dxf>
    <dxf>
      <font>
        <color theme="5" tint="-0.24994659260841701"/>
      </font>
    </dxf>
    <dxf>
      <font>
        <color theme="9"/>
      </font>
    </dxf>
    <dxf>
      <font>
        <color theme="5" tint="-0.24994659260841701"/>
      </font>
    </dxf>
    <dxf>
      <font>
        <color theme="9" tint="-0.24994659260841701"/>
      </font>
    </dxf>
    <dxf>
      <font>
        <color rgb="FFFF0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9"/>
      </font>
    </dxf>
    <dxf>
      <font>
        <color theme="5" tint="-0.24994659260841701"/>
      </font>
    </dxf>
    <dxf>
      <font>
        <color theme="9"/>
      </font>
    </dxf>
    <dxf>
      <font>
        <color theme="5" tint="-0.24994659260841701"/>
      </font>
    </dxf>
    <dxf>
      <font>
        <color theme="9"/>
      </font>
    </dxf>
    <dxf>
      <font>
        <color theme="5" tint="-0.24994659260841701"/>
      </font>
    </dxf>
    <dxf>
      <font>
        <color theme="9" tint="-0.24994659260841701"/>
      </font>
    </dxf>
    <dxf>
      <font>
        <color rgb="FFFF0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9"/>
      </font>
    </dxf>
    <dxf>
      <font>
        <color theme="5" tint="-0.24994659260841701"/>
      </font>
    </dxf>
    <dxf>
      <font>
        <color theme="9"/>
      </font>
    </dxf>
    <dxf>
      <font>
        <color theme="5" tint="-0.24994659260841701"/>
      </font>
    </dxf>
    <dxf>
      <font>
        <color theme="9"/>
      </font>
    </dxf>
    <dxf>
      <font>
        <color theme="5" tint="-0.24994659260841701"/>
      </font>
    </dxf>
    <dxf>
      <font>
        <color theme="9" tint="-0.24994659260841701"/>
      </font>
    </dxf>
    <dxf>
      <font>
        <color rgb="FFFF0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9"/>
      </font>
    </dxf>
    <dxf>
      <font>
        <color theme="5" tint="-0.24994659260841701"/>
      </font>
    </dxf>
    <dxf>
      <font>
        <color theme="9"/>
      </font>
    </dxf>
    <dxf>
      <font>
        <color theme="5" tint="-0.24994659260841701"/>
      </font>
    </dxf>
    <dxf>
      <font>
        <color theme="9"/>
      </font>
    </dxf>
    <dxf>
      <font>
        <color theme="5" tint="-0.24994659260841701"/>
      </font>
    </dxf>
    <dxf>
      <font>
        <color theme="9" tint="-0.24994659260841701"/>
      </font>
    </dxf>
    <dxf>
      <font>
        <color rgb="FFFF0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numFmt numFmtId="0" formatCode="General"/>
    </dxf>
    <dxf>
      <numFmt numFmtId="0" formatCode="General"/>
    </dxf>
    <dxf>
      <numFmt numFmtId="0" formatCode="General"/>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rgb="FF9BC2E6"/>
        </top>
      </border>
    </dxf>
    <dxf>
      <border outline="0">
        <bottom style="thin">
          <color rgb="FF9BC2E6"/>
        </bottom>
      </border>
    </dxf>
    <dxf>
      <border outline="0">
        <left style="thin">
          <color rgb="FF9BC2E6"/>
        </left>
        <top style="thin">
          <color rgb="FF9BC2E6"/>
        </top>
        <bottom style="medium">
          <color rgb="FF000000"/>
        </bottom>
      </border>
    </dxf>
    <dxf>
      <fill>
        <patternFill patternType="none">
          <fgColor rgb="FF000000"/>
          <bgColor auto="1"/>
        </patternFill>
      </fill>
    </dxf>
    <dxf>
      <font>
        <b val="0"/>
        <i val="0"/>
        <strike val="0"/>
        <condense val="0"/>
        <extend val="0"/>
        <outline val="0"/>
        <shadow val="0"/>
        <u val="none"/>
        <vertAlign val="baseline"/>
        <sz val="10"/>
        <color theme="0"/>
        <name val="Calibri"/>
        <scheme val="minor"/>
      </font>
      <fill>
        <patternFill patternType="solid">
          <fgColor theme="4"/>
          <bgColor theme="4"/>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rgb="FF9BC2E6"/>
        </top>
      </border>
    </dxf>
    <dxf>
      <border outline="0">
        <left style="thin">
          <color rgb="FF9BC2E6"/>
        </left>
        <top style="thin">
          <color rgb="FF9BC2E6"/>
        </top>
        <bottom style="medium">
          <color rgb="FF000000"/>
        </bottom>
      </border>
    </dxf>
    <dxf>
      <fill>
        <patternFill patternType="none">
          <fgColor rgb="FF000000"/>
          <bgColor auto="1"/>
        </patternFill>
      </fill>
    </dxf>
    <dxf>
      <border outline="0">
        <bottom style="thin">
          <color rgb="FF9BC2E6"/>
        </bottom>
      </border>
    </dxf>
    <dxf>
      <font>
        <b val="0"/>
        <i val="0"/>
        <strike val="0"/>
        <condense val="0"/>
        <extend val="0"/>
        <outline val="0"/>
        <shadow val="0"/>
        <u val="none"/>
        <vertAlign val="baseline"/>
        <sz val="10"/>
        <color theme="0"/>
        <name val="Calibri"/>
        <scheme val="minor"/>
      </font>
      <fill>
        <patternFill patternType="solid">
          <fgColor theme="4"/>
          <bgColor theme="4"/>
        </patternFill>
      </fill>
      <alignment horizontal="center" vertical="center" textRotation="0" wrapText="1" indent="0" justifyLastLine="0" shrinkToFit="0" readingOrder="0"/>
    </dxf>
    <dxf>
      <font>
        <b val="0"/>
        <strike val="0"/>
        <outline val="0"/>
        <shadow val="0"/>
        <u val="none"/>
        <vertAlign val="baseline"/>
        <sz val="10"/>
        <color theme="1"/>
        <name val="Calibri"/>
        <family val="2"/>
        <scheme val="minor"/>
      </font>
      <fill>
        <patternFill patternType="none">
          <fgColor indexed="64"/>
          <bgColor auto="1"/>
        </patternFill>
      </fill>
    </dxf>
    <dxf>
      <font>
        <b val="0"/>
        <strike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scheme val="minor"/>
      </font>
      <numFmt numFmtId="171" formatCode="[$-F800]dddd\,\ mmmm\ dd\,\ yyyy"/>
      <fill>
        <patternFill patternType="none">
          <fgColor indexed="64"/>
          <bgColor indexed="65"/>
        </patternFill>
      </fill>
      <alignment horizontal="center" vertical="center" textRotation="0" wrapText="0" indent="0" justifyLastLine="0" shrinkToFit="0" readingOrder="0"/>
    </dxf>
    <dxf>
      <border outline="0">
        <top style="thin">
          <color rgb="FF8EA9DB"/>
        </top>
      </border>
    </dxf>
    <dxf>
      <font>
        <b val="0"/>
        <strike val="0"/>
        <outline val="0"/>
        <shadow val="0"/>
        <u val="none"/>
        <vertAlign val="baseline"/>
        <sz val="10"/>
        <color rgb="FF000000"/>
        <name val="Calibri"/>
        <family val="2"/>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solid">
          <fgColor theme="8"/>
          <bgColor theme="8"/>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i/>
        <strike val="0"/>
        <condense val="0"/>
        <extend val="0"/>
        <outline val="0"/>
        <shadow val="0"/>
        <u val="none"/>
        <vertAlign val="baseline"/>
        <sz val="10"/>
        <color rgb="FFFF0000"/>
        <name val="Calibri"/>
        <scheme val="minor"/>
      </font>
      <numFmt numFmtId="166" formatCode="#,##0.00\ &quot;₽&quot;"/>
      <fill>
        <patternFill patternType="none">
          <fgColor indexed="64"/>
          <bgColor indexed="65"/>
        </patternFill>
      </fill>
      <alignment horizontal="center" vertical="bottom" textRotation="0" wrapText="0" indent="0" justifyLastLine="0" shrinkToFit="0" readingOrder="0"/>
    </dxf>
    <dxf>
      <font>
        <b/>
        <i/>
        <strike val="0"/>
        <condense val="0"/>
        <extend val="0"/>
        <outline val="0"/>
        <shadow val="0"/>
        <u val="none"/>
        <vertAlign val="baseline"/>
        <sz val="10"/>
        <color rgb="FF00B050"/>
        <name val="Calibri"/>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65" formatCode="#,##0\ &quot;₽&quo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solid">
          <fgColor rgb="FF000000"/>
          <bgColor rgb="FFFFFFFF"/>
        </patternFill>
      </fill>
      <alignment horizontal="center" vertical="bottom" textRotation="0" wrapText="0" indent="0" justifyLastLine="0" shrinkToFit="0" readingOrder="0"/>
    </dxf>
    <dxf>
      <font>
        <b/>
        <i/>
        <strike val="0"/>
        <condense val="0"/>
        <extend val="0"/>
        <outline val="0"/>
        <shadow val="0"/>
        <u val="none"/>
        <vertAlign val="baseline"/>
        <sz val="10"/>
        <color theme="0"/>
        <name val="Calibri"/>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dxf>
    <dxf>
      <border outline="0">
        <top style="thin">
          <color rgb="FF8EA9DB"/>
        </top>
      </border>
    </dxf>
    <dxf>
      <font>
        <b val="0"/>
        <i val="0"/>
        <strike val="0"/>
        <condense val="0"/>
        <extend val="0"/>
        <outline val="0"/>
        <shadow val="0"/>
        <u val="none"/>
        <vertAlign val="baseline"/>
        <sz val="10"/>
        <color rgb="FF000000"/>
        <name val="Calibri"/>
        <scheme val="none"/>
      </font>
      <fill>
        <patternFill patternType="none">
          <fgColor rgb="FF000000"/>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70" formatCode="[$-419]mmmm\ yyyy;@"/>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4" formatCode="0.00%"/>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rgb="FF000000"/>
        <name val="Calibri"/>
        <family val="2"/>
        <scheme val="none"/>
      </font>
      <fill>
        <patternFill patternType="none">
          <fgColor rgb="FF000000"/>
          <bgColor auto="1"/>
        </patternFill>
      </fill>
      <alignment horizontal="center" vertical="center" textRotation="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170" formatCode="[$-419]mmmm\ 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22" formatCode="mmm/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rgb="FF000000"/>
        <name val="Calibri"/>
        <family val="2"/>
        <charset val="204"/>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67" formatCode="_-* #,##0_р_._-;\-* #,##0_р_._-;_-* &quot;-&quot;??_р_._-;_-@_-"/>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border>
        <top style="thin">
          <color rgb="FF000000"/>
        </top>
      </border>
    </dxf>
    <dxf>
      <font>
        <strike val="0"/>
        <outline val="0"/>
        <shadow val="0"/>
        <u val="none"/>
        <vertAlign val="baseline"/>
        <sz val="10"/>
        <name val="Calibri"/>
        <scheme val="none"/>
      </font>
      <fill>
        <patternFill patternType="none">
          <fgColor rgb="FF000000"/>
          <bgColor auto="1"/>
        </patternFill>
      </fill>
      <border diagonalUp="0" diagonalDown="0" outline="0">
        <left style="thin">
          <color rgb="FF000000"/>
        </left>
        <right style="thin">
          <color rgb="FF000000"/>
        </right>
        <top/>
        <bottom/>
      </border>
    </dxf>
    <dxf>
      <border outline="0">
        <top style="thin">
          <color rgb="FF8EA9DB"/>
        </top>
      </border>
    </dxf>
    <dxf>
      <font>
        <b val="0"/>
        <i val="0"/>
        <strike val="0"/>
        <condense val="0"/>
        <extend val="0"/>
        <outline val="0"/>
        <shadow val="0"/>
        <u val="none"/>
        <vertAlign val="baseline"/>
        <sz val="10"/>
        <color rgb="FF000000"/>
        <name val="Calibri"/>
        <family val="2"/>
        <charset val="204"/>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Calibri"/>
        <scheme val="minor"/>
      </font>
      <fill>
        <patternFill patternType="none">
          <fgColor indexed="64"/>
          <bgColor indexed="65"/>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auto="1"/>
        <name val="Calibri"/>
        <charset val="204"/>
        <scheme val="minor"/>
      </font>
      <numFmt numFmtId="22" formatCode="mmm/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thin">
          <color rgb="FF8EA9DB"/>
        </top>
        <bottom style="thin">
          <color rgb="FF000000"/>
        </bottom>
      </border>
    </dxf>
    <dxf>
      <font>
        <b val="0"/>
        <strike val="0"/>
        <outline val="0"/>
        <shadow val="0"/>
        <u val="none"/>
        <vertAlign val="baseline"/>
        <sz val="10"/>
        <color auto="1"/>
        <name val="Calibri"/>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theme="8"/>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68" formatCode="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rgb="FF000000"/>
        <name val="Calibri"/>
        <scheme val="none"/>
      </font>
      <fill>
        <patternFill patternType="none">
          <fgColor rgb="FF000000"/>
          <bgColor auto="1"/>
        </patternFill>
      </fill>
      <alignment horizontal="center" vertical="center" textRotation="0" indent="0" justifyLastLine="0" shrinkToFit="0" readingOrder="0"/>
    </dxf>
    <dxf>
      <font>
        <b/>
        <i val="0"/>
        <strike val="0"/>
        <condense val="0"/>
        <extend val="0"/>
        <outline val="0"/>
        <shadow val="0"/>
        <u val="none"/>
        <vertAlign val="baseline"/>
        <sz val="10"/>
        <color theme="1"/>
        <name val="Calibri"/>
        <scheme val="minor"/>
      </font>
      <fill>
        <patternFill patternType="solid">
          <fgColor indexed="64"/>
          <bgColor rgb="FFF0F8F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8" tint="0.79998168889431442"/>
          <bgColor theme="8" tint="0.79998168889431442"/>
        </patternFill>
      </fill>
    </dxf>
    <dxf>
      <font>
        <strike val="0"/>
        <outline val="0"/>
        <shadow val="0"/>
        <u val="none"/>
        <vertAlign val="baseline"/>
        <sz val="10"/>
        <name val="Calibri"/>
        <scheme val="none"/>
      </font>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bottom" textRotation="0" wrapText="0" indent="0" justifyLastLine="0" shrinkToFit="0" readingOrder="0"/>
    </dxf>
    <dxf>
      <font>
        <strike val="0"/>
        <outline val="0"/>
        <shadow val="0"/>
        <u val="none"/>
        <vertAlign val="baseline"/>
        <sz val="10"/>
        <color theme="1"/>
        <name val="Calibri"/>
        <scheme val="minor"/>
      </font>
      <numFmt numFmtId="13" formatCode="0%"/>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0"/>
        <color theme="1"/>
        <name val="Calibri"/>
        <family val="2"/>
        <scheme val="minor"/>
      </font>
    </dxf>
    <dxf>
      <font>
        <strike val="0"/>
        <outline val="0"/>
        <shadow val="0"/>
        <u val="none"/>
        <vertAlign val="baseline"/>
        <sz val="10"/>
        <name val="Calibri"/>
        <scheme val="none"/>
      </font>
    </dxf>
    <dxf>
      <font>
        <strike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rgb="FF9BC2E6"/>
        </top>
      </border>
    </dxf>
    <dxf>
      <border outline="0">
        <left style="thin">
          <color rgb="FF9BC2E6"/>
        </left>
        <top style="thin">
          <color rgb="FF9BC2E6"/>
        </top>
        <bottom style="medium">
          <color rgb="FF000000"/>
        </bottom>
      </border>
    </dxf>
    <dxf>
      <fill>
        <patternFill patternType="none">
          <fgColor rgb="FF000000"/>
          <bgColor auto="1"/>
        </patternFill>
      </fill>
    </dxf>
    <dxf>
      <border outline="0">
        <bottom style="thin">
          <color rgb="FF9BC2E6"/>
        </bottom>
      </border>
    </dxf>
    <dxf>
      <font>
        <b val="0"/>
        <i val="0"/>
        <strike val="0"/>
        <condense val="0"/>
        <extend val="0"/>
        <outline val="0"/>
        <shadow val="0"/>
        <u val="none"/>
        <vertAlign val="baseline"/>
        <sz val="10"/>
        <color theme="0"/>
        <name val="Calibri"/>
        <scheme val="minor"/>
      </font>
      <fill>
        <patternFill patternType="solid">
          <fgColor theme="4"/>
          <bgColor theme="4"/>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fill>
        <patternFill patternType="none">
          <fgColor indexed="64"/>
          <bgColor auto="1"/>
        </patternFill>
      </fill>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charset val="204"/>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71" formatCode="[$-F800]dddd\,\ mmmm\ dd\,\ yyyy"/>
      <fill>
        <patternFill patternType="none">
          <fgColor indexed="64"/>
          <bgColor indexed="65"/>
        </patternFill>
      </fill>
      <alignment horizontal="center" vertical="center" textRotation="0" wrapText="0" indent="0" justifyLastLine="0" shrinkToFit="0" readingOrder="0"/>
    </dxf>
    <dxf>
      <border outline="0">
        <top style="thin">
          <color rgb="FF8EA9DB"/>
        </top>
      </border>
    </dxf>
    <dxf>
      <font>
        <b val="0"/>
        <strike val="0"/>
        <outline val="0"/>
        <shadow val="0"/>
        <u val="none"/>
        <vertAlign val="baseline"/>
        <sz val="10"/>
        <color rgb="FF000000"/>
        <name val="Calibri"/>
        <family val="2"/>
        <charset val="204"/>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solid">
          <fgColor theme="8"/>
          <bgColor theme="8"/>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i/>
        <strike val="0"/>
        <condense val="0"/>
        <extend val="0"/>
        <outline val="0"/>
        <shadow val="0"/>
        <u val="none"/>
        <vertAlign val="baseline"/>
        <sz val="10"/>
        <color rgb="FFFF0000"/>
        <name val="Calibri"/>
        <scheme val="minor"/>
      </font>
      <numFmt numFmtId="166" formatCode="#,##0.00\ &quot;₽&quot;"/>
      <fill>
        <patternFill patternType="none">
          <fgColor indexed="64"/>
          <bgColor indexed="65"/>
        </patternFill>
      </fill>
      <alignment horizontal="center" vertical="bottom" textRotation="0" wrapText="0" indent="0" justifyLastLine="0" shrinkToFit="0" readingOrder="0"/>
    </dxf>
    <dxf>
      <font>
        <b/>
        <i/>
        <strike val="0"/>
        <condense val="0"/>
        <extend val="0"/>
        <outline val="0"/>
        <shadow val="0"/>
        <u val="none"/>
        <vertAlign val="baseline"/>
        <sz val="10"/>
        <color rgb="FF00B050"/>
        <name val="Calibri"/>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65" formatCode="#,##0\ &quot;₽&quo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solid">
          <fgColor rgb="FF000000"/>
          <bgColor rgb="FFFFFFFF"/>
        </patternFill>
      </fill>
      <alignment horizontal="center" vertical="bottom" textRotation="0" wrapText="0" indent="0" justifyLastLine="0" shrinkToFit="0" readingOrder="0"/>
    </dxf>
    <dxf>
      <font>
        <b/>
        <i/>
        <strike val="0"/>
        <condense val="0"/>
        <extend val="0"/>
        <outline val="0"/>
        <shadow val="0"/>
        <u val="none"/>
        <vertAlign val="baseline"/>
        <sz val="10"/>
        <color theme="0"/>
        <name val="Calibri"/>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dxf>
    <dxf>
      <border outline="0">
        <top style="thin">
          <color rgb="FF8EA9DB"/>
        </top>
      </border>
    </dxf>
    <dxf>
      <font>
        <b val="0"/>
        <i val="0"/>
        <strike val="0"/>
        <condense val="0"/>
        <extend val="0"/>
        <outline val="0"/>
        <shadow val="0"/>
        <u val="none"/>
        <vertAlign val="baseline"/>
        <sz val="10"/>
        <color rgb="FF000000"/>
        <name val="Calibri"/>
        <scheme val="none"/>
      </font>
      <fill>
        <patternFill patternType="none">
          <fgColor rgb="FF000000"/>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70" formatCode="[$-419]mmmm\ yyyy;@"/>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4" formatCode="0.00%"/>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rgb="FF000000"/>
        <name val="Calibri"/>
        <family val="2"/>
        <scheme val="none"/>
      </font>
      <fill>
        <patternFill patternType="none">
          <fgColor rgb="FF000000"/>
          <bgColor auto="1"/>
        </patternFill>
      </fill>
      <alignment horizontal="center" vertical="center" textRotation="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170" formatCode="[$-419]mmmm\ 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22" formatCode="mmm/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rgb="FF000000"/>
        <name val="Calibri"/>
        <family val="2"/>
        <charset val="204"/>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none"/>
      </font>
      <fill>
        <patternFill patternType="none">
          <fgColor rgb="FF000000"/>
          <bgColor auto="1"/>
        </patternFill>
      </fill>
      <border diagonalUp="0" diagonalDown="0">
        <left style="thin">
          <color rgb="FF000000"/>
        </left>
        <right style="thin">
          <color rgb="FF000000"/>
        </right>
        <top/>
        <bottom/>
      </border>
    </dxf>
    <dxf>
      <font>
        <b val="0"/>
        <i val="0"/>
        <strike val="0"/>
        <condense val="0"/>
        <extend val="0"/>
        <outline val="0"/>
        <shadow val="0"/>
        <u val="none"/>
        <vertAlign val="baseline"/>
        <sz val="10"/>
        <color rgb="FF000000"/>
        <name val="Calibri"/>
        <family val="2"/>
        <charset val="204"/>
        <scheme val="none"/>
      </font>
      <fill>
        <patternFill patternType="none">
          <fgColor rgb="FF000000"/>
          <bgColor auto="1"/>
        </patternFill>
      </fill>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67" formatCode="_-* #,##0_р_._-;\-* #,##0_р_._-;_-* &quot;-&quot;??_р_._-;_-@_-"/>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border>
        <top style="thin">
          <color rgb="FF000000"/>
        </top>
      </border>
    </dxf>
    <dxf>
      <font>
        <strike val="0"/>
        <outline val="0"/>
        <shadow val="0"/>
        <u val="none"/>
        <vertAlign val="baseline"/>
        <sz val="10"/>
        <name val="Calibri"/>
        <scheme val="none"/>
      </font>
      <fill>
        <patternFill patternType="none">
          <fgColor rgb="FF000000"/>
          <bgColor auto="1"/>
        </patternFill>
      </fill>
      <border diagonalUp="0" diagonalDown="0" outline="0">
        <left style="thin">
          <color rgb="FF000000"/>
        </left>
        <right style="thin">
          <color rgb="FF000000"/>
        </right>
        <top/>
        <bottom/>
      </border>
    </dxf>
    <dxf>
      <border outline="0">
        <top style="thin">
          <color rgb="FF8EA9DB"/>
        </top>
      </border>
    </dxf>
    <dxf>
      <font>
        <b val="0"/>
        <i val="0"/>
        <strike val="0"/>
        <condense val="0"/>
        <extend val="0"/>
        <outline val="0"/>
        <shadow val="0"/>
        <u val="none"/>
        <vertAlign val="baseline"/>
        <sz val="10"/>
        <color rgb="FF000000"/>
        <name val="Calibri"/>
        <family val="2"/>
        <charset val="204"/>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Calibri"/>
        <scheme val="minor"/>
      </font>
      <fill>
        <patternFill patternType="none">
          <fgColor indexed="64"/>
          <bgColor indexed="65"/>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auto="1"/>
        <name val="Calibri"/>
        <charset val="204"/>
        <scheme val="minor"/>
      </font>
      <numFmt numFmtId="22" formatCode="mmm/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thin">
          <color rgb="FF8EA9DB"/>
        </top>
        <bottom style="thin">
          <color rgb="FF000000"/>
        </bottom>
      </border>
    </dxf>
    <dxf>
      <font>
        <b val="0"/>
        <strike val="0"/>
        <outline val="0"/>
        <shadow val="0"/>
        <u val="none"/>
        <vertAlign val="baseline"/>
        <sz val="10"/>
        <color auto="1"/>
        <name val="Calibri"/>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theme="8"/>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173" formatCode="_-* #,##0.00\ [$₽-419]_-;\-* #,##0.00\ [$₽-419]_-;_-* &quot;-&quot;??\ [$₽-419]_-;_-@_-"/>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173" formatCode="_-* #,##0.00\ [$₽-419]_-;\-* #,##0.00\ [$₽-419]_-;_-* &quot;-&quot;??\ [$₽-419]_-;_-@_-"/>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rgb="FF000000"/>
        <name val="Calibri"/>
        <scheme val="none"/>
      </font>
      <fill>
        <patternFill patternType="none">
          <fgColor rgb="FF000000"/>
          <bgColor auto="1"/>
        </patternFill>
      </fill>
      <alignment horizontal="center" vertical="center" textRotation="0" indent="0" justifyLastLine="0" shrinkToFit="0" readingOrder="0"/>
    </dxf>
    <dxf>
      <font>
        <b/>
        <i val="0"/>
        <strike val="0"/>
        <condense val="0"/>
        <extend val="0"/>
        <outline val="0"/>
        <shadow val="0"/>
        <u val="none"/>
        <vertAlign val="baseline"/>
        <sz val="10"/>
        <color theme="1"/>
        <name val="Calibri"/>
        <scheme val="minor"/>
      </font>
      <fill>
        <patternFill patternType="solid">
          <fgColor indexed="64"/>
          <bgColor rgb="FFF0F8F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8" tint="0.79998168889431442"/>
          <bgColor theme="8" tint="0.79998168889431442"/>
        </patternFill>
      </fill>
    </dxf>
    <dxf>
      <font>
        <strike val="0"/>
        <outline val="0"/>
        <shadow val="0"/>
        <u val="none"/>
        <vertAlign val="baseline"/>
        <sz val="10"/>
        <name val="Calibri"/>
        <scheme val="none"/>
      </font>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bottom" textRotation="0" wrapText="0" indent="0" justifyLastLine="0" shrinkToFit="0" readingOrder="0"/>
    </dxf>
    <dxf>
      <font>
        <strike val="0"/>
        <outline val="0"/>
        <shadow val="0"/>
        <u val="none"/>
        <vertAlign val="baseline"/>
        <sz val="10"/>
        <color theme="1"/>
        <name val="Calibri"/>
        <scheme val="minor"/>
      </font>
      <numFmt numFmtId="13" formatCode="0%"/>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theme="1"/>
        <name val="Calibri"/>
        <family val="2"/>
        <scheme val="minor"/>
      </font>
      <numFmt numFmtId="3" formatCode="#,##0"/>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0"/>
        <color theme="1"/>
        <name val="Calibri"/>
        <family val="2"/>
        <scheme val="minor"/>
      </font>
    </dxf>
    <dxf>
      <font>
        <strike val="0"/>
        <outline val="0"/>
        <shadow val="0"/>
        <u val="none"/>
        <vertAlign val="baseline"/>
        <sz val="10"/>
        <name val="Calibri"/>
        <scheme val="none"/>
      </font>
    </dxf>
    <dxf>
      <font>
        <strike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rgb="FF9BC2E6"/>
        </top>
      </border>
    </dxf>
    <dxf>
      <border outline="0">
        <left style="thin">
          <color rgb="FF9BC2E6"/>
        </left>
        <top style="thin">
          <color rgb="FF9BC2E6"/>
        </top>
        <bottom style="medium">
          <color rgb="FF000000"/>
        </bottom>
      </border>
    </dxf>
    <dxf>
      <fill>
        <patternFill patternType="none">
          <fgColor rgb="FF000000"/>
          <bgColor auto="1"/>
        </patternFill>
      </fill>
    </dxf>
    <dxf>
      <border outline="0">
        <bottom style="thin">
          <color rgb="FF9BC2E6"/>
        </bottom>
      </border>
    </dxf>
    <dxf>
      <font>
        <b val="0"/>
        <i val="0"/>
        <strike val="0"/>
        <condense val="0"/>
        <extend val="0"/>
        <outline val="0"/>
        <shadow val="0"/>
        <u val="none"/>
        <vertAlign val="baseline"/>
        <sz val="10"/>
        <color theme="0"/>
        <name val="Calibri"/>
        <scheme val="minor"/>
      </font>
      <fill>
        <patternFill patternType="solid">
          <fgColor theme="4"/>
          <bgColor theme="4"/>
        </patternFill>
      </fill>
      <alignment horizontal="center" vertical="center" textRotation="0" wrapText="1" indent="0" justifyLastLine="0" shrinkToFit="0" readingOrder="0"/>
    </dxf>
    <dxf>
      <border outline="0">
        <top style="thin">
          <color rgb="FF8EA9DB"/>
        </top>
      </border>
    </dxf>
    <dxf>
      <font>
        <b/>
        <i val="0"/>
        <strike val="0"/>
        <condense val="0"/>
        <extend val="0"/>
        <outline val="0"/>
        <shadow val="0"/>
        <u val="none"/>
        <vertAlign val="baseline"/>
        <sz val="10"/>
        <color theme="0"/>
        <name val="Calibri"/>
        <scheme val="minor"/>
      </font>
      <fill>
        <patternFill patternType="solid">
          <fgColor theme="8"/>
          <bgColor theme="8"/>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i/>
        <strike val="0"/>
        <condense val="0"/>
        <extend val="0"/>
        <outline val="0"/>
        <shadow val="0"/>
        <u val="none"/>
        <vertAlign val="baseline"/>
        <sz val="10"/>
        <color rgb="FFFF0000"/>
        <name val="Calibri"/>
        <scheme val="minor"/>
      </font>
      <numFmt numFmtId="166" formatCode="#,##0.00\ &quot;₽&quot;"/>
      <fill>
        <patternFill patternType="none">
          <fgColor indexed="64"/>
          <bgColor indexed="65"/>
        </patternFill>
      </fill>
      <alignment horizontal="center" vertical="bottom" textRotation="0" wrapText="0" indent="0" justifyLastLine="0" shrinkToFit="0" readingOrder="0"/>
    </dxf>
    <dxf>
      <font>
        <b/>
        <i/>
        <strike val="0"/>
        <condense val="0"/>
        <extend val="0"/>
        <outline val="0"/>
        <shadow val="0"/>
        <u val="none"/>
        <vertAlign val="baseline"/>
        <sz val="10"/>
        <color rgb="FF00B050"/>
        <name val="Calibri"/>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65" formatCode="#,##0\ &quot;₽&quo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solid">
          <fgColor rgb="FF000000"/>
          <bgColor rgb="FFFFFFFF"/>
        </patternFill>
      </fill>
      <alignment horizontal="center" vertical="bottom" textRotation="0" wrapText="0" indent="0" justifyLastLine="0" shrinkToFit="0" readingOrder="0"/>
    </dxf>
    <dxf>
      <font>
        <b/>
        <i/>
        <strike val="0"/>
        <condense val="0"/>
        <extend val="0"/>
        <outline val="0"/>
        <shadow val="0"/>
        <u val="none"/>
        <vertAlign val="baseline"/>
        <sz val="10"/>
        <color theme="0"/>
        <name val="Calibri"/>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dxf>
    <dxf>
      <border outline="0">
        <top style="thin">
          <color rgb="FF8EA9DB"/>
        </top>
      </border>
    </dxf>
    <dxf>
      <font>
        <b val="0"/>
        <i val="0"/>
        <strike val="0"/>
        <condense val="0"/>
        <extend val="0"/>
        <outline val="0"/>
        <shadow val="0"/>
        <u val="none"/>
        <vertAlign val="baseline"/>
        <sz val="10"/>
        <color rgb="FF000000"/>
        <name val="Calibri"/>
        <scheme val="none"/>
      </font>
      <fill>
        <patternFill patternType="none">
          <fgColor rgb="FF000000"/>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border>
        <top style="thin">
          <color rgb="FF000000"/>
        </top>
      </border>
    </dxf>
    <dxf>
      <font>
        <strike val="0"/>
        <outline val="0"/>
        <shadow val="0"/>
        <u val="none"/>
        <vertAlign val="baseline"/>
        <sz val="10"/>
        <name val="Calibri"/>
        <scheme val="none"/>
      </font>
      <fill>
        <patternFill patternType="none">
          <fgColor rgb="FF000000"/>
          <bgColor auto="1"/>
        </patternFill>
      </fill>
      <border diagonalUp="0" diagonalDown="0" outline="0">
        <left style="thin">
          <color rgb="FF000000"/>
        </left>
        <right style="thin">
          <color rgb="FF000000"/>
        </right>
        <top/>
        <bottom/>
      </border>
    </dxf>
    <dxf>
      <border outline="0">
        <top style="thin">
          <color rgb="FF8EA9DB"/>
        </top>
      </border>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indent="0" justifyLastLine="0" shrinkToFit="0" readingOrder="0"/>
    </dxf>
    <dxf>
      <border outline="0">
        <top style="medium">
          <color rgb="FF000000"/>
        </top>
        <bottom style="thin">
          <color rgb="FF000000"/>
        </bottom>
      </border>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border outline="0">
        <top style="medium">
          <color rgb="FF000000"/>
        </top>
        <bottom style="thin">
          <color rgb="FF000000"/>
        </bottom>
      </border>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thin">
          <color rgb="FF8EA9DB"/>
        </top>
        <bottom style="thin">
          <color rgb="FF000000"/>
        </bottom>
      </border>
    </dxf>
    <dxf>
      <font>
        <b val="0"/>
        <strike val="0"/>
        <outline val="0"/>
        <shadow val="0"/>
        <u val="none"/>
        <vertAlign val="baseline"/>
        <sz val="10"/>
        <color auto="1"/>
        <name val="Calibri"/>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theme="8"/>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1"/>
        <name val="Calibri"/>
        <scheme val="minor"/>
      </font>
      <fill>
        <patternFill patternType="solid">
          <fgColor indexed="64"/>
          <bgColor rgb="FFF0F8F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8" tint="0.79998168889431442"/>
          <bgColor theme="8" tint="0.79998168889431442"/>
        </patternFill>
      </fill>
    </dxf>
    <dxf>
      <font>
        <strike val="0"/>
        <outline val="0"/>
        <shadow val="0"/>
        <u val="none"/>
        <vertAlign val="baseline"/>
        <sz val="10"/>
        <name val="Calibri"/>
        <scheme val="none"/>
      </font>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bottom" textRotation="0" wrapText="0" indent="0" justifyLastLine="0" shrinkToFit="0" readingOrder="0"/>
    </dxf>
    <dxf>
      <font>
        <strike val="0"/>
        <outline val="0"/>
        <shadow val="0"/>
        <u val="none"/>
        <vertAlign val="baseline"/>
        <sz val="10"/>
        <color theme="1"/>
        <name val="Calibri"/>
        <scheme val="minor"/>
      </font>
      <numFmt numFmtId="13" formatCode="0%"/>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theme="1"/>
        <name val="Calibri"/>
        <family val="2"/>
        <scheme val="minor"/>
      </font>
      <numFmt numFmtId="3" formatCode="#,##0"/>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0"/>
        <color theme="1"/>
        <name val="Calibri"/>
        <family val="2"/>
        <scheme val="minor"/>
      </font>
    </dxf>
    <dxf>
      <font>
        <strike val="0"/>
        <outline val="0"/>
        <shadow val="0"/>
        <u val="none"/>
        <vertAlign val="baseline"/>
        <sz val="10"/>
        <name val="Calibri"/>
        <scheme val="none"/>
      </font>
    </dxf>
    <dxf>
      <font>
        <strike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rgb="FF9BC2E6"/>
        </top>
      </border>
    </dxf>
    <dxf>
      <border outline="0">
        <left style="thin">
          <color rgb="FF9BC2E6"/>
        </left>
        <top style="thin">
          <color rgb="FF9BC2E6"/>
        </top>
        <bottom style="medium">
          <color rgb="FF000000"/>
        </bottom>
      </border>
    </dxf>
    <dxf>
      <fill>
        <patternFill patternType="none">
          <fgColor rgb="FF000000"/>
          <bgColor auto="1"/>
        </patternFill>
      </fill>
    </dxf>
    <dxf>
      <border outline="0">
        <bottom style="thin">
          <color rgb="FF9BC2E6"/>
        </bottom>
      </border>
    </dxf>
    <dxf>
      <font>
        <b val="0"/>
        <i val="0"/>
        <strike val="0"/>
        <condense val="0"/>
        <extend val="0"/>
        <outline val="0"/>
        <shadow val="0"/>
        <u val="none"/>
        <vertAlign val="baseline"/>
        <sz val="10"/>
        <color theme="0"/>
        <name val="Calibri"/>
        <scheme val="minor"/>
      </font>
      <fill>
        <patternFill patternType="solid">
          <fgColor theme="4"/>
          <bgColor theme="4"/>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fill>
        <patternFill patternType="none">
          <fgColor indexed="64"/>
          <bgColor auto="1"/>
        </patternFill>
      </fill>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charset val="204"/>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71" formatCode="[$-F800]dddd\,\ mmmm\ dd\,\ yyyy"/>
      <fill>
        <patternFill patternType="none">
          <fgColor indexed="64"/>
          <bgColor indexed="65"/>
        </patternFill>
      </fill>
      <alignment horizontal="center" vertical="center" textRotation="0" wrapText="0" indent="0" justifyLastLine="0" shrinkToFit="0" readingOrder="0"/>
    </dxf>
    <dxf>
      <border outline="0">
        <top style="thin">
          <color rgb="FF8EA9DB"/>
        </top>
      </border>
    </dxf>
    <dxf>
      <font>
        <b val="0"/>
        <strike val="0"/>
        <outline val="0"/>
        <shadow val="0"/>
        <u val="none"/>
        <vertAlign val="baseline"/>
        <sz val="10"/>
        <color rgb="FF000000"/>
        <name val="Calibri"/>
        <family val="2"/>
        <charset val="204"/>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solid">
          <fgColor theme="8"/>
          <bgColor theme="8"/>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i/>
        <strike val="0"/>
        <condense val="0"/>
        <extend val="0"/>
        <outline val="0"/>
        <shadow val="0"/>
        <u val="none"/>
        <vertAlign val="baseline"/>
        <sz val="10"/>
        <color rgb="FFFF0000"/>
        <name val="Calibri"/>
        <scheme val="minor"/>
      </font>
      <numFmt numFmtId="166" formatCode="#,##0.00\ &quot;₽&quot;"/>
      <fill>
        <patternFill patternType="none">
          <fgColor indexed="64"/>
          <bgColor indexed="65"/>
        </patternFill>
      </fill>
      <alignment horizontal="center" vertical="bottom" textRotation="0" wrapText="0" indent="0" justifyLastLine="0" shrinkToFit="0" readingOrder="0"/>
    </dxf>
    <dxf>
      <font>
        <b/>
        <i/>
        <strike val="0"/>
        <condense val="0"/>
        <extend val="0"/>
        <outline val="0"/>
        <shadow val="0"/>
        <u val="none"/>
        <vertAlign val="baseline"/>
        <sz val="10"/>
        <color rgb="FF00B050"/>
        <name val="Calibri"/>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65" formatCode="#,##0\ &quot;₽&quo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solid">
          <fgColor rgb="FF000000"/>
          <bgColor rgb="FFFFFFFF"/>
        </patternFill>
      </fill>
      <alignment horizontal="center" vertical="bottom" textRotation="0" wrapText="0" indent="0" justifyLastLine="0" shrinkToFit="0" readingOrder="0"/>
    </dxf>
    <dxf>
      <font>
        <b/>
        <i/>
        <strike val="0"/>
        <condense val="0"/>
        <extend val="0"/>
        <outline val="0"/>
        <shadow val="0"/>
        <u val="none"/>
        <vertAlign val="baseline"/>
        <sz val="10"/>
        <color theme="0"/>
        <name val="Calibri"/>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dxf>
    <dxf>
      <border outline="0">
        <top style="thin">
          <color rgb="FF8EA9DB"/>
        </top>
      </border>
    </dxf>
    <dxf>
      <font>
        <b val="0"/>
        <i val="0"/>
        <strike val="0"/>
        <condense val="0"/>
        <extend val="0"/>
        <outline val="0"/>
        <shadow val="0"/>
        <u val="none"/>
        <vertAlign val="baseline"/>
        <sz val="10"/>
        <color rgb="FF000000"/>
        <name val="Calibri"/>
        <scheme val="none"/>
      </font>
      <fill>
        <patternFill patternType="none">
          <fgColor rgb="FF000000"/>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70" formatCode="[$-419]mmmm\ yyyy;@"/>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4" formatCode="0.00%"/>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rgb="FF000000"/>
        <name val="Calibri"/>
        <family val="2"/>
        <scheme val="none"/>
      </font>
      <fill>
        <patternFill patternType="none">
          <fgColor rgb="FF000000"/>
          <bgColor auto="1"/>
        </patternFill>
      </fill>
      <alignment horizontal="center" vertical="center" textRotation="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170" formatCode="[$-419]mmmm\ 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22" formatCode="mmm/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rgb="FF000000"/>
        <name val="Calibri"/>
        <family val="2"/>
        <charset val="204"/>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none"/>
      </font>
      <fill>
        <patternFill patternType="none">
          <fgColor rgb="FF000000"/>
          <bgColor auto="1"/>
        </patternFill>
      </fill>
      <border diagonalUp="0" diagonalDown="0">
        <left style="thin">
          <color rgb="FF000000"/>
        </left>
        <right style="thin">
          <color rgb="FF000000"/>
        </right>
        <top/>
        <bottom/>
      </border>
    </dxf>
    <dxf>
      <font>
        <b val="0"/>
        <i val="0"/>
        <strike val="0"/>
        <condense val="0"/>
        <extend val="0"/>
        <outline val="0"/>
        <shadow val="0"/>
        <u val="none"/>
        <vertAlign val="baseline"/>
        <sz val="10"/>
        <color rgb="FF000000"/>
        <name val="Calibri"/>
        <family val="2"/>
        <charset val="204"/>
        <scheme val="none"/>
      </font>
      <fill>
        <patternFill patternType="none">
          <fgColor rgb="FF000000"/>
          <bgColor auto="1"/>
        </patternFill>
      </fill>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67" formatCode="_-* #,##0_р_._-;\-* #,##0_р_._-;_-* &quot;-&quot;??_р_._-;_-@_-"/>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border>
        <top style="thin">
          <color rgb="FF000000"/>
        </top>
      </border>
    </dxf>
    <dxf>
      <font>
        <strike val="0"/>
        <outline val="0"/>
        <shadow val="0"/>
        <u val="none"/>
        <vertAlign val="baseline"/>
        <sz val="10"/>
        <name val="Calibri"/>
        <scheme val="none"/>
      </font>
      <fill>
        <patternFill patternType="none">
          <fgColor rgb="FF000000"/>
          <bgColor auto="1"/>
        </patternFill>
      </fill>
      <border diagonalUp="0" diagonalDown="0" outline="0">
        <left style="thin">
          <color rgb="FF000000"/>
        </left>
        <right style="thin">
          <color rgb="FF000000"/>
        </right>
        <top/>
        <bottom/>
      </border>
    </dxf>
    <dxf>
      <border outline="0">
        <top style="thin">
          <color rgb="FF8EA9DB"/>
        </top>
      </border>
    </dxf>
    <dxf>
      <font>
        <b val="0"/>
        <i val="0"/>
        <strike val="0"/>
        <condense val="0"/>
        <extend val="0"/>
        <outline val="0"/>
        <shadow val="0"/>
        <u val="none"/>
        <vertAlign val="baseline"/>
        <sz val="10"/>
        <color rgb="FF000000"/>
        <name val="Calibri"/>
        <family val="2"/>
        <charset val="204"/>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Calibri"/>
        <scheme val="minor"/>
      </font>
      <fill>
        <patternFill patternType="none">
          <fgColor indexed="64"/>
          <bgColor indexed="65"/>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auto="1"/>
        <name val="Calibri"/>
        <charset val="204"/>
        <scheme val="minor"/>
      </font>
      <numFmt numFmtId="22" formatCode="mmm/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thin">
          <color rgb="FF8EA9DB"/>
        </top>
        <bottom style="thin">
          <color rgb="FF000000"/>
        </bottom>
      </border>
    </dxf>
    <dxf>
      <font>
        <b val="0"/>
        <strike val="0"/>
        <outline val="0"/>
        <shadow val="0"/>
        <u val="none"/>
        <vertAlign val="baseline"/>
        <sz val="10"/>
        <color auto="1"/>
        <name val="Calibri"/>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theme="8"/>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173" formatCode="_-* #,##0.00\ [$₽-419]_-;\-* #,##0.00\ [$₽-419]_-;_-* &quot;-&quot;??\ [$₽-419]_-;_-@_-"/>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173" formatCode="_-* #,##0.00\ [$₽-419]_-;\-* #,##0.00\ [$₽-419]_-;_-* &quot;-&quot;??\ [$₽-419]_-;_-@_-"/>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rgb="FF000000"/>
        <name val="Calibri"/>
        <scheme val="none"/>
      </font>
      <fill>
        <patternFill patternType="none">
          <fgColor rgb="FF000000"/>
          <bgColor auto="1"/>
        </patternFill>
      </fill>
      <alignment horizontal="center" vertical="center" textRotation="0" indent="0" justifyLastLine="0" shrinkToFit="0" readingOrder="0"/>
    </dxf>
    <dxf>
      <font>
        <b/>
        <i val="0"/>
        <strike val="0"/>
        <condense val="0"/>
        <extend val="0"/>
        <outline val="0"/>
        <shadow val="0"/>
        <u val="none"/>
        <vertAlign val="baseline"/>
        <sz val="10"/>
        <color theme="1"/>
        <name val="Calibri"/>
        <scheme val="minor"/>
      </font>
      <fill>
        <patternFill patternType="solid">
          <fgColor indexed="64"/>
          <bgColor rgb="FFF0F8F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8" tint="0.79998168889431442"/>
          <bgColor theme="8" tint="0.79998168889431442"/>
        </patternFill>
      </fill>
    </dxf>
    <dxf>
      <font>
        <strike val="0"/>
        <outline val="0"/>
        <shadow val="0"/>
        <u val="none"/>
        <vertAlign val="baseline"/>
        <sz val="10"/>
        <name val="Calibri"/>
        <scheme val="none"/>
      </font>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bottom" textRotation="0" wrapText="0" indent="0" justifyLastLine="0" shrinkToFit="0" readingOrder="0"/>
    </dxf>
    <dxf>
      <font>
        <strike val="0"/>
        <outline val="0"/>
        <shadow val="0"/>
        <u val="none"/>
        <vertAlign val="baseline"/>
        <sz val="10"/>
        <color theme="1"/>
        <name val="Calibri"/>
        <scheme val="minor"/>
      </font>
      <numFmt numFmtId="13" formatCode="0%"/>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theme="1"/>
        <name val="Calibri"/>
        <family val="2"/>
        <scheme val="minor"/>
      </font>
      <numFmt numFmtId="3" formatCode="#,##0"/>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0"/>
        <color theme="1"/>
        <name val="Calibri"/>
        <family val="2"/>
        <scheme val="minor"/>
      </font>
    </dxf>
    <dxf>
      <font>
        <strike val="0"/>
        <outline val="0"/>
        <shadow val="0"/>
        <u val="none"/>
        <vertAlign val="baseline"/>
        <sz val="10"/>
        <name val="Calibri"/>
        <scheme val="none"/>
      </font>
    </dxf>
    <dxf>
      <font>
        <strike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rgb="FF9BC2E6"/>
        </top>
      </border>
    </dxf>
    <dxf>
      <border outline="0">
        <left style="thin">
          <color rgb="FF9BC2E6"/>
        </left>
        <top style="thin">
          <color rgb="FF9BC2E6"/>
        </top>
        <bottom style="medium">
          <color rgb="FF000000"/>
        </bottom>
      </border>
    </dxf>
    <dxf>
      <fill>
        <patternFill patternType="none">
          <fgColor rgb="FF000000"/>
          <bgColor auto="1"/>
        </patternFill>
      </fill>
    </dxf>
    <dxf>
      <border outline="0">
        <bottom style="thin">
          <color rgb="FF9BC2E6"/>
        </bottom>
      </border>
    </dxf>
    <dxf>
      <font>
        <b val="0"/>
        <i val="0"/>
        <strike val="0"/>
        <condense val="0"/>
        <extend val="0"/>
        <outline val="0"/>
        <shadow val="0"/>
        <u val="none"/>
        <vertAlign val="baseline"/>
        <sz val="10"/>
        <color theme="0"/>
        <name val="Calibri"/>
        <scheme val="minor"/>
      </font>
      <fill>
        <patternFill patternType="solid">
          <fgColor theme="4"/>
          <bgColor theme="4"/>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fill>
        <patternFill patternType="none">
          <fgColor indexed="64"/>
          <bgColor auto="1"/>
        </patternFill>
      </fill>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charset val="204"/>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71" formatCode="[$-F800]dddd\,\ mmmm\ dd\,\ yyyy"/>
      <fill>
        <patternFill patternType="none">
          <fgColor indexed="64"/>
          <bgColor indexed="65"/>
        </patternFill>
      </fill>
      <alignment horizontal="center" vertical="center" textRotation="0" wrapText="0" indent="0" justifyLastLine="0" shrinkToFit="0" readingOrder="0"/>
    </dxf>
    <dxf>
      <border outline="0">
        <top style="thin">
          <color rgb="FF8EA9DB"/>
        </top>
      </border>
    </dxf>
    <dxf>
      <font>
        <b val="0"/>
        <strike val="0"/>
        <outline val="0"/>
        <shadow val="0"/>
        <u val="none"/>
        <vertAlign val="baseline"/>
        <sz val="10"/>
        <color rgb="FF000000"/>
        <name val="Calibri"/>
        <family val="2"/>
        <charset val="204"/>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solid">
          <fgColor theme="8"/>
          <bgColor theme="8"/>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i/>
        <strike val="0"/>
        <condense val="0"/>
        <extend val="0"/>
        <outline val="0"/>
        <shadow val="0"/>
        <u val="none"/>
        <vertAlign val="baseline"/>
        <sz val="10"/>
        <color rgb="FFFF0000"/>
        <name val="Calibri"/>
        <scheme val="minor"/>
      </font>
      <numFmt numFmtId="166" formatCode="#,##0.00\ &quot;₽&quot;"/>
      <fill>
        <patternFill patternType="none">
          <fgColor indexed="64"/>
          <bgColor indexed="65"/>
        </patternFill>
      </fill>
      <alignment horizontal="center" vertical="bottom" textRotation="0" wrapText="0" indent="0" justifyLastLine="0" shrinkToFit="0" readingOrder="0"/>
    </dxf>
    <dxf>
      <font>
        <b/>
        <i/>
        <strike val="0"/>
        <condense val="0"/>
        <extend val="0"/>
        <outline val="0"/>
        <shadow val="0"/>
        <u val="none"/>
        <vertAlign val="baseline"/>
        <sz val="10"/>
        <color rgb="FF00B050"/>
        <name val="Calibri"/>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65" formatCode="#,##0\ &quot;₽&quo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solid">
          <fgColor rgb="FF000000"/>
          <bgColor rgb="FFFFFFFF"/>
        </patternFill>
      </fill>
      <alignment horizontal="center" vertical="bottom" textRotation="0" wrapText="0" indent="0" justifyLastLine="0" shrinkToFit="0" readingOrder="0"/>
    </dxf>
    <dxf>
      <font>
        <b/>
        <i/>
        <strike val="0"/>
        <condense val="0"/>
        <extend val="0"/>
        <outline val="0"/>
        <shadow val="0"/>
        <u val="none"/>
        <vertAlign val="baseline"/>
        <sz val="10"/>
        <color theme="0"/>
        <name val="Calibri"/>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dxf>
    <dxf>
      <border outline="0">
        <top style="thin">
          <color rgb="FF8EA9DB"/>
        </top>
      </border>
    </dxf>
    <dxf>
      <font>
        <b val="0"/>
        <i val="0"/>
        <strike val="0"/>
        <condense val="0"/>
        <extend val="0"/>
        <outline val="0"/>
        <shadow val="0"/>
        <u val="none"/>
        <vertAlign val="baseline"/>
        <sz val="10"/>
        <color rgb="FF000000"/>
        <name val="Calibri"/>
        <scheme val="none"/>
      </font>
      <fill>
        <patternFill patternType="none">
          <fgColor rgb="FF000000"/>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70" formatCode="[$-419]mmmm\ yyyy;@"/>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4" formatCode="0.00%"/>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rgb="FF000000"/>
        <name val="Calibri"/>
        <family val="2"/>
        <scheme val="none"/>
      </font>
      <fill>
        <patternFill patternType="none">
          <fgColor rgb="FF000000"/>
          <bgColor auto="1"/>
        </patternFill>
      </fill>
      <alignment horizontal="center" vertical="center" textRotation="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170" formatCode="[$-419]mmmm\ 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22" formatCode="mmm/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rgb="FF000000"/>
        <name val="Calibri"/>
        <family val="2"/>
        <charset val="204"/>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67" formatCode="_-* #,##0_р_._-;\-* #,##0_р_._-;_-* &quot;-&quot;??_р_._-;_-@_-"/>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border>
        <top style="thin">
          <color rgb="FF000000"/>
        </top>
      </border>
    </dxf>
    <dxf>
      <font>
        <strike val="0"/>
        <outline val="0"/>
        <shadow val="0"/>
        <u val="none"/>
        <vertAlign val="baseline"/>
        <sz val="10"/>
        <name val="Calibri"/>
        <scheme val="none"/>
      </font>
      <fill>
        <patternFill patternType="none">
          <fgColor rgb="FF000000"/>
          <bgColor auto="1"/>
        </patternFill>
      </fill>
      <border diagonalUp="0" diagonalDown="0" outline="0">
        <left style="thin">
          <color rgb="FF000000"/>
        </left>
        <right style="thin">
          <color rgb="FF000000"/>
        </right>
        <top/>
        <bottom/>
      </border>
    </dxf>
    <dxf>
      <border outline="0">
        <top style="thin">
          <color rgb="FF8EA9DB"/>
        </top>
      </border>
    </dxf>
    <dxf>
      <font>
        <b val="0"/>
        <i val="0"/>
        <strike val="0"/>
        <condense val="0"/>
        <extend val="0"/>
        <outline val="0"/>
        <shadow val="0"/>
        <u val="none"/>
        <vertAlign val="baseline"/>
        <sz val="10"/>
        <color rgb="FF000000"/>
        <name val="Calibri"/>
        <family val="2"/>
        <charset val="204"/>
        <scheme val="none"/>
      </font>
      <fill>
        <patternFill patternType="none">
          <fgColor indexed="64"/>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Calibri"/>
        <scheme val="minor"/>
      </font>
      <fill>
        <patternFill patternType="none">
          <fgColor indexed="64"/>
          <bgColor indexed="65"/>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auto="1"/>
        <name val="Calibri"/>
        <charset val="204"/>
        <scheme val="minor"/>
      </font>
      <numFmt numFmtId="22" formatCode="mmm/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thin">
          <color rgb="FF8EA9DB"/>
        </top>
        <bottom style="thin">
          <color rgb="FF000000"/>
        </bottom>
      </border>
    </dxf>
    <dxf>
      <font>
        <b val="0"/>
        <strike val="0"/>
        <outline val="0"/>
        <shadow val="0"/>
        <u val="none"/>
        <vertAlign val="baseline"/>
        <sz val="10"/>
        <color auto="1"/>
        <name val="Calibri"/>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theme="8"/>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173" formatCode="_-* #,##0.00\ [$₽-419]_-;\-* #,##0.00\ [$₽-419]_-;_-* &quot;-&quot;??\ [$₽-419]_-;_-@_-"/>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173" formatCode="_-* #,##0.00\ [$₽-419]_-;\-* #,##0.00\ [$₽-419]_-;_-* &quot;-&quot;??\ [$₽-419]_-;_-@_-"/>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rgb="FF000000"/>
        <name val="Calibri"/>
        <scheme val="none"/>
      </font>
      <fill>
        <patternFill patternType="none">
          <fgColor rgb="FF000000"/>
          <bgColor auto="1"/>
        </patternFill>
      </fill>
      <alignment horizontal="center" vertical="center" textRotation="0" indent="0" justifyLastLine="0" shrinkToFit="0" readingOrder="0"/>
    </dxf>
    <dxf>
      <font>
        <b/>
        <i val="0"/>
        <strike val="0"/>
        <condense val="0"/>
        <extend val="0"/>
        <outline val="0"/>
        <shadow val="0"/>
        <u val="none"/>
        <vertAlign val="baseline"/>
        <sz val="10"/>
        <color theme="1"/>
        <name val="Calibri"/>
        <scheme val="minor"/>
      </font>
      <fill>
        <patternFill patternType="solid">
          <fgColor indexed="64"/>
          <bgColor rgb="FFF0F8F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8" tint="0.79998168889431442"/>
          <bgColor theme="8" tint="0.79998168889431442"/>
        </patternFill>
      </fill>
    </dxf>
    <dxf>
      <font>
        <strike val="0"/>
        <outline val="0"/>
        <shadow val="0"/>
        <u val="none"/>
        <vertAlign val="baseline"/>
        <sz val="10"/>
        <name val="Calibri"/>
        <scheme val="none"/>
      </font>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bottom" textRotation="0" wrapText="0" indent="0" justifyLastLine="0" shrinkToFit="0" readingOrder="0"/>
    </dxf>
    <dxf>
      <font>
        <strike val="0"/>
        <outline val="0"/>
        <shadow val="0"/>
        <u val="none"/>
        <vertAlign val="baseline"/>
        <sz val="10"/>
        <color theme="1"/>
        <name val="Calibri"/>
        <scheme val="minor"/>
      </font>
      <numFmt numFmtId="13" formatCode="0%"/>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theme="1"/>
        <name val="Calibri"/>
        <family val="2"/>
        <scheme val="minor"/>
      </font>
      <numFmt numFmtId="3" formatCode="#,##0"/>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0"/>
        <color theme="1"/>
        <name val="Calibri"/>
        <family val="2"/>
        <scheme val="minor"/>
      </font>
    </dxf>
    <dxf>
      <font>
        <strike val="0"/>
        <outline val="0"/>
        <shadow val="0"/>
        <u val="none"/>
        <vertAlign val="baseline"/>
        <sz val="10"/>
        <name val="Calibri"/>
        <scheme val="none"/>
      </font>
    </dxf>
    <dxf>
      <font>
        <strike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rgb="FF9BC2E6"/>
        </top>
      </border>
    </dxf>
    <dxf>
      <border outline="0">
        <left style="thin">
          <color rgb="FF9BC2E6"/>
        </left>
        <top style="thin">
          <color rgb="FF9BC2E6"/>
        </top>
        <bottom style="medium">
          <color rgb="FF000000"/>
        </bottom>
      </border>
    </dxf>
    <dxf>
      <fill>
        <patternFill patternType="none">
          <fgColor rgb="FF000000"/>
          <bgColor auto="1"/>
        </patternFill>
      </fill>
    </dxf>
    <dxf>
      <border outline="0">
        <bottom style="thin">
          <color rgb="FF9BC2E6"/>
        </bottom>
      </border>
    </dxf>
    <dxf>
      <font>
        <b val="0"/>
        <i val="0"/>
        <strike val="0"/>
        <condense val="0"/>
        <extend val="0"/>
        <outline val="0"/>
        <shadow val="0"/>
        <u val="none"/>
        <vertAlign val="baseline"/>
        <sz val="10"/>
        <color theme="0"/>
        <name val="Calibri"/>
        <scheme val="minor"/>
      </font>
      <fill>
        <patternFill patternType="solid">
          <fgColor theme="4"/>
          <bgColor theme="4"/>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fill>
        <patternFill patternType="none">
          <fgColor indexed="64"/>
          <bgColor auto="1"/>
        </patternFill>
      </fill>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charset val="204"/>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71" formatCode="[$-F800]dddd\,\ mmmm\ dd\,\ yyyy"/>
      <fill>
        <patternFill patternType="none">
          <fgColor indexed="64"/>
          <bgColor indexed="65"/>
        </patternFill>
      </fill>
      <alignment horizontal="center" vertical="center" textRotation="0" wrapText="0" indent="0" justifyLastLine="0" shrinkToFit="0" readingOrder="0"/>
    </dxf>
    <dxf>
      <border outline="0">
        <top style="thin">
          <color rgb="FF8EA9DB"/>
        </top>
      </border>
    </dxf>
    <dxf>
      <font>
        <b val="0"/>
        <strike val="0"/>
        <outline val="0"/>
        <shadow val="0"/>
        <u val="none"/>
        <vertAlign val="baseline"/>
        <sz val="10"/>
        <color theme="1"/>
        <name val="Calibri"/>
        <family val="2"/>
        <charset val="204"/>
        <scheme val="minor"/>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solid">
          <fgColor theme="8"/>
          <bgColor theme="8"/>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i/>
        <strike val="0"/>
        <condense val="0"/>
        <extend val="0"/>
        <outline val="0"/>
        <shadow val="0"/>
        <u val="none"/>
        <vertAlign val="baseline"/>
        <sz val="10"/>
        <color rgb="FFFF0000"/>
        <name val="Calibri"/>
        <scheme val="minor"/>
      </font>
      <numFmt numFmtId="166" formatCode="#,##0.00\ &quot;₽&quot;"/>
      <fill>
        <patternFill patternType="none">
          <fgColor indexed="64"/>
          <bgColor indexed="65"/>
        </patternFill>
      </fill>
      <alignment horizontal="center" vertical="bottom" textRotation="0" wrapText="0" indent="0" justifyLastLine="0" shrinkToFit="0" readingOrder="0"/>
    </dxf>
    <dxf>
      <font>
        <b/>
        <i/>
        <strike val="0"/>
        <condense val="0"/>
        <extend val="0"/>
        <outline val="0"/>
        <shadow val="0"/>
        <u val="none"/>
        <vertAlign val="baseline"/>
        <sz val="10"/>
        <color rgb="FF00B050"/>
        <name val="Calibri"/>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65" formatCode="#,##0\ &quot;₽&quo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solid">
          <fgColor rgb="FF000000"/>
          <bgColor rgb="FFFFFFFF"/>
        </patternFill>
      </fill>
      <alignment horizontal="center" vertical="bottom" textRotation="0" wrapText="0" indent="0" justifyLastLine="0" shrinkToFit="0" readingOrder="0"/>
    </dxf>
    <dxf>
      <font>
        <b/>
        <i/>
        <strike val="0"/>
        <condense val="0"/>
        <extend val="0"/>
        <outline val="0"/>
        <shadow val="0"/>
        <u val="none"/>
        <vertAlign val="baseline"/>
        <sz val="10"/>
        <color theme="0"/>
        <name val="Calibri"/>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dxf>
    <dxf>
      <border outline="0">
        <top style="thin">
          <color rgb="FF8EA9DB"/>
        </top>
      </border>
    </dxf>
    <dxf>
      <font>
        <b val="0"/>
        <i val="0"/>
        <strike val="0"/>
        <condense val="0"/>
        <extend val="0"/>
        <outline val="0"/>
        <shadow val="0"/>
        <u val="none"/>
        <vertAlign val="baseline"/>
        <sz val="10"/>
        <color rgb="FF000000"/>
        <name val="Calibri"/>
        <scheme val="none"/>
      </font>
      <fill>
        <patternFill patternType="none">
          <fgColor rgb="FF000000"/>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70" formatCode="[$-419]mmmm\ yyyy;@"/>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4" formatCode="0.00%"/>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rgb="FF000000"/>
        <name val="Calibri"/>
        <family val="2"/>
        <scheme val="none"/>
      </font>
      <fill>
        <patternFill patternType="none">
          <fgColor rgb="FF000000"/>
          <bgColor auto="1"/>
        </patternFill>
      </fill>
      <alignment horizontal="center" vertical="center" textRotation="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170" formatCode="[$-419]mmmm\ 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22" formatCode="mmm/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rgb="FF000000"/>
        <name val="Calibri"/>
        <family val="2"/>
        <charset val="204"/>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67" formatCode="_-* #,##0_р_._-;\-* #,##0_р_._-;_-* &quot;-&quot;??_р_._-;_-@_-"/>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border>
        <top style="thin">
          <color rgb="FF000000"/>
        </top>
      </border>
    </dxf>
    <dxf>
      <font>
        <strike val="0"/>
        <outline val="0"/>
        <shadow val="0"/>
        <u val="none"/>
        <vertAlign val="baseline"/>
        <sz val="10"/>
        <name val="Calibri"/>
        <scheme val="none"/>
      </font>
      <fill>
        <patternFill patternType="none">
          <fgColor rgb="FF000000"/>
          <bgColor auto="1"/>
        </patternFill>
      </fill>
      <border diagonalUp="0" diagonalDown="0" outline="0">
        <left style="thin">
          <color rgb="FF000000"/>
        </left>
        <right style="thin">
          <color rgb="FF000000"/>
        </right>
        <top/>
        <bottom/>
      </border>
    </dxf>
    <dxf>
      <border outline="0">
        <top style="thin">
          <color rgb="FF8EA9DB"/>
        </top>
      </border>
    </dxf>
    <dxf>
      <font>
        <b val="0"/>
        <i val="0"/>
        <strike val="0"/>
        <condense val="0"/>
        <extend val="0"/>
        <outline val="0"/>
        <shadow val="0"/>
        <u val="none"/>
        <vertAlign val="baseline"/>
        <sz val="10"/>
        <color rgb="FF000000"/>
        <name val="Calibri"/>
        <family val="2"/>
        <charset val="204"/>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Calibri"/>
        <scheme val="minor"/>
      </font>
      <fill>
        <patternFill patternType="none">
          <fgColor indexed="64"/>
          <bgColor indexed="65"/>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auto="1"/>
        <name val="Calibri"/>
        <charset val="204"/>
        <scheme val="minor"/>
      </font>
      <numFmt numFmtId="22" formatCode="mmm/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thin">
          <color rgb="FF8EA9DB"/>
        </top>
        <bottom style="thin">
          <color rgb="FF000000"/>
        </bottom>
      </border>
    </dxf>
    <dxf>
      <font>
        <b val="0"/>
        <strike val="0"/>
        <outline val="0"/>
        <shadow val="0"/>
        <u val="none"/>
        <vertAlign val="baseline"/>
        <sz val="10"/>
        <color auto="1"/>
        <name val="Calibri"/>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theme="8"/>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173" formatCode="_-* #,##0.00\ [$₽-419]_-;\-* #,##0.00\ [$₽-419]_-;_-* &quot;-&quot;??\ [$₽-419]_-;_-@_-"/>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173" formatCode="_-* #,##0.00\ [$₽-419]_-;\-* #,##0.00\ [$₽-419]_-;_-* &quot;-&quot;??\ [$₽-419]_-;_-@_-"/>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rgb="FF000000"/>
        <name val="Calibri"/>
        <scheme val="none"/>
      </font>
      <fill>
        <patternFill patternType="none">
          <fgColor rgb="FF000000"/>
          <bgColor auto="1"/>
        </patternFill>
      </fill>
      <alignment horizontal="center" vertical="center" textRotation="0" indent="0" justifyLastLine="0" shrinkToFit="0" readingOrder="0"/>
    </dxf>
    <dxf>
      <font>
        <b/>
        <i val="0"/>
        <strike val="0"/>
        <condense val="0"/>
        <extend val="0"/>
        <outline val="0"/>
        <shadow val="0"/>
        <u val="none"/>
        <vertAlign val="baseline"/>
        <sz val="10"/>
        <color theme="1"/>
        <name val="Calibri"/>
        <scheme val="minor"/>
      </font>
      <fill>
        <patternFill patternType="solid">
          <fgColor indexed="64"/>
          <bgColor rgb="FFF0F8F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8" tint="0.79998168889431442"/>
          <bgColor theme="8" tint="0.79998168889431442"/>
        </patternFill>
      </fill>
    </dxf>
    <dxf>
      <font>
        <strike val="0"/>
        <outline val="0"/>
        <shadow val="0"/>
        <u val="none"/>
        <vertAlign val="baseline"/>
        <sz val="10"/>
        <name val="Calibri"/>
        <scheme val="none"/>
      </font>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bottom" textRotation="0" wrapText="0" indent="0" justifyLastLine="0" shrinkToFit="0" readingOrder="0"/>
    </dxf>
    <dxf>
      <font>
        <strike val="0"/>
        <outline val="0"/>
        <shadow val="0"/>
        <u val="none"/>
        <vertAlign val="baseline"/>
        <sz val="10"/>
        <color theme="1"/>
        <name val="Calibri"/>
        <scheme val="minor"/>
      </font>
      <numFmt numFmtId="13" formatCode="0%"/>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theme="1"/>
        <name val="Calibri"/>
        <family val="2"/>
        <scheme val="minor"/>
      </font>
      <numFmt numFmtId="3" formatCode="#,##0"/>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0"/>
        <color theme="1"/>
        <name val="Calibri"/>
        <family val="2"/>
        <scheme val="minor"/>
      </font>
    </dxf>
    <dxf>
      <font>
        <strike val="0"/>
        <outline val="0"/>
        <shadow val="0"/>
        <u val="none"/>
        <vertAlign val="baseline"/>
        <sz val="10"/>
        <name val="Calibri"/>
        <scheme val="none"/>
      </font>
    </dxf>
    <dxf>
      <font>
        <strike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rgb="FF9BC2E6"/>
        </top>
      </border>
    </dxf>
    <dxf>
      <border outline="0">
        <left style="thin">
          <color rgb="FF9BC2E6"/>
        </left>
        <top style="thin">
          <color rgb="FF9BC2E6"/>
        </top>
        <bottom style="medium">
          <color rgb="FF000000"/>
        </bottom>
      </border>
    </dxf>
    <dxf>
      <fill>
        <patternFill patternType="none">
          <fgColor rgb="FF000000"/>
          <bgColor auto="1"/>
        </patternFill>
      </fill>
    </dxf>
    <dxf>
      <border outline="0">
        <bottom style="thin">
          <color rgb="FF9BC2E6"/>
        </bottom>
      </border>
    </dxf>
    <dxf>
      <font>
        <b val="0"/>
        <i val="0"/>
        <strike val="0"/>
        <condense val="0"/>
        <extend val="0"/>
        <outline val="0"/>
        <shadow val="0"/>
        <u val="none"/>
        <vertAlign val="baseline"/>
        <sz val="10"/>
        <color theme="0"/>
        <name val="Calibri"/>
        <scheme val="minor"/>
      </font>
      <fill>
        <patternFill patternType="solid">
          <fgColor theme="4"/>
          <bgColor theme="4"/>
        </patternFill>
      </fill>
      <alignment horizontal="center" vertical="center" textRotation="0" wrapText="1" indent="0" justifyLastLine="0" shrinkToFit="0" readingOrder="0"/>
    </dxf>
    <dxf>
      <font>
        <b val="0"/>
        <strike val="0"/>
        <outline val="0"/>
        <shadow val="0"/>
        <u val="none"/>
        <vertAlign val="baseline"/>
        <sz val="10"/>
        <color theme="1"/>
        <name val="Calibri"/>
        <family val="2"/>
        <scheme val="minor"/>
      </font>
      <fill>
        <patternFill patternType="none">
          <fgColor indexed="64"/>
          <bgColor auto="1"/>
        </patternFill>
      </fill>
    </dxf>
    <dxf>
      <font>
        <b val="0"/>
        <strike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scheme val="minor"/>
      </font>
      <numFmt numFmtId="171" formatCode="[$-F800]dddd\,\ mmmm\ dd\,\ yyyy"/>
      <fill>
        <patternFill patternType="none">
          <fgColor indexed="64"/>
          <bgColor indexed="65"/>
        </patternFill>
      </fill>
      <alignment horizontal="center" vertical="center" textRotation="0" wrapText="0" indent="0" justifyLastLine="0" shrinkToFit="0" readingOrder="0"/>
    </dxf>
    <dxf>
      <border outline="0">
        <top style="thin">
          <color rgb="FF8EA9DB"/>
        </top>
      </border>
    </dxf>
    <dxf>
      <font>
        <b val="0"/>
        <strike val="0"/>
        <outline val="0"/>
        <shadow val="0"/>
        <u val="none"/>
        <vertAlign val="baseline"/>
        <sz val="10"/>
        <color rgb="FF000000"/>
        <name val="Calibri"/>
        <family val="2"/>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solid">
          <fgColor theme="8"/>
          <bgColor theme="8"/>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i/>
        <strike val="0"/>
        <condense val="0"/>
        <extend val="0"/>
        <outline val="0"/>
        <shadow val="0"/>
        <u val="none"/>
        <vertAlign val="baseline"/>
        <sz val="10"/>
        <color rgb="FFFF0000"/>
        <name val="Calibri"/>
        <scheme val="minor"/>
      </font>
      <numFmt numFmtId="166" formatCode="#,##0.00\ &quot;₽&quot;"/>
      <fill>
        <patternFill patternType="none">
          <fgColor indexed="64"/>
          <bgColor indexed="65"/>
        </patternFill>
      </fill>
      <alignment horizontal="center" vertical="bottom" textRotation="0" wrapText="0" indent="0" justifyLastLine="0" shrinkToFit="0" readingOrder="0"/>
    </dxf>
    <dxf>
      <font>
        <b/>
        <i/>
        <strike val="0"/>
        <condense val="0"/>
        <extend val="0"/>
        <outline val="0"/>
        <shadow val="0"/>
        <u val="none"/>
        <vertAlign val="baseline"/>
        <sz val="10"/>
        <color rgb="FF00B050"/>
        <name val="Calibri"/>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65" formatCode="#,##0\ &quot;₽&quo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solid">
          <fgColor rgb="FF000000"/>
          <bgColor rgb="FFFFFFFF"/>
        </patternFill>
      </fill>
      <alignment horizontal="center" vertical="bottom" textRotation="0" wrapText="0" indent="0" justifyLastLine="0" shrinkToFit="0" readingOrder="0"/>
    </dxf>
    <dxf>
      <font>
        <b/>
        <i/>
        <strike val="0"/>
        <condense val="0"/>
        <extend val="0"/>
        <outline val="0"/>
        <shadow val="0"/>
        <u val="none"/>
        <vertAlign val="baseline"/>
        <sz val="10"/>
        <color theme="0"/>
        <name val="Calibri"/>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dxf>
    <dxf>
      <border outline="0">
        <top style="thin">
          <color rgb="FF8EA9DB"/>
        </top>
      </border>
    </dxf>
    <dxf>
      <font>
        <b val="0"/>
        <i val="0"/>
        <strike val="0"/>
        <condense val="0"/>
        <extend val="0"/>
        <outline val="0"/>
        <shadow val="0"/>
        <u val="none"/>
        <vertAlign val="baseline"/>
        <sz val="10"/>
        <color rgb="FF000000"/>
        <name val="Calibri"/>
        <scheme val="none"/>
      </font>
      <fill>
        <patternFill patternType="none">
          <fgColor rgb="FF000000"/>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70" formatCode="[$-419]mmmm\ yyyy;@"/>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4" formatCode="0.00%"/>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rgb="FF000000"/>
        <name val="Calibri"/>
        <family val="2"/>
        <scheme val="none"/>
      </font>
      <fill>
        <patternFill patternType="none">
          <fgColor rgb="FF000000"/>
          <bgColor auto="1"/>
        </patternFill>
      </fill>
      <alignment horizontal="center" vertical="center" textRotation="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170" formatCode="[$-419]mmmm\ 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22" formatCode="mmm/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rgb="FF000000"/>
        <name val="Calibri"/>
        <family val="2"/>
        <charset val="204"/>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67" formatCode="_-* #,##0_р_._-;\-* #,##0_р_._-;_-* &quot;-&quot;??_р_._-;_-@_-"/>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border>
        <top style="thin">
          <color rgb="FF000000"/>
        </top>
      </border>
    </dxf>
    <dxf>
      <font>
        <strike val="0"/>
        <outline val="0"/>
        <shadow val="0"/>
        <u val="none"/>
        <vertAlign val="baseline"/>
        <sz val="10"/>
        <name val="Calibri"/>
        <scheme val="none"/>
      </font>
      <fill>
        <patternFill patternType="none">
          <fgColor rgb="FF000000"/>
          <bgColor auto="1"/>
        </patternFill>
      </fill>
      <border diagonalUp="0" diagonalDown="0" outline="0">
        <left style="thin">
          <color rgb="FF000000"/>
        </left>
        <right style="thin">
          <color rgb="FF000000"/>
        </right>
        <top/>
        <bottom/>
      </border>
    </dxf>
    <dxf>
      <border outline="0">
        <top style="thin">
          <color rgb="FF8EA9DB"/>
        </top>
      </border>
    </dxf>
    <dxf>
      <font>
        <b val="0"/>
        <i val="0"/>
        <strike val="0"/>
        <condense val="0"/>
        <extend val="0"/>
        <outline val="0"/>
        <shadow val="0"/>
        <u val="none"/>
        <vertAlign val="baseline"/>
        <sz val="10"/>
        <color rgb="FF000000"/>
        <name val="Calibri"/>
        <family val="2"/>
        <charset val="204"/>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Calibri"/>
        <scheme val="minor"/>
      </font>
      <fill>
        <patternFill patternType="none">
          <fgColor indexed="64"/>
          <bgColor indexed="65"/>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auto="1"/>
        <name val="Calibri"/>
        <charset val="204"/>
        <scheme val="minor"/>
      </font>
      <numFmt numFmtId="22" formatCode="mmm/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thin">
          <color rgb="FF8EA9DB"/>
        </top>
        <bottom style="thin">
          <color rgb="FF000000"/>
        </bottom>
      </border>
    </dxf>
    <dxf>
      <font>
        <b val="0"/>
        <strike val="0"/>
        <outline val="0"/>
        <shadow val="0"/>
        <u val="none"/>
        <vertAlign val="baseline"/>
        <sz val="10"/>
        <color auto="1"/>
        <name val="Calibri"/>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theme="8"/>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172" formatCode="#,##0.00\ [$₽-419]"/>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172" formatCode="#,##0.00\ [$₽-419]"/>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rgb="FF000000"/>
        <name val="Calibri"/>
        <scheme val="none"/>
      </font>
      <fill>
        <patternFill patternType="none">
          <fgColor rgb="FF000000"/>
          <bgColor auto="1"/>
        </patternFill>
      </fill>
      <alignment horizontal="center" vertical="center" textRotation="0" indent="0" justifyLastLine="0" shrinkToFit="0" readingOrder="0"/>
    </dxf>
    <dxf>
      <font>
        <b/>
        <i val="0"/>
        <strike val="0"/>
        <condense val="0"/>
        <extend val="0"/>
        <outline val="0"/>
        <shadow val="0"/>
        <u val="none"/>
        <vertAlign val="baseline"/>
        <sz val="10"/>
        <color theme="1"/>
        <name val="Calibri"/>
        <scheme val="minor"/>
      </font>
      <fill>
        <patternFill patternType="solid">
          <fgColor indexed="64"/>
          <bgColor rgb="FFF0F8F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8" tint="0.79998168889431442"/>
          <bgColor theme="8" tint="0.79998168889431442"/>
        </patternFill>
      </fill>
    </dxf>
    <dxf>
      <font>
        <strike val="0"/>
        <outline val="0"/>
        <shadow val="0"/>
        <u val="none"/>
        <vertAlign val="baseline"/>
        <sz val="10"/>
        <name val="Calibri"/>
        <scheme val="none"/>
      </font>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bottom" textRotation="0" wrapText="0" indent="0" justifyLastLine="0" shrinkToFit="0" readingOrder="0"/>
    </dxf>
    <dxf>
      <font>
        <strike val="0"/>
        <outline val="0"/>
        <shadow val="0"/>
        <u val="none"/>
        <vertAlign val="baseline"/>
        <sz val="10"/>
        <color theme="1"/>
        <name val="Calibri"/>
        <scheme val="minor"/>
      </font>
      <numFmt numFmtId="13" formatCode="0%"/>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0"/>
        <color theme="1"/>
        <name val="Calibri"/>
        <family val="2"/>
        <scheme val="minor"/>
      </font>
    </dxf>
    <dxf>
      <font>
        <strike val="0"/>
        <outline val="0"/>
        <shadow val="0"/>
        <u val="none"/>
        <vertAlign val="baseline"/>
        <sz val="10"/>
        <name val="Calibri"/>
        <scheme val="none"/>
      </font>
    </dxf>
    <dxf>
      <font>
        <strike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rgb="FF9BC2E6"/>
        </top>
      </border>
    </dxf>
    <dxf>
      <border outline="0">
        <left style="thin">
          <color rgb="FF9BC2E6"/>
        </left>
        <top style="thin">
          <color rgb="FF9BC2E6"/>
        </top>
        <bottom style="medium">
          <color rgb="FF000000"/>
        </bottom>
      </border>
    </dxf>
    <dxf>
      <fill>
        <patternFill patternType="none">
          <fgColor rgb="FF000000"/>
          <bgColor auto="1"/>
        </patternFill>
      </fill>
    </dxf>
    <dxf>
      <border outline="0">
        <bottom style="thin">
          <color rgb="FF9BC2E6"/>
        </bottom>
      </border>
    </dxf>
    <dxf>
      <font>
        <b val="0"/>
        <i val="0"/>
        <strike val="0"/>
        <condense val="0"/>
        <extend val="0"/>
        <outline val="0"/>
        <shadow val="0"/>
        <u val="none"/>
        <vertAlign val="baseline"/>
        <sz val="10"/>
        <color theme="0"/>
        <name val="Calibri"/>
        <scheme val="minor"/>
      </font>
      <fill>
        <patternFill patternType="solid">
          <fgColor theme="4"/>
          <bgColor theme="4"/>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fill>
        <patternFill patternType="none">
          <fgColor indexed="64"/>
          <bgColor auto="1"/>
        </patternFill>
      </fill>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charset val="204"/>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71" formatCode="[$-F800]dddd\,\ mmmm\ dd\,\ yyyy"/>
      <fill>
        <patternFill patternType="none">
          <fgColor indexed="64"/>
          <bgColor indexed="65"/>
        </patternFill>
      </fill>
      <alignment horizontal="center" vertical="center" textRotation="0" wrapText="0" indent="0" justifyLastLine="0" shrinkToFit="0" readingOrder="0"/>
    </dxf>
    <dxf>
      <border outline="0">
        <top style="thin">
          <color rgb="FF8EA9DB"/>
        </top>
      </border>
    </dxf>
    <dxf>
      <font>
        <b val="0"/>
        <strike val="0"/>
        <outline val="0"/>
        <shadow val="0"/>
        <u val="none"/>
        <vertAlign val="baseline"/>
        <sz val="10"/>
        <color rgb="FF000000"/>
        <name val="Calibri"/>
        <family val="2"/>
        <charset val="204"/>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solid">
          <fgColor theme="8"/>
          <bgColor theme="8"/>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i/>
        <strike val="0"/>
        <condense val="0"/>
        <extend val="0"/>
        <outline val="0"/>
        <shadow val="0"/>
        <u val="none"/>
        <vertAlign val="baseline"/>
        <sz val="10"/>
        <color rgb="FFFF0000"/>
        <name val="Calibri"/>
        <scheme val="minor"/>
      </font>
      <numFmt numFmtId="166" formatCode="#,##0.00\ &quot;₽&quot;"/>
      <fill>
        <patternFill patternType="none">
          <fgColor indexed="64"/>
          <bgColor indexed="65"/>
        </patternFill>
      </fill>
      <alignment horizontal="center" vertical="bottom" textRotation="0" wrapText="0" indent="0" justifyLastLine="0" shrinkToFit="0" readingOrder="0"/>
    </dxf>
    <dxf>
      <font>
        <b/>
        <i/>
        <strike val="0"/>
        <condense val="0"/>
        <extend val="0"/>
        <outline val="0"/>
        <shadow val="0"/>
        <u val="none"/>
        <vertAlign val="baseline"/>
        <sz val="10"/>
        <color rgb="FF00B050"/>
        <name val="Calibri"/>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65" formatCode="#,##0\ &quot;₽&quo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solid">
          <fgColor rgb="FF000000"/>
          <bgColor rgb="FFFFFFFF"/>
        </patternFill>
      </fill>
      <alignment horizontal="center" vertical="bottom" textRotation="0" wrapText="0" indent="0" justifyLastLine="0" shrinkToFit="0" readingOrder="0"/>
    </dxf>
    <dxf>
      <font>
        <b/>
        <i/>
        <strike val="0"/>
        <condense val="0"/>
        <extend val="0"/>
        <outline val="0"/>
        <shadow val="0"/>
        <u val="none"/>
        <vertAlign val="baseline"/>
        <sz val="10"/>
        <color theme="0"/>
        <name val="Calibri"/>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dxf>
    <dxf>
      <border outline="0">
        <top style="thin">
          <color rgb="FF8EA9DB"/>
        </top>
      </border>
    </dxf>
    <dxf>
      <font>
        <b val="0"/>
        <i val="0"/>
        <strike val="0"/>
        <condense val="0"/>
        <extend val="0"/>
        <outline val="0"/>
        <shadow val="0"/>
        <u val="none"/>
        <vertAlign val="baseline"/>
        <sz val="10"/>
        <color rgb="FF000000"/>
        <name val="Calibri"/>
        <scheme val="none"/>
      </font>
      <fill>
        <patternFill patternType="none">
          <fgColor rgb="FF000000"/>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70" formatCode="[$-419]mmmm\ yyyy;@"/>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4" formatCode="0.00%"/>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rgb="FF000000"/>
        <name val="Calibri"/>
        <family val="2"/>
        <scheme val="none"/>
      </font>
      <fill>
        <patternFill patternType="none">
          <fgColor rgb="FF000000"/>
          <bgColor auto="1"/>
        </patternFill>
      </fill>
      <alignment horizontal="center" vertical="center" textRotation="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170" formatCode="[$-419]mmmm\ 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22" formatCode="mmm/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rgb="FF000000"/>
        <name val="Calibri"/>
        <family val="2"/>
        <charset val="204"/>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67" formatCode="_-* #,##0_р_._-;\-* #,##0_р_._-;_-* &quot;-&quot;??_р_._-;_-@_-"/>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border>
        <top style="thin">
          <color rgb="FF000000"/>
        </top>
      </border>
    </dxf>
    <dxf>
      <font>
        <strike val="0"/>
        <outline val="0"/>
        <shadow val="0"/>
        <u val="none"/>
        <vertAlign val="baseline"/>
        <sz val="10"/>
        <name val="Calibri"/>
        <scheme val="none"/>
      </font>
      <fill>
        <patternFill patternType="none">
          <fgColor rgb="FF000000"/>
          <bgColor auto="1"/>
        </patternFill>
      </fill>
      <border diagonalUp="0" diagonalDown="0" outline="0">
        <left style="thin">
          <color rgb="FF000000"/>
        </left>
        <right style="thin">
          <color rgb="FF000000"/>
        </right>
        <top/>
        <bottom/>
      </border>
    </dxf>
    <dxf>
      <border outline="0">
        <top style="thin">
          <color rgb="FF8EA9DB"/>
        </top>
      </border>
    </dxf>
    <dxf>
      <font>
        <b val="0"/>
        <i val="0"/>
        <strike val="0"/>
        <condense val="0"/>
        <extend val="0"/>
        <outline val="0"/>
        <shadow val="0"/>
        <u val="none"/>
        <vertAlign val="baseline"/>
        <sz val="10"/>
        <color rgb="FF000000"/>
        <name val="Calibri"/>
        <family val="2"/>
        <charset val="204"/>
        <scheme val="none"/>
      </font>
      <fill>
        <patternFill patternType="none">
          <fgColor indexed="64"/>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Calibri"/>
        <scheme val="minor"/>
      </font>
      <fill>
        <patternFill patternType="none">
          <fgColor indexed="64"/>
          <bgColor indexed="65"/>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auto="1"/>
        <name val="Calibri"/>
        <charset val="204"/>
        <scheme val="minor"/>
      </font>
      <numFmt numFmtId="22" formatCode="mmm/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thin">
          <color rgb="FF8EA9DB"/>
        </top>
        <bottom style="thin">
          <color rgb="FF000000"/>
        </bottom>
      </border>
    </dxf>
    <dxf>
      <font>
        <b val="0"/>
        <strike val="0"/>
        <outline val="0"/>
        <shadow val="0"/>
        <u val="none"/>
        <vertAlign val="baseline"/>
        <sz val="10"/>
        <color auto="1"/>
        <name val="Calibri"/>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theme="8"/>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166" formatCode="#,##0.00\ &quot;₽&quo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166" formatCode="#,##0.00\ &quot;₽&quo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rgb="FF000000"/>
        <name val="Calibri"/>
        <scheme val="none"/>
      </font>
      <fill>
        <patternFill patternType="none">
          <fgColor rgb="FF000000"/>
          <bgColor auto="1"/>
        </patternFill>
      </fill>
      <alignment horizontal="center" vertical="center" textRotation="0" indent="0" justifyLastLine="0" shrinkToFit="0" readingOrder="0"/>
    </dxf>
    <dxf>
      <font>
        <b/>
        <i val="0"/>
        <strike val="0"/>
        <condense val="0"/>
        <extend val="0"/>
        <outline val="0"/>
        <shadow val="0"/>
        <u val="none"/>
        <vertAlign val="baseline"/>
        <sz val="10"/>
        <color theme="1"/>
        <name val="Calibri"/>
        <scheme val="minor"/>
      </font>
      <fill>
        <patternFill patternType="solid">
          <fgColor indexed="64"/>
          <bgColor rgb="FFF0F8F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8" tint="0.79998168889431442"/>
          <bgColor theme="8" tint="0.79998168889431442"/>
        </patternFill>
      </fill>
    </dxf>
    <dxf>
      <font>
        <strike val="0"/>
        <outline val="0"/>
        <shadow val="0"/>
        <u val="none"/>
        <vertAlign val="baseline"/>
        <sz val="10"/>
        <name val="Calibri"/>
        <scheme val="none"/>
      </font>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bottom" textRotation="0" wrapText="0" indent="0" justifyLastLine="0" shrinkToFit="0" readingOrder="0"/>
    </dxf>
    <dxf>
      <font>
        <strike val="0"/>
        <outline val="0"/>
        <shadow val="0"/>
        <u val="none"/>
        <vertAlign val="baseline"/>
        <sz val="10"/>
        <color theme="1"/>
        <name val="Calibri"/>
        <scheme val="minor"/>
      </font>
      <numFmt numFmtId="13" formatCode="0%"/>
      <alignment horizontal="center" vertical="bottom" textRotation="0" wrapText="0" indent="0" justifyLastLine="0" shrinkToFit="0" readingOrder="0"/>
    </dxf>
    <dxf>
      <font>
        <strike val="0"/>
        <outline val="0"/>
        <shadow val="0"/>
        <u val="none"/>
        <vertAlign val="baseline"/>
        <sz val="10"/>
        <color theme="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0"/>
        <color theme="1"/>
        <name val="Calibri"/>
        <family val="2"/>
        <scheme val="minor"/>
      </font>
    </dxf>
    <dxf>
      <font>
        <strike val="0"/>
        <outline val="0"/>
        <shadow val="0"/>
        <u val="none"/>
        <vertAlign val="baseline"/>
        <sz val="10"/>
        <name val="Calibri"/>
        <scheme val="none"/>
      </font>
    </dxf>
    <dxf>
      <font>
        <strike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rgb="FF9BC2E6"/>
        </top>
      </border>
    </dxf>
    <dxf>
      <border outline="0">
        <left style="thin">
          <color rgb="FF9BC2E6"/>
        </left>
        <top style="thin">
          <color rgb="FF9BC2E6"/>
        </top>
        <bottom style="medium">
          <color rgb="FF000000"/>
        </bottom>
      </border>
    </dxf>
    <dxf>
      <fill>
        <patternFill patternType="none">
          <fgColor rgb="FF000000"/>
          <bgColor auto="1"/>
        </patternFill>
      </fill>
    </dxf>
    <dxf>
      <border outline="0">
        <bottom style="thin">
          <color rgb="FF9BC2E6"/>
        </bottom>
      </border>
    </dxf>
    <dxf>
      <font>
        <b val="0"/>
        <i val="0"/>
        <strike val="0"/>
        <condense val="0"/>
        <extend val="0"/>
        <outline val="0"/>
        <shadow val="0"/>
        <u val="none"/>
        <vertAlign val="baseline"/>
        <sz val="10"/>
        <color theme="0"/>
        <name val="Calibri"/>
        <scheme val="minor"/>
      </font>
      <fill>
        <patternFill patternType="solid">
          <fgColor theme="4"/>
          <bgColor theme="4"/>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fill>
        <patternFill patternType="none">
          <fgColor indexed="64"/>
          <bgColor auto="1"/>
        </patternFill>
      </fill>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charset val="204"/>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71" formatCode="[$-F800]dddd\,\ mmmm\ dd\,\ yyyy"/>
      <fill>
        <patternFill patternType="none">
          <fgColor indexed="64"/>
          <bgColor indexed="65"/>
        </patternFill>
      </fill>
      <alignment horizontal="center" vertical="center" textRotation="0" wrapText="0" indent="0" justifyLastLine="0" shrinkToFit="0" readingOrder="0"/>
    </dxf>
    <dxf>
      <border outline="0">
        <top style="thin">
          <color rgb="FF8EA9DB"/>
        </top>
      </border>
    </dxf>
    <dxf>
      <font>
        <b val="0"/>
        <strike val="0"/>
        <outline val="0"/>
        <shadow val="0"/>
        <u val="none"/>
        <vertAlign val="baseline"/>
        <sz val="10"/>
        <color rgb="FF000000"/>
        <name val="Calibri"/>
        <family val="2"/>
        <charset val="204"/>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solid">
          <fgColor theme="8"/>
          <bgColor theme="8"/>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i/>
        <strike val="0"/>
        <condense val="0"/>
        <extend val="0"/>
        <outline val="0"/>
        <shadow val="0"/>
        <u val="none"/>
        <vertAlign val="baseline"/>
        <sz val="10"/>
        <color rgb="FFFF0000"/>
        <name val="Calibri"/>
        <scheme val="minor"/>
      </font>
      <numFmt numFmtId="166" formatCode="#,##0.00\ &quot;₽&quot;"/>
      <fill>
        <patternFill patternType="none">
          <fgColor indexed="64"/>
          <bgColor indexed="65"/>
        </patternFill>
      </fill>
      <alignment horizontal="center" vertical="bottom" textRotation="0" wrapText="0" indent="0" justifyLastLine="0" shrinkToFit="0" readingOrder="0"/>
    </dxf>
    <dxf>
      <font>
        <b/>
        <i/>
        <strike val="0"/>
        <condense val="0"/>
        <extend val="0"/>
        <outline val="0"/>
        <shadow val="0"/>
        <u val="none"/>
        <vertAlign val="baseline"/>
        <sz val="10"/>
        <color rgb="FF00B050"/>
        <name val="Calibri"/>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65" formatCode="#,##0\ &quot;₽&quo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solid">
          <fgColor rgb="FF000000"/>
          <bgColor rgb="FFFFFFFF"/>
        </patternFill>
      </fill>
      <alignment horizontal="center" vertical="bottom" textRotation="0" wrapText="0" indent="0" justifyLastLine="0" shrinkToFit="0" readingOrder="0"/>
    </dxf>
    <dxf>
      <font>
        <b/>
        <i/>
        <strike val="0"/>
        <condense val="0"/>
        <extend val="0"/>
        <outline val="0"/>
        <shadow val="0"/>
        <u val="none"/>
        <vertAlign val="baseline"/>
        <sz val="10"/>
        <color theme="0"/>
        <name val="Calibri"/>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dxf>
    <dxf>
      <border outline="0">
        <top style="thin">
          <color rgb="FF8EA9DB"/>
        </top>
      </border>
    </dxf>
    <dxf>
      <font>
        <b val="0"/>
        <i val="0"/>
        <strike val="0"/>
        <condense val="0"/>
        <extend val="0"/>
        <outline val="0"/>
        <shadow val="0"/>
        <u val="none"/>
        <vertAlign val="baseline"/>
        <sz val="10"/>
        <color rgb="FF000000"/>
        <name val="Calibri"/>
        <scheme val="none"/>
      </font>
      <fill>
        <patternFill patternType="none">
          <fgColor rgb="FF000000"/>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70" formatCode="[$-419]mmmm\ yyyy;@"/>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4" formatCode="0.00%"/>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rgb="FF000000"/>
        <name val="Calibri"/>
        <family val="2"/>
        <scheme val="none"/>
      </font>
      <fill>
        <patternFill patternType="none">
          <fgColor rgb="FF000000"/>
          <bgColor auto="1"/>
        </patternFill>
      </fill>
      <alignment horizontal="center" vertical="center" textRotation="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170" formatCode="[$-419]mmmm\ 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22" formatCode="mmm/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rgb="FF000000"/>
        <name val="Calibri"/>
        <family val="2"/>
        <charset val="204"/>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67" formatCode="_-* #,##0_р_._-;\-* #,##0_р_._-;_-* &quot;-&quot;??_р_._-;_-@_-"/>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border>
        <top style="thin">
          <color rgb="FF000000"/>
        </top>
      </border>
    </dxf>
    <dxf>
      <font>
        <strike val="0"/>
        <outline val="0"/>
        <shadow val="0"/>
        <u val="none"/>
        <vertAlign val="baseline"/>
        <sz val="10"/>
        <name val="Calibri"/>
        <scheme val="none"/>
      </font>
      <fill>
        <patternFill patternType="none">
          <fgColor rgb="FF000000"/>
          <bgColor auto="1"/>
        </patternFill>
      </fill>
      <border diagonalUp="0" diagonalDown="0" outline="0">
        <left style="thin">
          <color rgb="FF000000"/>
        </left>
        <right style="thin">
          <color rgb="FF000000"/>
        </right>
        <top/>
        <bottom/>
      </border>
    </dxf>
    <dxf>
      <border outline="0">
        <top style="thin">
          <color rgb="FF8EA9DB"/>
        </top>
      </border>
    </dxf>
    <dxf>
      <font>
        <b val="0"/>
        <i val="0"/>
        <strike val="0"/>
        <condense val="0"/>
        <extend val="0"/>
        <outline val="0"/>
        <shadow val="0"/>
        <u val="none"/>
        <vertAlign val="baseline"/>
        <sz val="10"/>
        <color rgb="FF000000"/>
        <name val="Calibri"/>
        <family val="2"/>
        <charset val="204"/>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Calibri"/>
        <scheme val="minor"/>
      </font>
      <fill>
        <patternFill patternType="none">
          <fgColor indexed="64"/>
          <bgColor indexed="65"/>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auto="1"/>
        <name val="Calibri"/>
        <charset val="204"/>
        <scheme val="minor"/>
      </font>
      <numFmt numFmtId="22" formatCode="mmm/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thin">
          <color rgb="FF8EA9DB"/>
        </top>
        <bottom style="thin">
          <color rgb="FF000000"/>
        </bottom>
      </border>
    </dxf>
    <dxf>
      <font>
        <b val="0"/>
        <strike val="0"/>
        <outline val="0"/>
        <shadow val="0"/>
        <u val="none"/>
        <vertAlign val="baseline"/>
        <sz val="10"/>
        <color auto="1"/>
        <name val="Calibri"/>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theme="8"/>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68" formatCode="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rgb="FF000000"/>
        <name val="Calibri"/>
        <scheme val="none"/>
      </font>
      <fill>
        <patternFill patternType="none">
          <fgColor rgb="FF000000"/>
          <bgColor auto="1"/>
        </patternFill>
      </fill>
      <alignment horizontal="center" vertical="center" textRotation="0" indent="0" justifyLastLine="0" shrinkToFit="0" readingOrder="0"/>
    </dxf>
    <dxf>
      <font>
        <b/>
        <i val="0"/>
        <strike val="0"/>
        <condense val="0"/>
        <extend val="0"/>
        <outline val="0"/>
        <shadow val="0"/>
        <u val="none"/>
        <vertAlign val="baseline"/>
        <sz val="10"/>
        <color theme="1"/>
        <name val="Calibri"/>
        <scheme val="minor"/>
      </font>
      <fill>
        <patternFill patternType="solid">
          <fgColor indexed="64"/>
          <bgColor rgb="FFF0F8F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8" tint="0.79998168889431442"/>
          <bgColor theme="8" tint="0.79998168889431442"/>
        </patternFill>
      </fill>
    </dxf>
    <dxf>
      <font>
        <strike val="0"/>
        <outline val="0"/>
        <shadow val="0"/>
        <u val="none"/>
        <vertAlign val="baseline"/>
        <sz val="10"/>
        <name val="Calibri"/>
        <scheme val="none"/>
      </font>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bottom" textRotation="0" wrapText="0" indent="0" justifyLastLine="0" shrinkToFit="0" readingOrder="0"/>
    </dxf>
    <dxf>
      <font>
        <strike val="0"/>
        <outline val="0"/>
        <shadow val="0"/>
        <u val="none"/>
        <vertAlign val="baseline"/>
        <sz val="10"/>
        <color theme="1"/>
        <name val="Calibri"/>
        <scheme val="minor"/>
      </font>
      <numFmt numFmtId="13" formatCode="0%"/>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0"/>
        <color theme="1"/>
        <name val="Calibri"/>
        <family val="2"/>
        <scheme val="minor"/>
      </font>
    </dxf>
    <dxf>
      <font>
        <strike val="0"/>
        <outline val="0"/>
        <shadow val="0"/>
        <u val="none"/>
        <vertAlign val="baseline"/>
        <sz val="10"/>
        <name val="Calibri"/>
        <scheme val="none"/>
      </font>
    </dxf>
    <dxf>
      <font>
        <strike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rgb="FF9BC2E6"/>
        </top>
      </border>
    </dxf>
    <dxf>
      <border outline="0">
        <left style="thin">
          <color rgb="FF9BC2E6"/>
        </left>
        <top style="thin">
          <color rgb="FF9BC2E6"/>
        </top>
        <bottom style="medium">
          <color rgb="FF000000"/>
        </bottom>
      </border>
    </dxf>
    <dxf>
      <fill>
        <patternFill patternType="none">
          <fgColor rgb="FF000000"/>
          <bgColor auto="1"/>
        </patternFill>
      </fill>
    </dxf>
    <dxf>
      <border outline="0">
        <bottom style="thin">
          <color rgb="FF9BC2E6"/>
        </bottom>
      </border>
    </dxf>
    <dxf>
      <font>
        <b val="0"/>
        <i val="0"/>
        <strike val="0"/>
        <condense val="0"/>
        <extend val="0"/>
        <outline val="0"/>
        <shadow val="0"/>
        <u val="none"/>
        <vertAlign val="baseline"/>
        <sz val="10"/>
        <color theme="0"/>
        <name val="Calibri"/>
        <scheme val="minor"/>
      </font>
      <fill>
        <patternFill patternType="solid">
          <fgColor theme="4"/>
          <bgColor theme="4"/>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fill>
        <patternFill patternType="none">
          <fgColor indexed="64"/>
          <bgColor auto="1"/>
        </patternFill>
      </fill>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charset val="204"/>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71" formatCode="[$-F800]dddd\,\ mmmm\ dd\,\ yyyy"/>
      <fill>
        <patternFill patternType="none">
          <fgColor indexed="64"/>
          <bgColor indexed="65"/>
        </patternFill>
      </fill>
      <alignment horizontal="center" vertical="center" textRotation="0" wrapText="0" indent="0" justifyLastLine="0" shrinkToFit="0" readingOrder="0"/>
    </dxf>
    <dxf>
      <border outline="0">
        <top style="thin">
          <color rgb="FF8EA9DB"/>
        </top>
      </border>
    </dxf>
    <dxf>
      <font>
        <b val="0"/>
        <strike val="0"/>
        <outline val="0"/>
        <shadow val="0"/>
        <u val="none"/>
        <vertAlign val="baseline"/>
        <sz val="10"/>
        <color theme="1"/>
        <name val="Calibri"/>
        <family val="2"/>
        <charset val="204"/>
        <scheme val="minor"/>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solid">
          <fgColor theme="8"/>
          <bgColor theme="8"/>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i/>
        <strike val="0"/>
        <condense val="0"/>
        <extend val="0"/>
        <outline val="0"/>
        <shadow val="0"/>
        <u val="none"/>
        <vertAlign val="baseline"/>
        <sz val="10"/>
        <color rgb="FFFF0000"/>
        <name val="Calibri"/>
        <scheme val="minor"/>
      </font>
      <numFmt numFmtId="166" formatCode="#,##0.00\ &quot;₽&quot;"/>
      <fill>
        <patternFill patternType="none">
          <fgColor indexed="64"/>
          <bgColor indexed="65"/>
        </patternFill>
      </fill>
      <alignment horizontal="center" vertical="bottom" textRotation="0" wrapText="0" indent="0" justifyLastLine="0" shrinkToFit="0" readingOrder="0"/>
    </dxf>
    <dxf>
      <font>
        <b/>
        <i/>
        <strike val="0"/>
        <condense val="0"/>
        <extend val="0"/>
        <outline val="0"/>
        <shadow val="0"/>
        <u val="none"/>
        <vertAlign val="baseline"/>
        <sz val="10"/>
        <color rgb="FF00B050"/>
        <name val="Calibri"/>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65" formatCode="#,##0\ &quot;₽&quo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solid">
          <fgColor rgb="FF000000"/>
          <bgColor rgb="FFFFFFFF"/>
        </patternFill>
      </fill>
      <alignment horizontal="center" vertical="bottom" textRotation="0" wrapText="0" indent="0" justifyLastLine="0" shrinkToFit="0" readingOrder="0"/>
    </dxf>
    <dxf>
      <font>
        <b/>
        <i/>
        <strike val="0"/>
        <condense val="0"/>
        <extend val="0"/>
        <outline val="0"/>
        <shadow val="0"/>
        <u val="none"/>
        <vertAlign val="baseline"/>
        <sz val="10"/>
        <color theme="0"/>
        <name val="Calibri"/>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dxf>
    <dxf>
      <border outline="0">
        <top style="thin">
          <color rgb="FF8EA9DB"/>
        </top>
      </border>
    </dxf>
    <dxf>
      <font>
        <b val="0"/>
        <i val="0"/>
        <strike val="0"/>
        <condense val="0"/>
        <extend val="0"/>
        <outline val="0"/>
        <shadow val="0"/>
        <u val="none"/>
        <vertAlign val="baseline"/>
        <sz val="10"/>
        <color rgb="FF000000"/>
        <name val="Calibri"/>
        <scheme val="none"/>
      </font>
      <fill>
        <patternFill patternType="none">
          <fgColor rgb="FF000000"/>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70" formatCode="[$-419]mmmm\ yyyy;@"/>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4" formatCode="0.00%"/>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rgb="FF000000"/>
        <name val="Calibri"/>
        <family val="2"/>
        <scheme val="none"/>
      </font>
      <fill>
        <patternFill patternType="none">
          <fgColor rgb="FF000000"/>
          <bgColor auto="1"/>
        </patternFill>
      </fill>
      <alignment horizontal="center" vertical="center" textRotation="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170" formatCode="[$-419]mmmm\ 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22" formatCode="mmm/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rgb="FF000000"/>
        <name val="Calibri"/>
        <family val="2"/>
        <charset val="204"/>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67" formatCode="_-* #,##0_р_._-;\-* #,##0_р_._-;_-* &quot;-&quot;??_р_._-;_-@_-"/>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border>
        <top style="thin">
          <color rgb="FF000000"/>
        </top>
      </border>
    </dxf>
    <dxf>
      <font>
        <strike val="0"/>
        <outline val="0"/>
        <shadow val="0"/>
        <u val="none"/>
        <vertAlign val="baseline"/>
        <sz val="10"/>
        <name val="Calibri"/>
        <scheme val="none"/>
      </font>
      <fill>
        <patternFill patternType="none">
          <fgColor rgb="FF000000"/>
          <bgColor auto="1"/>
        </patternFill>
      </fill>
      <border diagonalUp="0" diagonalDown="0" outline="0">
        <left style="thin">
          <color rgb="FF000000"/>
        </left>
        <right style="thin">
          <color rgb="FF000000"/>
        </right>
        <top/>
        <bottom/>
      </border>
    </dxf>
    <dxf>
      <border outline="0">
        <top style="thin">
          <color rgb="FF8EA9DB"/>
        </top>
      </border>
    </dxf>
    <dxf>
      <font>
        <b val="0"/>
        <i val="0"/>
        <strike val="0"/>
        <condense val="0"/>
        <extend val="0"/>
        <outline val="0"/>
        <shadow val="0"/>
        <u val="none"/>
        <vertAlign val="baseline"/>
        <sz val="10"/>
        <color theme="1"/>
        <name val="Calibri"/>
        <family val="2"/>
        <charset val="204"/>
        <scheme val="minor"/>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Calibri"/>
        <scheme val="minor"/>
      </font>
      <fill>
        <patternFill patternType="none">
          <fgColor indexed="64"/>
          <bgColor indexed="65"/>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auto="1"/>
        <name val="Calibri"/>
        <charset val="204"/>
        <scheme val="minor"/>
      </font>
      <numFmt numFmtId="22" formatCode="mmm/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i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outline val="0"/>
        <shadow val="0"/>
        <u val="none"/>
        <vertAlign val="baseline"/>
        <sz val="10"/>
        <color theme="1"/>
        <name val="Calibri"/>
        <family val="2"/>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thin">
          <color rgb="FF8EA9DB"/>
        </top>
        <bottom style="thin">
          <color rgb="FF000000"/>
        </bottom>
      </border>
    </dxf>
    <dxf>
      <font>
        <b val="0"/>
        <i val="0"/>
        <strike val="0"/>
        <outline val="0"/>
        <shadow val="0"/>
        <u val="none"/>
        <vertAlign val="baseline"/>
        <sz val="10"/>
        <color auto="1"/>
        <name val="Calibri"/>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theme="8"/>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68" formatCode="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scheme val="minor"/>
      </font>
      <fill>
        <patternFill patternType="none">
          <fgColor indexed="64"/>
          <bgColor auto="1"/>
        </patternFill>
      </fill>
      <alignment horizontal="center" vertical="bottom" textRotation="0" indent="0" justifyLastLine="0" shrinkToFit="0" readingOrder="0"/>
    </dxf>
    <dxf>
      <font>
        <strike val="0"/>
        <outline val="0"/>
        <shadow val="0"/>
        <u val="none"/>
        <vertAlign val="baseline"/>
        <sz val="10"/>
        <color rgb="FF000000"/>
        <name val="Calibri"/>
        <scheme val="none"/>
      </font>
      <fill>
        <patternFill patternType="none">
          <fgColor rgb="FF000000"/>
          <bgColor auto="1"/>
        </patternFill>
      </fill>
    </dxf>
    <dxf>
      <font>
        <b/>
        <i val="0"/>
        <strike val="0"/>
        <condense val="0"/>
        <extend val="0"/>
        <outline val="0"/>
        <shadow val="0"/>
        <u val="none"/>
        <vertAlign val="baseline"/>
        <sz val="10"/>
        <color theme="1"/>
        <name val="Calibri"/>
        <scheme val="minor"/>
      </font>
      <fill>
        <patternFill patternType="solid">
          <fgColor indexed="64"/>
          <bgColor rgb="FFF0F8F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8" tint="0.79998168889431442"/>
          <bgColor theme="8" tint="0.79998168889431442"/>
        </patternFill>
      </fill>
    </dxf>
    <dxf>
      <font>
        <strike val="0"/>
        <outline val="0"/>
        <shadow val="0"/>
        <u val="none"/>
        <vertAlign val="baseline"/>
        <sz val="10"/>
        <name val="Calibri"/>
        <scheme val="none"/>
      </font>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bottom" textRotation="0" wrapText="0" indent="0" justifyLastLine="0" shrinkToFit="0" readingOrder="0"/>
    </dxf>
    <dxf>
      <font>
        <strike val="0"/>
        <outline val="0"/>
        <shadow val="0"/>
        <u val="none"/>
        <vertAlign val="baseline"/>
        <sz val="10"/>
        <color theme="1"/>
        <name val="Calibri"/>
        <scheme val="minor"/>
      </font>
      <numFmt numFmtId="13" formatCode="0%"/>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0"/>
        <color theme="1"/>
        <name val="Calibri"/>
        <family val="2"/>
        <scheme val="minor"/>
      </font>
    </dxf>
    <dxf>
      <font>
        <strike val="0"/>
        <outline val="0"/>
        <shadow val="0"/>
        <u val="none"/>
        <vertAlign val="baseline"/>
        <sz val="10"/>
        <name val="Calibri"/>
        <scheme val="none"/>
      </font>
    </dxf>
    <dxf>
      <font>
        <strike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rgb="FF9BC2E6"/>
        </top>
      </border>
    </dxf>
    <dxf>
      <border outline="0">
        <left style="thin">
          <color rgb="FF9BC2E6"/>
        </left>
        <top style="thin">
          <color rgb="FF9BC2E6"/>
        </top>
        <bottom style="medium">
          <color rgb="FF000000"/>
        </bottom>
      </border>
    </dxf>
    <dxf>
      <fill>
        <patternFill patternType="none">
          <fgColor rgb="FF000000"/>
          <bgColor auto="1"/>
        </patternFill>
      </fill>
    </dxf>
    <dxf>
      <border outline="0">
        <bottom style="thin">
          <color rgb="FF9BC2E6"/>
        </bottom>
      </border>
    </dxf>
    <dxf>
      <font>
        <b val="0"/>
        <i val="0"/>
        <strike val="0"/>
        <condense val="0"/>
        <extend val="0"/>
        <outline val="0"/>
        <shadow val="0"/>
        <u val="none"/>
        <vertAlign val="baseline"/>
        <sz val="10"/>
        <color theme="0"/>
        <name val="Calibri"/>
        <scheme val="minor"/>
      </font>
      <fill>
        <patternFill patternType="solid">
          <fgColor theme="4"/>
          <bgColor theme="4"/>
        </patternFill>
      </fill>
      <alignment horizontal="center" vertical="center" textRotation="0" wrapText="1" indent="0" justifyLastLine="0" shrinkToFit="0" readingOrder="0"/>
    </dxf>
    <dxf>
      <font>
        <b val="0"/>
        <strike val="0"/>
        <outline val="0"/>
        <shadow val="0"/>
        <u val="none"/>
        <vertAlign val="baseline"/>
        <sz val="10"/>
        <color auto="1"/>
        <name val="Calibri"/>
        <family val="2"/>
        <charset val="204"/>
        <scheme val="minor"/>
      </font>
      <fill>
        <patternFill patternType="none">
          <fgColor indexed="64"/>
          <bgColor auto="1"/>
        </patternFill>
      </fill>
    </dxf>
    <dxf>
      <font>
        <b val="0"/>
        <strike val="0"/>
        <outline val="0"/>
        <shadow val="0"/>
        <u val="none"/>
        <vertAlign val="baseline"/>
        <sz val="10"/>
        <color auto="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charset val="204"/>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charset val="204"/>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charset val="204"/>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family val="2"/>
        <charset val="204"/>
        <scheme val="minor"/>
      </font>
      <numFmt numFmtId="171" formatCode="[$-F800]dddd\,\ mmmm\ dd\,\ yyyy"/>
      <fill>
        <patternFill patternType="none">
          <fgColor indexed="64"/>
          <bgColor indexed="65"/>
        </patternFill>
      </fill>
      <alignment horizontal="center" vertical="center" textRotation="0" wrapText="0" indent="0" justifyLastLine="0" shrinkToFit="0" readingOrder="0"/>
    </dxf>
    <dxf>
      <border outline="0">
        <top style="thin">
          <color rgb="FF8EA9DB"/>
        </top>
      </border>
    </dxf>
    <dxf>
      <font>
        <b val="0"/>
        <strike val="0"/>
        <outline val="0"/>
        <shadow val="0"/>
        <u val="none"/>
        <vertAlign val="baseline"/>
        <sz val="10"/>
        <color auto="1"/>
        <name val="Calibri"/>
        <family val="2"/>
        <charset val="204"/>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solid">
          <fgColor theme="8"/>
          <bgColor theme="8"/>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i/>
        <strike val="0"/>
        <condense val="0"/>
        <extend val="0"/>
        <outline val="0"/>
        <shadow val="0"/>
        <u val="none"/>
        <vertAlign val="baseline"/>
        <sz val="10"/>
        <color rgb="FFFF0000"/>
        <name val="Calibri"/>
        <scheme val="minor"/>
      </font>
      <numFmt numFmtId="166" formatCode="#,##0.00\ &quot;₽&quot;"/>
      <fill>
        <patternFill patternType="none">
          <fgColor indexed="64"/>
          <bgColor indexed="65"/>
        </patternFill>
      </fill>
      <alignment horizontal="center" vertical="bottom" textRotation="0" wrapText="0" indent="0" justifyLastLine="0" shrinkToFit="0" readingOrder="0"/>
    </dxf>
    <dxf>
      <font>
        <b/>
        <i/>
        <strike val="0"/>
        <condense val="0"/>
        <extend val="0"/>
        <outline val="0"/>
        <shadow val="0"/>
        <u val="none"/>
        <vertAlign val="baseline"/>
        <sz val="10"/>
        <color rgb="FF00B050"/>
        <name val="Calibri"/>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65" formatCode="#,##0\ &quot;₽&quo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solid">
          <fgColor rgb="FF000000"/>
          <bgColor rgb="FFFFFFFF"/>
        </patternFill>
      </fill>
      <alignment horizontal="center" vertical="bottom" textRotation="0" wrapText="0" indent="0" justifyLastLine="0" shrinkToFit="0" readingOrder="0"/>
    </dxf>
    <dxf>
      <font>
        <b/>
        <i/>
        <strike val="0"/>
        <condense val="0"/>
        <extend val="0"/>
        <outline val="0"/>
        <shadow val="0"/>
        <u val="none"/>
        <vertAlign val="baseline"/>
        <sz val="10"/>
        <color theme="0"/>
        <name val="Calibri"/>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dxf>
    <dxf>
      <border outline="0">
        <top style="thin">
          <color rgb="FF8EA9DB"/>
        </top>
      </border>
    </dxf>
    <dxf>
      <font>
        <b val="0"/>
        <i val="0"/>
        <strike val="0"/>
        <condense val="0"/>
        <extend val="0"/>
        <outline val="0"/>
        <shadow val="0"/>
        <u val="none"/>
        <vertAlign val="baseline"/>
        <sz val="10"/>
        <color rgb="FF000000"/>
        <name val="Calibri"/>
        <scheme val="none"/>
      </font>
      <fill>
        <patternFill patternType="none">
          <fgColor rgb="FF000000"/>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70" formatCode="[$-419]mmmm\ yyyy;@"/>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4" formatCode="0.00%"/>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rgb="FF000000"/>
        <name val="Calibri"/>
        <family val="2"/>
        <scheme val="none"/>
      </font>
      <fill>
        <patternFill patternType="none">
          <fgColor rgb="FF000000"/>
          <bgColor auto="1"/>
        </patternFill>
      </fill>
      <alignment horizontal="center" vertical="center" textRotation="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170" formatCode="[$-419]mmmm\ 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22" formatCode="mmm/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rgb="FF000000"/>
        <name val="Calibri"/>
        <family val="2"/>
        <charset val="204"/>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67" formatCode="_-* #,##0_р_._-;\-* #,##0_р_._-;_-* &quot;-&quot;??_р_._-;_-@_-"/>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border>
        <top style="thin">
          <color rgb="FF000000"/>
        </top>
      </border>
    </dxf>
    <dxf>
      <font>
        <strike val="0"/>
        <outline val="0"/>
        <shadow val="0"/>
        <u val="none"/>
        <vertAlign val="baseline"/>
        <sz val="10"/>
        <name val="Calibri"/>
        <scheme val="none"/>
      </font>
      <fill>
        <patternFill patternType="none">
          <fgColor rgb="FF000000"/>
          <bgColor auto="1"/>
        </patternFill>
      </fill>
      <border diagonalUp="0" diagonalDown="0" outline="0">
        <left style="thin">
          <color rgb="FF000000"/>
        </left>
        <right style="thin">
          <color rgb="FF000000"/>
        </right>
        <top/>
        <bottom/>
      </border>
    </dxf>
    <dxf>
      <border outline="0">
        <top style="thin">
          <color rgb="FF8EA9DB"/>
        </top>
      </border>
    </dxf>
    <dxf>
      <font>
        <b val="0"/>
        <i val="0"/>
        <strike val="0"/>
        <condense val="0"/>
        <extend val="0"/>
        <outline val="0"/>
        <shadow val="0"/>
        <u val="none"/>
        <vertAlign val="baseline"/>
        <sz val="10"/>
        <color rgb="FF000000"/>
        <name val="Calibri"/>
        <family val="2"/>
        <charset val="204"/>
        <scheme val="none"/>
      </font>
      <fill>
        <patternFill patternType="none">
          <fgColor indexed="64"/>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Calibri"/>
        <scheme val="minor"/>
      </font>
      <fill>
        <patternFill patternType="none">
          <fgColor indexed="64"/>
          <bgColor indexed="65"/>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auto="1"/>
        <name val="Calibri"/>
        <charset val="204"/>
        <scheme val="minor"/>
      </font>
      <numFmt numFmtId="22" formatCode="mmm/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scheme val="minor"/>
      </font>
      <numFmt numFmtId="14" formatCode="0.00%"/>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thin">
          <color rgb="FF8EA9DB"/>
        </top>
        <bottom style="thin">
          <color rgb="FF000000"/>
        </bottom>
      </border>
    </dxf>
    <dxf>
      <font>
        <b val="0"/>
        <strike val="0"/>
        <outline val="0"/>
        <shadow val="0"/>
        <u val="none"/>
        <vertAlign val="baseline"/>
        <sz val="10"/>
        <color auto="1"/>
        <name val="Calibri"/>
        <scheme val="none"/>
      </font>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theme="8"/>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68" formatCode="0.0%"/>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auto="1"/>
        <name val="Calibri"/>
        <scheme val="minor"/>
      </font>
      <fill>
        <patternFill patternType="none">
          <fgColor indexed="64"/>
          <bgColor auto="1"/>
        </patternFill>
      </fill>
      <alignment horizontal="center" vertical="bottom" textRotation="0" indent="0" justifyLastLine="0" shrinkToFit="0" readingOrder="0"/>
    </dxf>
    <dxf>
      <font>
        <strike val="0"/>
        <outline val="0"/>
        <shadow val="0"/>
        <u val="none"/>
        <vertAlign val="baseline"/>
        <sz val="10"/>
        <color rgb="FF000000"/>
        <name val="Calibri"/>
        <scheme val="none"/>
      </font>
      <fill>
        <patternFill patternType="none">
          <fgColor rgb="FF000000"/>
          <bgColor auto="1"/>
        </patternFill>
      </fill>
    </dxf>
    <dxf>
      <font>
        <b/>
        <i val="0"/>
        <strike val="0"/>
        <condense val="0"/>
        <extend val="0"/>
        <outline val="0"/>
        <shadow val="0"/>
        <u val="none"/>
        <vertAlign val="baseline"/>
        <sz val="10"/>
        <color theme="1"/>
        <name val="Calibri"/>
        <scheme val="minor"/>
      </font>
      <fill>
        <patternFill patternType="solid">
          <fgColor indexed="64"/>
          <bgColor rgb="FFF0F8F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8" tint="0.79998168889431442"/>
          <bgColor theme="8" tint="0.79998168889431442"/>
        </patternFill>
      </fill>
    </dxf>
    <dxf>
      <font>
        <strike val="0"/>
        <outline val="0"/>
        <shadow val="0"/>
        <u val="none"/>
        <vertAlign val="baseline"/>
        <sz val="10"/>
        <name val="Calibri"/>
        <scheme val="none"/>
      </font>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bottom" textRotation="0" wrapText="0" indent="0" justifyLastLine="0" shrinkToFit="0" readingOrder="0"/>
    </dxf>
    <dxf>
      <font>
        <strike val="0"/>
        <outline val="0"/>
        <shadow val="0"/>
        <u val="none"/>
        <vertAlign val="baseline"/>
        <sz val="10"/>
        <color theme="1"/>
        <name val="Calibri"/>
        <scheme val="minor"/>
      </font>
      <numFmt numFmtId="13" formatCode="0%"/>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0"/>
        <color theme="1"/>
        <name val="Calibri"/>
        <family val="2"/>
        <scheme val="minor"/>
      </font>
    </dxf>
    <dxf>
      <font>
        <strike val="0"/>
        <outline val="0"/>
        <shadow val="0"/>
        <u val="none"/>
        <vertAlign val="baseline"/>
        <sz val="10"/>
        <name val="Calibri"/>
        <scheme val="none"/>
      </font>
    </dxf>
    <dxf>
      <font>
        <strike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rgb="FF9BC2E6"/>
        </top>
      </border>
    </dxf>
    <dxf>
      <border outline="0">
        <left style="thin">
          <color rgb="FF9BC2E6"/>
        </left>
        <top style="thin">
          <color rgb="FF9BC2E6"/>
        </top>
        <bottom style="medium">
          <color rgb="FF000000"/>
        </bottom>
      </border>
    </dxf>
    <dxf>
      <fill>
        <patternFill patternType="none">
          <fgColor rgb="FF000000"/>
          <bgColor auto="1"/>
        </patternFill>
      </fill>
    </dxf>
    <dxf>
      <border outline="0">
        <bottom style="thin">
          <color rgb="FF9BC2E6"/>
        </bottom>
      </border>
    </dxf>
    <dxf>
      <font>
        <b val="0"/>
        <i val="0"/>
        <strike val="0"/>
        <condense val="0"/>
        <extend val="0"/>
        <outline val="0"/>
        <shadow val="0"/>
        <u val="none"/>
        <vertAlign val="baseline"/>
        <sz val="10"/>
        <color theme="0"/>
        <name val="Calibri"/>
        <scheme val="minor"/>
      </font>
      <fill>
        <patternFill patternType="solid">
          <fgColor theme="4"/>
          <bgColor theme="4"/>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fill>
        <patternFill patternType="none">
          <fgColor indexed="64"/>
          <bgColor auto="1"/>
        </patternFill>
      </fill>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charset val="204"/>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71" formatCode="[$-F800]dddd\,\ mmmm\ dd\,\ yyyy"/>
      <fill>
        <patternFill patternType="none">
          <fgColor indexed="64"/>
          <bgColor indexed="65"/>
        </patternFill>
      </fill>
      <alignment horizontal="center" vertical="center" textRotation="0" wrapText="0" indent="0" justifyLastLine="0" shrinkToFit="0" readingOrder="0"/>
    </dxf>
    <dxf>
      <border outline="0">
        <top style="thin">
          <color rgb="FF8EA9DB"/>
        </top>
      </border>
    </dxf>
    <dxf>
      <font>
        <b val="0"/>
        <strike val="0"/>
        <outline val="0"/>
        <shadow val="0"/>
        <u val="none"/>
        <vertAlign val="baseline"/>
        <sz val="10"/>
        <color theme="1"/>
        <name val="Calibri"/>
        <family val="2"/>
        <charset val="204"/>
        <scheme val="minor"/>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solid">
          <fgColor theme="8"/>
          <bgColor theme="8"/>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i/>
        <strike val="0"/>
        <condense val="0"/>
        <extend val="0"/>
        <outline val="0"/>
        <shadow val="0"/>
        <u val="none"/>
        <vertAlign val="baseline"/>
        <sz val="10"/>
        <color rgb="FFFF0000"/>
        <name val="Calibri"/>
        <scheme val="minor"/>
      </font>
      <numFmt numFmtId="166" formatCode="#,##0.00\ &quot;₽&quot;"/>
      <fill>
        <patternFill patternType="none">
          <fgColor indexed="64"/>
          <bgColor indexed="65"/>
        </patternFill>
      </fill>
      <alignment horizontal="center" vertical="bottom" textRotation="0" wrapText="0" indent="0" justifyLastLine="0" shrinkToFit="0" readingOrder="0"/>
    </dxf>
    <dxf>
      <font>
        <b/>
        <i/>
        <strike val="0"/>
        <condense val="0"/>
        <extend val="0"/>
        <outline val="0"/>
        <shadow val="0"/>
        <u val="none"/>
        <vertAlign val="baseline"/>
        <sz val="10"/>
        <color rgb="FF00B050"/>
        <name val="Calibri"/>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65" formatCode="#,##0\ &quot;₽&quo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solid">
          <fgColor rgb="FF000000"/>
          <bgColor rgb="FFFFFFFF"/>
        </patternFill>
      </fill>
      <alignment horizontal="center" vertical="bottom" textRotation="0" wrapText="0" indent="0" justifyLastLine="0" shrinkToFit="0" readingOrder="0"/>
    </dxf>
    <dxf>
      <font>
        <b/>
        <i/>
        <strike val="0"/>
        <condense val="0"/>
        <extend val="0"/>
        <outline val="0"/>
        <shadow val="0"/>
        <u val="none"/>
        <vertAlign val="baseline"/>
        <sz val="10"/>
        <color theme="0"/>
        <name val="Calibri"/>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dxf>
    <dxf>
      <border outline="0">
        <top style="thin">
          <color rgb="FF8EA9DB"/>
        </top>
      </border>
    </dxf>
    <dxf>
      <font>
        <b val="0"/>
        <i val="0"/>
        <strike val="0"/>
        <condense val="0"/>
        <extend val="0"/>
        <outline val="0"/>
        <shadow val="0"/>
        <u val="none"/>
        <vertAlign val="baseline"/>
        <sz val="10"/>
        <color rgb="FF000000"/>
        <name val="Calibri"/>
        <scheme val="none"/>
      </font>
      <fill>
        <patternFill patternType="none">
          <fgColor rgb="FF000000"/>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70" formatCode="[$-419]mmmm\ yyyy;@"/>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4" formatCode="0.00%"/>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rgb="FF000000"/>
        <name val="Calibri"/>
        <family val="2"/>
        <scheme val="none"/>
      </font>
      <fill>
        <patternFill patternType="none">
          <fgColor rgb="FF000000"/>
          <bgColor auto="1"/>
        </patternFill>
      </fill>
      <alignment horizontal="center" vertical="center" textRotation="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170" formatCode="[$-419]mmmm\ 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22" formatCode="mmm/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rgb="FF000000"/>
        <name val="Calibri"/>
        <family val="2"/>
        <charset val="204"/>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67" formatCode="_-* #,##0_р_._-;\-* #,##0_р_._-;_-* &quot;-&quot;??_р_._-;_-@_-"/>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border>
        <top style="thin">
          <color rgb="FF000000"/>
        </top>
      </border>
    </dxf>
    <dxf>
      <font>
        <strike val="0"/>
        <outline val="0"/>
        <shadow val="0"/>
        <u val="none"/>
        <vertAlign val="baseline"/>
        <sz val="10"/>
        <name val="Calibri"/>
        <scheme val="none"/>
      </font>
      <fill>
        <patternFill patternType="none">
          <fgColor rgb="FF000000"/>
          <bgColor auto="1"/>
        </patternFill>
      </fill>
      <border diagonalUp="0" diagonalDown="0" outline="0">
        <left style="thin">
          <color rgb="FF000000"/>
        </left>
        <right style="thin">
          <color rgb="FF000000"/>
        </right>
        <top/>
        <bottom/>
      </border>
    </dxf>
    <dxf>
      <border outline="0">
        <top style="thin">
          <color rgb="FF8EA9DB"/>
        </top>
      </border>
    </dxf>
    <dxf>
      <font>
        <b val="0"/>
        <i val="0"/>
        <strike val="0"/>
        <condense val="0"/>
        <extend val="0"/>
        <outline val="0"/>
        <shadow val="0"/>
        <u val="none"/>
        <vertAlign val="baseline"/>
        <sz val="10"/>
        <color rgb="FF000000"/>
        <name val="Calibri"/>
        <family val="2"/>
        <charset val="204"/>
        <scheme val="none"/>
      </font>
      <fill>
        <patternFill patternType="none">
          <fgColor indexed="64"/>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Calibri"/>
        <scheme val="minor"/>
      </font>
      <fill>
        <patternFill patternType="none">
          <fgColor indexed="64"/>
          <bgColor indexed="65"/>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auto="1"/>
        <name val="Calibri"/>
        <charset val="204"/>
        <scheme val="minor"/>
      </font>
      <numFmt numFmtId="22" formatCode="mmm/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strike val="0"/>
        <outline val="0"/>
        <shadow val="0"/>
        <u val="none"/>
        <vertAlign val="baseline"/>
        <sz val="10"/>
        <color auto="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outline val="0"/>
        <shadow val="0"/>
        <u val="none"/>
        <vertAlign val="baseline"/>
        <sz val="10"/>
        <color auto="1"/>
        <name val="Calibri"/>
        <family val="2"/>
        <charset val="204"/>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charset val="204"/>
        <scheme val="minor"/>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charset val="204"/>
        <scheme val="minor"/>
      </font>
      <fill>
        <patternFill patternType="none">
          <fgColor indexed="64"/>
          <bgColor auto="1"/>
        </patternFill>
      </fill>
      <alignment horizontal="center" vertical="center" textRotation="0" wrapText="1" indent="0" justifyLastLine="0" shrinkToFit="0" readingOrder="0"/>
    </dxf>
    <dxf>
      <border outline="0">
        <top style="thin">
          <color rgb="FF8EA9DB"/>
        </top>
        <bottom style="thin">
          <color rgb="FF000000"/>
        </bottom>
      </border>
    </dxf>
    <dxf>
      <font>
        <b val="0"/>
        <strike val="0"/>
        <outline val="0"/>
        <shadow val="0"/>
        <u val="none"/>
        <vertAlign val="baseline"/>
        <sz val="10"/>
        <color auto="1"/>
        <name val="Calibri"/>
        <family val="2"/>
        <charset val="204"/>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theme="8"/>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68" formatCode="0.0%"/>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auto="1"/>
        <name val="Calibri"/>
        <scheme val="minor"/>
      </font>
      <fill>
        <patternFill patternType="none">
          <fgColor indexed="64"/>
          <bgColor auto="1"/>
        </patternFill>
      </fill>
      <alignment horizontal="center" vertical="bottom" textRotation="0" indent="0" justifyLastLine="0" shrinkToFit="0" readingOrder="0"/>
    </dxf>
    <dxf>
      <font>
        <strike val="0"/>
        <outline val="0"/>
        <shadow val="0"/>
        <u val="none"/>
        <vertAlign val="baseline"/>
        <sz val="10"/>
        <color rgb="FF000000"/>
        <name val="Calibri"/>
        <scheme val="none"/>
      </font>
      <fill>
        <patternFill patternType="none">
          <fgColor rgb="FF000000"/>
          <bgColor auto="1"/>
        </patternFill>
      </fill>
    </dxf>
    <dxf>
      <font>
        <b/>
        <i val="0"/>
        <strike val="0"/>
        <condense val="0"/>
        <extend val="0"/>
        <outline val="0"/>
        <shadow val="0"/>
        <u val="none"/>
        <vertAlign val="baseline"/>
        <sz val="10"/>
        <color theme="1"/>
        <name val="Calibri"/>
        <scheme val="minor"/>
      </font>
      <fill>
        <patternFill patternType="solid">
          <fgColor indexed="64"/>
          <bgColor rgb="FFF0F8F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8" tint="0.79998168889431442"/>
          <bgColor theme="8" tint="0.79998168889431442"/>
        </patternFill>
      </fill>
    </dxf>
    <dxf>
      <font>
        <strike val="0"/>
        <outline val="0"/>
        <shadow val="0"/>
        <u val="none"/>
        <vertAlign val="baseline"/>
        <sz val="10"/>
        <name val="Calibri"/>
        <scheme val="none"/>
      </font>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bottom" textRotation="0" wrapText="0" indent="0" justifyLastLine="0" shrinkToFit="0" readingOrder="0"/>
    </dxf>
    <dxf>
      <font>
        <strike val="0"/>
        <outline val="0"/>
        <shadow val="0"/>
        <u val="none"/>
        <vertAlign val="baseline"/>
        <sz val="10"/>
        <color theme="1"/>
        <name val="Calibri"/>
        <scheme val="minor"/>
      </font>
      <numFmt numFmtId="13" formatCode="0%"/>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0"/>
        <color theme="1"/>
        <name val="Calibri"/>
        <family val="2"/>
        <scheme val="minor"/>
      </font>
    </dxf>
    <dxf>
      <font>
        <strike val="0"/>
        <outline val="0"/>
        <shadow val="0"/>
        <u val="none"/>
        <vertAlign val="baseline"/>
        <sz val="10"/>
        <name val="Calibri"/>
        <scheme val="none"/>
      </font>
    </dxf>
    <dxf>
      <font>
        <strike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rgb="FF9BC2E6"/>
        </top>
      </border>
    </dxf>
    <dxf>
      <border outline="0">
        <left style="thin">
          <color rgb="FF9BC2E6"/>
        </left>
        <top style="thin">
          <color rgb="FF9BC2E6"/>
        </top>
        <bottom style="medium">
          <color rgb="FF000000"/>
        </bottom>
      </border>
    </dxf>
    <dxf>
      <fill>
        <patternFill patternType="none">
          <fgColor rgb="FF000000"/>
          <bgColor auto="1"/>
        </patternFill>
      </fill>
    </dxf>
    <dxf>
      <border outline="0">
        <bottom style="thin">
          <color rgb="FF9BC2E6"/>
        </bottom>
      </border>
    </dxf>
    <dxf>
      <font>
        <b val="0"/>
        <i val="0"/>
        <strike val="0"/>
        <condense val="0"/>
        <extend val="0"/>
        <outline val="0"/>
        <shadow val="0"/>
        <u val="none"/>
        <vertAlign val="baseline"/>
        <sz val="10"/>
        <color theme="0"/>
        <name val="Calibri"/>
        <scheme val="minor"/>
      </font>
      <fill>
        <patternFill patternType="solid">
          <fgColor theme="4"/>
          <bgColor theme="4"/>
        </patternFill>
      </fill>
      <alignment horizontal="center" vertical="center" textRotation="0" wrapText="1" indent="0" justifyLastLine="0" shrinkToFit="0" readingOrder="0"/>
    </dxf>
    <dxf>
      <font>
        <b val="0"/>
        <strike val="0"/>
        <outline val="0"/>
        <shadow val="0"/>
        <u val="none"/>
        <vertAlign val="baseline"/>
        <sz val="10"/>
        <color auto="1"/>
        <name val="Calibri"/>
        <family val="2"/>
        <charset val="204"/>
        <scheme val="minor"/>
      </font>
      <fill>
        <patternFill patternType="none">
          <fgColor indexed="64"/>
          <bgColor auto="1"/>
        </patternFill>
      </fill>
    </dxf>
    <dxf>
      <font>
        <b val="0"/>
        <strike val="0"/>
        <outline val="0"/>
        <shadow val="0"/>
        <u val="none"/>
        <vertAlign val="baseline"/>
        <sz val="10"/>
        <color auto="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charset val="204"/>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charset val="204"/>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charset val="204"/>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family val="2"/>
        <charset val="204"/>
        <scheme val="minor"/>
      </font>
      <numFmt numFmtId="171" formatCode="[$-F800]dddd\,\ mmmm\ dd\,\ yyyy"/>
      <fill>
        <patternFill patternType="none">
          <fgColor indexed="64"/>
          <bgColor indexed="65"/>
        </patternFill>
      </fill>
      <alignment horizontal="center" vertical="center" textRotation="0" wrapText="0" indent="0" justifyLastLine="0" shrinkToFit="0" readingOrder="0"/>
    </dxf>
    <dxf>
      <border outline="0">
        <top style="thin">
          <color rgb="FF8EA9DB"/>
        </top>
      </border>
    </dxf>
    <dxf>
      <font>
        <b val="0"/>
        <strike val="0"/>
        <outline val="0"/>
        <shadow val="0"/>
        <u val="none"/>
        <vertAlign val="baseline"/>
        <sz val="10"/>
        <color auto="1"/>
        <name val="Calibri"/>
        <family val="2"/>
        <charset val="204"/>
        <scheme val="minor"/>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solid">
          <fgColor theme="8"/>
          <bgColor theme="8"/>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i/>
        <strike val="0"/>
        <condense val="0"/>
        <extend val="0"/>
        <outline val="0"/>
        <shadow val="0"/>
        <u val="none"/>
        <vertAlign val="baseline"/>
        <sz val="10"/>
        <color rgb="FFFF0000"/>
        <name val="Calibri"/>
        <scheme val="minor"/>
      </font>
      <numFmt numFmtId="166" formatCode="#,##0.00\ &quot;₽&quot;"/>
      <fill>
        <patternFill patternType="none">
          <fgColor indexed="64"/>
          <bgColor indexed="65"/>
        </patternFill>
      </fill>
      <alignment horizontal="center" vertical="bottom" textRotation="0" wrapText="0" indent="0" justifyLastLine="0" shrinkToFit="0" readingOrder="0"/>
    </dxf>
    <dxf>
      <font>
        <b/>
        <i/>
        <strike val="0"/>
        <condense val="0"/>
        <extend val="0"/>
        <outline val="0"/>
        <shadow val="0"/>
        <u val="none"/>
        <vertAlign val="baseline"/>
        <sz val="10"/>
        <color rgb="FF00B050"/>
        <name val="Calibri"/>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65" formatCode="#,##0\ &quot;₽&quo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solid">
          <fgColor rgb="FF000000"/>
          <bgColor rgb="FFFFFFFF"/>
        </patternFill>
      </fill>
      <alignment horizontal="center" vertical="bottom" textRotation="0" wrapText="0" indent="0" justifyLastLine="0" shrinkToFit="0" readingOrder="0"/>
    </dxf>
    <dxf>
      <font>
        <b/>
        <i/>
        <strike val="0"/>
        <condense val="0"/>
        <extend val="0"/>
        <outline val="0"/>
        <shadow val="0"/>
        <u val="none"/>
        <vertAlign val="baseline"/>
        <sz val="10"/>
        <color theme="0"/>
        <name val="Calibri"/>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dxf>
    <dxf>
      <border outline="0">
        <top style="thin">
          <color rgb="FF8EA9DB"/>
        </top>
      </border>
    </dxf>
    <dxf>
      <font>
        <b val="0"/>
        <i val="0"/>
        <strike val="0"/>
        <condense val="0"/>
        <extend val="0"/>
        <outline val="0"/>
        <shadow val="0"/>
        <u val="none"/>
        <vertAlign val="baseline"/>
        <sz val="10"/>
        <color rgb="FF000000"/>
        <name val="Calibri"/>
        <scheme val="none"/>
      </font>
      <fill>
        <patternFill patternType="none">
          <fgColor rgb="FF000000"/>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70" formatCode="[$-419]mmmm\ yyyy;@"/>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4" formatCode="0.00%"/>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rgb="FF000000"/>
        <name val="Calibri"/>
        <family val="2"/>
        <scheme val="none"/>
      </font>
      <fill>
        <patternFill patternType="none">
          <fgColor rgb="FF000000"/>
          <bgColor auto="1"/>
        </patternFill>
      </fill>
      <alignment horizontal="center" vertical="center" textRotation="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170" formatCode="[$-419]mmmm\ 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22" formatCode="mmm/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rgb="FF000000"/>
        <name val="Calibri"/>
        <family val="2"/>
        <charset val="204"/>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67" formatCode="_-* #,##0_р_._-;\-* #,##0_р_._-;_-* &quot;-&quot;??_р_._-;_-@_-"/>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border>
        <top style="thin">
          <color rgb="FF000000"/>
        </top>
      </border>
    </dxf>
    <dxf>
      <font>
        <strike val="0"/>
        <outline val="0"/>
        <shadow val="0"/>
        <u val="none"/>
        <vertAlign val="baseline"/>
        <sz val="10"/>
        <name val="Calibri"/>
        <scheme val="none"/>
      </font>
      <fill>
        <patternFill patternType="none">
          <fgColor rgb="FF000000"/>
          <bgColor auto="1"/>
        </patternFill>
      </fill>
      <border diagonalUp="0" diagonalDown="0" outline="0">
        <left style="thin">
          <color rgb="FF000000"/>
        </left>
        <right style="thin">
          <color rgb="FF000000"/>
        </right>
        <top/>
        <bottom/>
      </border>
    </dxf>
    <dxf>
      <border outline="0">
        <top style="thin">
          <color rgb="FF8EA9DB"/>
        </top>
      </border>
    </dxf>
    <dxf>
      <font>
        <b val="0"/>
        <i val="0"/>
        <strike val="0"/>
        <condense val="0"/>
        <extend val="0"/>
        <outline val="0"/>
        <shadow val="0"/>
        <u val="none"/>
        <vertAlign val="baseline"/>
        <sz val="10"/>
        <color rgb="FF000000"/>
        <name val="Calibri"/>
        <family val="2"/>
        <charset val="204"/>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Calibri"/>
        <scheme val="minor"/>
      </font>
      <fill>
        <patternFill patternType="none">
          <fgColor indexed="64"/>
          <bgColor indexed="65"/>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auto="1"/>
        <name val="Calibri"/>
        <charset val="204"/>
        <scheme val="minor"/>
      </font>
      <numFmt numFmtId="22" formatCode="mmm/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thin">
          <color rgb="FF8EA9DB"/>
        </top>
        <bottom style="thin">
          <color rgb="FF000000"/>
        </bottom>
      </border>
    </dxf>
    <dxf>
      <font>
        <b val="0"/>
        <strike val="0"/>
        <outline val="0"/>
        <shadow val="0"/>
        <u val="none"/>
        <vertAlign val="baseline"/>
        <sz val="10"/>
        <color auto="1"/>
        <name val="Calibri"/>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theme="8"/>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68" formatCode="0.0%"/>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auto="1"/>
        <name val="Calibri"/>
        <scheme val="minor"/>
      </font>
      <fill>
        <patternFill patternType="none">
          <fgColor indexed="64"/>
          <bgColor auto="1"/>
        </patternFill>
      </fill>
      <alignment horizontal="center" vertical="bottom" textRotation="0" indent="0" justifyLastLine="0" shrinkToFit="0" readingOrder="0"/>
    </dxf>
    <dxf>
      <font>
        <strike val="0"/>
        <outline val="0"/>
        <shadow val="0"/>
        <u val="none"/>
        <vertAlign val="baseline"/>
        <sz val="10"/>
        <color rgb="FF000000"/>
        <name val="Calibri"/>
        <scheme val="none"/>
      </font>
      <fill>
        <patternFill patternType="none">
          <fgColor rgb="FF000000"/>
          <bgColor auto="1"/>
        </patternFill>
      </fill>
    </dxf>
    <dxf>
      <font>
        <b/>
        <i val="0"/>
        <strike val="0"/>
        <condense val="0"/>
        <extend val="0"/>
        <outline val="0"/>
        <shadow val="0"/>
        <u val="none"/>
        <vertAlign val="baseline"/>
        <sz val="10"/>
        <color theme="1"/>
        <name val="Calibri"/>
        <scheme val="minor"/>
      </font>
      <fill>
        <patternFill patternType="solid">
          <fgColor indexed="64"/>
          <bgColor rgb="FFF0F8F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8" tint="0.79998168889431442"/>
          <bgColor theme="8" tint="0.79998168889431442"/>
        </patternFill>
      </fill>
    </dxf>
    <dxf>
      <font>
        <strike val="0"/>
        <outline val="0"/>
        <shadow val="0"/>
        <u val="none"/>
        <vertAlign val="baseline"/>
        <sz val="10"/>
        <name val="Calibri"/>
        <scheme val="none"/>
      </font>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bottom" textRotation="0" wrapText="0" indent="0" justifyLastLine="0" shrinkToFit="0" readingOrder="0"/>
    </dxf>
    <dxf>
      <font>
        <strike val="0"/>
        <outline val="0"/>
        <shadow val="0"/>
        <u val="none"/>
        <vertAlign val="baseline"/>
        <sz val="10"/>
        <color theme="1"/>
        <name val="Calibri"/>
        <scheme val="minor"/>
      </font>
      <numFmt numFmtId="13" formatCode="0%"/>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0"/>
        <color theme="1"/>
        <name val="Calibri"/>
        <family val="2"/>
        <scheme val="minor"/>
      </font>
    </dxf>
    <dxf>
      <font>
        <strike val="0"/>
        <outline val="0"/>
        <shadow val="0"/>
        <u val="none"/>
        <vertAlign val="baseline"/>
        <sz val="10"/>
        <name val="Calibri"/>
        <scheme val="none"/>
      </font>
    </dxf>
    <dxf>
      <font>
        <strike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rgb="FF9BC2E6"/>
        </top>
      </border>
    </dxf>
    <dxf>
      <border outline="0">
        <left style="thin">
          <color rgb="FF9BC2E6"/>
        </left>
        <top style="thin">
          <color rgb="FF9BC2E6"/>
        </top>
        <bottom style="medium">
          <color rgb="FF000000"/>
        </bottom>
      </border>
    </dxf>
    <dxf>
      <fill>
        <patternFill patternType="none">
          <fgColor rgb="FF000000"/>
          <bgColor auto="1"/>
        </patternFill>
      </fill>
    </dxf>
    <dxf>
      <border outline="0">
        <bottom style="thin">
          <color rgb="FF9BC2E6"/>
        </bottom>
      </border>
    </dxf>
    <dxf>
      <font>
        <b val="0"/>
        <i val="0"/>
        <strike val="0"/>
        <condense val="0"/>
        <extend val="0"/>
        <outline val="0"/>
        <shadow val="0"/>
        <u val="none"/>
        <vertAlign val="baseline"/>
        <sz val="10"/>
        <color theme="0"/>
        <name val="Calibri"/>
        <scheme val="minor"/>
      </font>
      <fill>
        <patternFill patternType="solid">
          <fgColor theme="4"/>
          <bgColor theme="4"/>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fill>
        <patternFill patternType="none">
          <fgColor indexed="64"/>
          <bgColor auto="1"/>
        </patternFill>
      </fill>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charset val="204"/>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71" formatCode="[$-F800]dddd\,\ mmmm\ dd\,\ yyyy"/>
      <fill>
        <patternFill patternType="none">
          <fgColor indexed="64"/>
          <bgColor indexed="65"/>
        </patternFill>
      </fill>
      <alignment horizontal="center" vertical="center" textRotation="0" wrapText="0" indent="0" justifyLastLine="0" shrinkToFit="0" readingOrder="0"/>
    </dxf>
    <dxf>
      <border outline="0">
        <top style="thin">
          <color rgb="FF8EA9DB"/>
        </top>
      </border>
    </dxf>
    <dxf>
      <font>
        <b val="0"/>
        <strike val="0"/>
        <outline val="0"/>
        <shadow val="0"/>
        <u val="none"/>
        <vertAlign val="baseline"/>
        <sz val="10"/>
        <color rgb="FF000000"/>
        <name val="Calibri"/>
        <family val="2"/>
        <charset val="204"/>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solid">
          <fgColor theme="8"/>
          <bgColor theme="8"/>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i/>
        <strike val="0"/>
        <condense val="0"/>
        <extend val="0"/>
        <outline val="0"/>
        <shadow val="0"/>
        <u val="none"/>
        <vertAlign val="baseline"/>
        <sz val="10"/>
        <color rgb="FFFF0000"/>
        <name val="Calibri"/>
        <scheme val="minor"/>
      </font>
      <numFmt numFmtId="166" formatCode="#,##0.00\ &quot;₽&quot;"/>
      <fill>
        <patternFill patternType="none">
          <fgColor indexed="64"/>
          <bgColor indexed="65"/>
        </patternFill>
      </fill>
      <alignment horizontal="center" vertical="bottom" textRotation="0" wrapText="0" indent="0" justifyLastLine="0" shrinkToFit="0" readingOrder="0"/>
    </dxf>
    <dxf>
      <font>
        <b/>
        <i/>
        <strike val="0"/>
        <condense val="0"/>
        <extend val="0"/>
        <outline val="0"/>
        <shadow val="0"/>
        <u val="none"/>
        <vertAlign val="baseline"/>
        <sz val="10"/>
        <color rgb="FF00B050"/>
        <name val="Calibri"/>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65" formatCode="#,##0\ &quot;₽&quo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solid">
          <fgColor rgb="FF000000"/>
          <bgColor rgb="FFFFFFFF"/>
        </patternFill>
      </fill>
      <alignment horizontal="center" vertical="bottom" textRotation="0" wrapText="0" indent="0" justifyLastLine="0" shrinkToFit="0" readingOrder="0"/>
    </dxf>
    <dxf>
      <font>
        <b/>
        <i/>
        <strike val="0"/>
        <condense val="0"/>
        <extend val="0"/>
        <outline val="0"/>
        <shadow val="0"/>
        <u val="none"/>
        <vertAlign val="baseline"/>
        <sz val="10"/>
        <color theme="0"/>
        <name val="Calibri"/>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dxf>
    <dxf>
      <border outline="0">
        <top style="thin">
          <color rgb="FF8EA9DB"/>
        </top>
      </border>
    </dxf>
    <dxf>
      <font>
        <b val="0"/>
        <i val="0"/>
        <strike val="0"/>
        <condense val="0"/>
        <extend val="0"/>
        <outline val="0"/>
        <shadow val="0"/>
        <u val="none"/>
        <vertAlign val="baseline"/>
        <sz val="10"/>
        <color rgb="FF000000"/>
        <name val="Calibri"/>
        <scheme val="none"/>
      </font>
      <fill>
        <patternFill patternType="none">
          <fgColor rgb="FF000000"/>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70" formatCode="[$-419]mmmm\ yyyy;@"/>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4" formatCode="0.00%"/>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rgb="FF000000"/>
        <name val="Calibri"/>
        <family val="2"/>
        <scheme val="none"/>
      </font>
      <fill>
        <patternFill patternType="none">
          <fgColor rgb="FF000000"/>
          <bgColor auto="1"/>
        </patternFill>
      </fill>
      <alignment horizontal="center" vertical="center" textRotation="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170" formatCode="[$-419]mmmm\ 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22" formatCode="mmm/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rgb="FF000000"/>
        <name val="Calibri"/>
        <family val="2"/>
        <charset val="204"/>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67" formatCode="_-* #,##0_р_._-;\-* #,##0_р_._-;_-* &quot;-&quot;??_р_._-;_-@_-"/>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border>
        <top style="thin">
          <color rgb="FF000000"/>
        </top>
      </border>
    </dxf>
    <dxf>
      <font>
        <strike val="0"/>
        <outline val="0"/>
        <shadow val="0"/>
        <u val="none"/>
        <vertAlign val="baseline"/>
        <sz val="10"/>
        <name val="Calibri"/>
        <scheme val="none"/>
      </font>
      <fill>
        <patternFill patternType="none">
          <fgColor rgb="FF000000"/>
          <bgColor auto="1"/>
        </patternFill>
      </fill>
      <border diagonalUp="0" diagonalDown="0" outline="0">
        <left style="thin">
          <color rgb="FF000000"/>
        </left>
        <right style="thin">
          <color rgb="FF000000"/>
        </right>
        <top/>
        <bottom/>
      </border>
    </dxf>
    <dxf>
      <border outline="0">
        <top style="thin">
          <color rgb="FF8EA9DB"/>
        </top>
      </border>
    </dxf>
    <dxf>
      <font>
        <b val="0"/>
        <i val="0"/>
        <strike val="0"/>
        <condense val="0"/>
        <extend val="0"/>
        <outline val="0"/>
        <shadow val="0"/>
        <u val="none"/>
        <vertAlign val="baseline"/>
        <sz val="10"/>
        <color rgb="FF000000"/>
        <name val="Calibri"/>
        <family val="2"/>
        <charset val="204"/>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indent="0" justifyLastLine="0" shrinkToFit="0" readingOrder="0"/>
    </dxf>
    <dxf>
      <font>
        <b val="0"/>
        <i val="0"/>
        <strike val="0"/>
        <condense val="0"/>
        <extend val="0"/>
        <outline val="0"/>
        <shadow val="0"/>
        <u val="none"/>
        <vertAlign val="baseline"/>
        <sz val="10"/>
        <color theme="0"/>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0"/>
        <name val="Calibri"/>
        <scheme val="minor"/>
      </font>
      <numFmt numFmtId="3"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0"/>
        <name val="Calibri"/>
        <scheme val="minor"/>
      </font>
      <numFmt numFmtId="3"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Calibri"/>
        <charset val="204"/>
        <scheme val="minor"/>
      </font>
      <fill>
        <patternFill patternType="none">
          <fgColor indexed="64"/>
          <bgColor indexed="65"/>
        </patternFill>
      </fill>
      <alignment horizontal="center" vertical="center" textRotation="0" wrapText="0" indent="0" justifyLastLine="0" shrinkToFit="0" readingOrder="0"/>
    </dxf>
    <dxf>
      <border outline="0">
        <top style="medium">
          <color rgb="FF000000"/>
        </top>
        <bottom style="thin">
          <color rgb="FF000000"/>
        </bottom>
      </border>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0"/>
        <color auto="1"/>
        <name val="Calibri"/>
        <charset val="204"/>
        <scheme val="minor"/>
      </font>
      <numFmt numFmtId="22" formatCode="mmm/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thin">
          <color rgb="FF8EA9DB"/>
        </top>
        <bottom style="thin">
          <color rgb="FF000000"/>
        </bottom>
      </border>
    </dxf>
    <dxf>
      <font>
        <b val="0"/>
        <strike val="0"/>
        <outline val="0"/>
        <shadow val="0"/>
        <u val="none"/>
        <vertAlign val="baseline"/>
        <sz val="10"/>
        <color auto="1"/>
        <name val="Calibri"/>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theme="8"/>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68" formatCode="0.0%"/>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auto="1"/>
        <name val="Calibri"/>
        <scheme val="minor"/>
      </font>
      <fill>
        <patternFill patternType="none">
          <fgColor indexed="64"/>
          <bgColor auto="1"/>
        </patternFill>
      </fill>
      <alignment horizontal="center" vertical="bottom" textRotation="0" indent="0" justifyLastLine="0" shrinkToFit="0" readingOrder="0"/>
    </dxf>
    <dxf>
      <font>
        <strike val="0"/>
        <outline val="0"/>
        <shadow val="0"/>
        <u val="none"/>
        <vertAlign val="baseline"/>
        <sz val="10"/>
        <color rgb="FF000000"/>
        <name val="Calibri"/>
        <scheme val="none"/>
      </font>
      <fill>
        <patternFill patternType="none">
          <fgColor rgb="FF000000"/>
          <bgColor auto="1"/>
        </patternFill>
      </fill>
    </dxf>
    <dxf>
      <font>
        <b/>
        <i val="0"/>
        <strike val="0"/>
        <condense val="0"/>
        <extend val="0"/>
        <outline val="0"/>
        <shadow val="0"/>
        <u val="none"/>
        <vertAlign val="baseline"/>
        <sz val="10"/>
        <color theme="1"/>
        <name val="Calibri"/>
        <scheme val="minor"/>
      </font>
      <fill>
        <patternFill patternType="solid">
          <fgColor indexed="64"/>
          <bgColor rgb="FFF0F8F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8" tint="0.79998168889431442"/>
          <bgColor theme="8" tint="0.79998168889431442"/>
        </patternFill>
      </fill>
    </dxf>
    <dxf>
      <font>
        <strike val="0"/>
        <outline val="0"/>
        <shadow val="0"/>
        <u val="none"/>
        <vertAlign val="baseline"/>
        <sz val="10"/>
        <name val="Calibri"/>
        <scheme val="none"/>
      </font>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bottom" textRotation="0" wrapText="0" indent="0" justifyLastLine="0" shrinkToFit="0" readingOrder="0"/>
    </dxf>
    <dxf>
      <font>
        <strike val="0"/>
        <outline val="0"/>
        <shadow val="0"/>
        <u val="none"/>
        <vertAlign val="baseline"/>
        <sz val="10"/>
        <color theme="1"/>
        <name val="Calibri"/>
        <scheme val="minor"/>
      </font>
      <numFmt numFmtId="13" formatCode="0%"/>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0"/>
        <color theme="1"/>
        <name val="Calibri"/>
        <family val="2"/>
        <scheme val="minor"/>
      </font>
    </dxf>
    <dxf>
      <font>
        <strike val="0"/>
        <outline val="0"/>
        <shadow val="0"/>
        <u val="none"/>
        <vertAlign val="baseline"/>
        <sz val="10"/>
        <name val="Calibri"/>
        <scheme val="none"/>
      </font>
    </dxf>
    <dxf>
      <font>
        <strike val="0"/>
        <outline val="0"/>
        <shadow val="0"/>
        <u val="none"/>
        <vertAlign val="baseline"/>
        <sz val="10"/>
        <color theme="1"/>
        <name val="Calibri"/>
        <scheme val="minor"/>
      </font>
      <alignment horizontal="center" vertical="bottom" textRotation="0" wrapText="0" indent="0" justifyLastLine="0" shrinkToFit="0" readingOrder="0"/>
    </dxf>
    <dxf>
      <font>
        <b val="0"/>
        <strike val="0"/>
        <outline val="0"/>
        <shadow val="0"/>
        <u val="none"/>
        <vertAlign val="baseline"/>
        <sz val="10"/>
        <color theme="1"/>
        <name val="Calibri"/>
        <family val="2"/>
        <charset val="204"/>
        <scheme val="minor"/>
      </font>
      <fill>
        <patternFill patternType="none">
          <fgColor indexed="64"/>
          <bgColor auto="1"/>
        </patternFill>
      </fill>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71" formatCode="[$-F800]dddd\,\ mmmm\ dd\,\ yyyy"/>
      <fill>
        <patternFill patternType="none">
          <fgColor indexed="64"/>
          <bgColor indexed="65"/>
        </patternFill>
      </fill>
      <alignment horizontal="center" vertical="center" textRotation="0" wrapText="0" indent="0" justifyLastLine="0" shrinkToFit="0" readingOrder="0"/>
    </dxf>
    <dxf>
      <border outline="0">
        <top style="thin">
          <color rgb="FF8EA9DB"/>
        </top>
      </border>
    </dxf>
    <dxf>
      <font>
        <b val="0"/>
        <strike val="0"/>
        <outline val="0"/>
        <shadow val="0"/>
        <u val="none"/>
        <vertAlign val="baseline"/>
        <sz val="10"/>
        <color rgb="FF000000"/>
        <name val="Calibri"/>
        <family val="2"/>
        <charset val="204"/>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solid">
          <fgColor theme="8"/>
          <bgColor theme="8"/>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i/>
        <strike val="0"/>
        <condense val="0"/>
        <extend val="0"/>
        <outline val="0"/>
        <shadow val="0"/>
        <u val="none"/>
        <vertAlign val="baseline"/>
        <sz val="10"/>
        <color rgb="FFFF0000"/>
        <name val="Calibri"/>
        <scheme val="minor"/>
      </font>
      <numFmt numFmtId="166" formatCode="#,##0.00\ &quot;₽&quot;"/>
      <fill>
        <patternFill patternType="none">
          <fgColor indexed="64"/>
          <bgColor indexed="65"/>
        </patternFill>
      </fill>
      <alignment horizontal="center" vertical="bottom" textRotation="0" wrapText="0" indent="0" justifyLastLine="0" shrinkToFit="0" readingOrder="0"/>
    </dxf>
    <dxf>
      <font>
        <b/>
        <i/>
        <strike val="0"/>
        <condense val="0"/>
        <extend val="0"/>
        <outline val="0"/>
        <shadow val="0"/>
        <u val="none"/>
        <vertAlign val="baseline"/>
        <sz val="10"/>
        <color rgb="FF00B050"/>
        <name val="Calibri"/>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65" formatCode="#,##0\ &quot;₽&quo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solid">
          <fgColor rgb="FF000000"/>
          <bgColor rgb="FFFFFFFF"/>
        </patternFill>
      </fill>
      <alignment horizontal="center" vertical="bottom" textRotation="0" wrapText="0" indent="0" justifyLastLine="0" shrinkToFit="0" readingOrder="0"/>
    </dxf>
    <dxf>
      <font>
        <b/>
        <i/>
        <strike val="0"/>
        <condense val="0"/>
        <extend val="0"/>
        <outline val="0"/>
        <shadow val="0"/>
        <u val="none"/>
        <vertAlign val="baseline"/>
        <sz val="10"/>
        <color theme="0"/>
        <name val="Calibri"/>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dxf>
    <dxf>
      <border outline="0">
        <top style="thin">
          <color rgb="FF8EA9DB"/>
        </top>
      </border>
    </dxf>
    <dxf>
      <font>
        <b val="0"/>
        <i val="0"/>
        <strike val="0"/>
        <condense val="0"/>
        <extend val="0"/>
        <outline val="0"/>
        <shadow val="0"/>
        <u val="none"/>
        <vertAlign val="baseline"/>
        <sz val="10"/>
        <color rgb="FF000000"/>
        <name val="Calibri"/>
        <scheme val="none"/>
      </font>
      <fill>
        <patternFill patternType="none">
          <fgColor rgb="FF000000"/>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70" formatCode="[$-419]mmmm\ yyyy;@"/>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4" formatCode="0.00%"/>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rgb="FF000000"/>
        <name val="Calibri"/>
        <family val="2"/>
        <scheme val="none"/>
      </font>
      <fill>
        <patternFill patternType="none">
          <fgColor rgb="FF000000"/>
          <bgColor auto="1"/>
        </patternFill>
      </fill>
      <alignment horizontal="center" vertical="center" textRotation="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170" formatCode="[$-419]mmmm\ 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22" formatCode="mmm/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rgb="FF000000"/>
        <name val="Calibri"/>
        <family val="2"/>
        <charset val="204"/>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67" formatCode="_-* #,##0_р_._-;\-* #,##0_р_._-;_-* &quot;-&quot;??_р_._-;_-@_-"/>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border>
        <top style="thin">
          <color rgb="FF000000"/>
        </top>
      </border>
    </dxf>
    <dxf>
      <font>
        <strike val="0"/>
        <outline val="0"/>
        <shadow val="0"/>
        <u val="none"/>
        <vertAlign val="baseline"/>
        <sz val="10"/>
        <name val="Calibri"/>
        <scheme val="none"/>
      </font>
      <fill>
        <patternFill patternType="none">
          <fgColor rgb="FF000000"/>
          <bgColor auto="1"/>
        </patternFill>
      </fill>
      <border diagonalUp="0" diagonalDown="0" outline="0">
        <left style="thin">
          <color rgb="FF000000"/>
        </left>
        <right style="thin">
          <color rgb="FF000000"/>
        </right>
        <top/>
        <bottom/>
      </border>
    </dxf>
    <dxf>
      <border outline="0">
        <top style="thin">
          <color rgb="FF8EA9DB"/>
        </top>
      </border>
    </dxf>
    <dxf>
      <font>
        <b val="0"/>
        <i val="0"/>
        <strike val="0"/>
        <condense val="0"/>
        <extend val="0"/>
        <outline val="0"/>
        <shadow val="0"/>
        <u val="none"/>
        <vertAlign val="baseline"/>
        <sz val="10"/>
        <color rgb="FF000000"/>
        <name val="Calibri"/>
        <family val="2"/>
        <charset val="204"/>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Calibri"/>
        <charset val="204"/>
        <scheme val="minor"/>
      </font>
      <fill>
        <patternFill patternType="none">
          <fgColor indexed="64"/>
          <bgColor indexed="65"/>
        </patternFill>
      </fill>
      <alignment horizontal="center" vertical="center" textRotation="0" wrapText="0"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FF0000"/>
        <name val="Calibri"/>
        <family val="2"/>
        <scheme val="minor"/>
      </font>
      <numFmt numFmtId="3" formatCode="#,##0"/>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0"/>
        <color auto="1"/>
        <name val="Calibri"/>
        <charset val="204"/>
        <scheme val="minor"/>
      </font>
      <numFmt numFmtId="22" formatCode="mmm/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thin">
          <color rgb="FF8EA9DB"/>
        </top>
        <bottom style="thin">
          <color rgb="FF000000"/>
        </bottom>
      </border>
    </dxf>
    <dxf>
      <font>
        <b val="0"/>
        <strike val="0"/>
        <outline val="0"/>
        <shadow val="0"/>
        <u val="none"/>
        <vertAlign val="baseline"/>
        <sz val="10"/>
        <color auto="1"/>
        <name val="Calibri"/>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theme="8"/>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68" formatCode="0.0%"/>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auto="1"/>
        <name val="Calibri"/>
        <scheme val="minor"/>
      </font>
      <fill>
        <patternFill patternType="none">
          <fgColor indexed="64"/>
          <bgColor auto="1"/>
        </patternFill>
      </fill>
      <alignment horizontal="center" vertical="bottom" textRotation="0" indent="0" justifyLastLine="0" shrinkToFit="0" readingOrder="0"/>
    </dxf>
    <dxf>
      <font>
        <strike val="0"/>
        <outline val="0"/>
        <shadow val="0"/>
        <u val="none"/>
        <vertAlign val="baseline"/>
        <sz val="10"/>
        <color rgb="FF000000"/>
        <name val="Calibri"/>
        <scheme val="none"/>
      </font>
      <fill>
        <patternFill patternType="none">
          <fgColor rgb="FF000000"/>
          <bgColor auto="1"/>
        </patternFill>
      </fill>
    </dxf>
    <dxf>
      <font>
        <b/>
        <i val="0"/>
        <strike val="0"/>
        <condense val="0"/>
        <extend val="0"/>
        <outline val="0"/>
        <shadow val="0"/>
        <u val="none"/>
        <vertAlign val="baseline"/>
        <sz val="10"/>
        <color theme="1"/>
        <name val="Calibri"/>
        <scheme val="minor"/>
      </font>
      <fill>
        <patternFill patternType="solid">
          <fgColor indexed="64"/>
          <bgColor rgb="FFF0F8F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8" tint="0.79998168889431442"/>
          <bgColor theme="8" tint="0.79998168889431442"/>
        </patternFill>
      </fill>
    </dxf>
    <dxf>
      <font>
        <strike val="0"/>
        <outline val="0"/>
        <shadow val="0"/>
        <u val="none"/>
        <vertAlign val="baseline"/>
        <sz val="10"/>
        <name val="Calibri"/>
        <scheme val="none"/>
      </font>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bottom" textRotation="0" wrapText="0" indent="0" justifyLastLine="0" shrinkToFit="0" readingOrder="0"/>
    </dxf>
    <dxf>
      <font>
        <strike val="0"/>
        <outline val="0"/>
        <shadow val="0"/>
        <u val="none"/>
        <vertAlign val="baseline"/>
        <sz val="10"/>
        <color theme="1"/>
        <name val="Calibri"/>
        <scheme val="minor"/>
      </font>
      <numFmt numFmtId="13" formatCode="0%"/>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0"/>
        <color theme="1"/>
        <name val="Calibri"/>
        <family val="2"/>
        <scheme val="minor"/>
      </font>
    </dxf>
    <dxf>
      <font>
        <strike val="0"/>
        <outline val="0"/>
        <shadow val="0"/>
        <u val="none"/>
        <vertAlign val="baseline"/>
        <sz val="10"/>
        <name val="Calibri"/>
        <scheme val="none"/>
      </font>
    </dxf>
    <dxf>
      <font>
        <strike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rgb="FF9BC2E6"/>
        </top>
      </border>
    </dxf>
    <dxf>
      <border outline="0">
        <left style="thin">
          <color rgb="FF9BC2E6"/>
        </left>
        <top style="thin">
          <color rgb="FF9BC2E6"/>
        </top>
        <bottom style="medium">
          <color rgb="FF000000"/>
        </bottom>
      </border>
    </dxf>
    <dxf>
      <fill>
        <patternFill patternType="none">
          <fgColor rgb="FF000000"/>
          <bgColor auto="1"/>
        </patternFill>
      </fill>
    </dxf>
    <dxf>
      <border outline="0">
        <bottom style="thin">
          <color rgb="FF9BC2E6"/>
        </bottom>
      </border>
    </dxf>
    <dxf>
      <font>
        <b val="0"/>
        <i val="0"/>
        <strike val="0"/>
        <condense val="0"/>
        <extend val="0"/>
        <outline val="0"/>
        <shadow val="0"/>
        <u val="none"/>
        <vertAlign val="baseline"/>
        <sz val="10"/>
        <color theme="0"/>
        <name val="Calibri"/>
        <scheme val="minor"/>
      </font>
      <fill>
        <patternFill patternType="solid">
          <fgColor theme="4"/>
          <bgColor theme="4"/>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fill>
        <patternFill patternType="none">
          <fgColor indexed="64"/>
          <bgColor auto="1"/>
        </patternFill>
      </fill>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71" formatCode="[$-F800]dddd\,\ mmmm\ dd\,\ yyyy"/>
      <fill>
        <patternFill patternType="none">
          <fgColor indexed="64"/>
          <bgColor indexed="65"/>
        </patternFill>
      </fill>
      <alignment horizontal="center" vertical="center" textRotation="0" wrapText="0" indent="0" justifyLastLine="0" shrinkToFit="0" readingOrder="0"/>
    </dxf>
    <dxf>
      <border outline="0">
        <top style="thin">
          <color rgb="FF8EA9DB"/>
        </top>
      </border>
    </dxf>
    <dxf>
      <font>
        <b val="0"/>
        <strike val="0"/>
        <outline val="0"/>
        <shadow val="0"/>
        <u val="none"/>
        <vertAlign val="baseline"/>
        <sz val="10"/>
        <color rgb="FF000000"/>
        <name val="Calibri"/>
        <family val="2"/>
        <charset val="204"/>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solid">
          <fgColor theme="8"/>
          <bgColor theme="8"/>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i/>
        <strike val="0"/>
        <condense val="0"/>
        <extend val="0"/>
        <outline val="0"/>
        <shadow val="0"/>
        <u val="none"/>
        <vertAlign val="baseline"/>
        <sz val="10"/>
        <color rgb="FFFF0000"/>
        <name val="Calibri"/>
        <scheme val="minor"/>
      </font>
      <numFmt numFmtId="166" formatCode="#,##0.00\ &quot;₽&quot;"/>
      <fill>
        <patternFill patternType="none">
          <fgColor indexed="64"/>
          <bgColor indexed="65"/>
        </patternFill>
      </fill>
      <alignment horizontal="center" vertical="bottom" textRotation="0" wrapText="0" indent="0" justifyLastLine="0" shrinkToFit="0" readingOrder="0"/>
    </dxf>
    <dxf>
      <font>
        <b/>
        <i/>
        <strike val="0"/>
        <condense val="0"/>
        <extend val="0"/>
        <outline val="0"/>
        <shadow val="0"/>
        <u val="none"/>
        <vertAlign val="baseline"/>
        <sz val="10"/>
        <color rgb="FF00B050"/>
        <name val="Calibri"/>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65" formatCode="#,##0\ &quot;₽&quo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solid">
          <fgColor rgb="FF000000"/>
          <bgColor rgb="FFFFFFFF"/>
        </patternFill>
      </fill>
      <alignment horizontal="center" vertical="bottom" textRotation="0" wrapText="0" indent="0" justifyLastLine="0" shrinkToFit="0" readingOrder="0"/>
    </dxf>
    <dxf>
      <font>
        <b/>
        <i/>
        <strike val="0"/>
        <condense val="0"/>
        <extend val="0"/>
        <outline val="0"/>
        <shadow val="0"/>
        <u val="none"/>
        <vertAlign val="baseline"/>
        <sz val="10"/>
        <color theme="0"/>
        <name val="Calibri"/>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dxf>
    <dxf>
      <border outline="0">
        <top style="thin">
          <color rgb="FF8EA9DB"/>
        </top>
      </border>
    </dxf>
    <dxf>
      <font>
        <b val="0"/>
        <i val="0"/>
        <strike val="0"/>
        <condense val="0"/>
        <extend val="0"/>
        <outline val="0"/>
        <shadow val="0"/>
        <u val="none"/>
        <vertAlign val="baseline"/>
        <sz val="10"/>
        <color rgb="FF000000"/>
        <name val="Calibri"/>
        <scheme val="none"/>
      </font>
      <fill>
        <patternFill patternType="none">
          <fgColor rgb="FF000000"/>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70" formatCode="[$-419]mmmm\ yyyy;@"/>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4" formatCode="0.00%"/>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rgb="FF000000"/>
        <name val="Calibri"/>
        <family val="2"/>
        <scheme val="none"/>
      </font>
      <fill>
        <patternFill patternType="none">
          <fgColor rgb="FF000000"/>
          <bgColor auto="1"/>
        </patternFill>
      </fill>
      <alignment horizontal="center" vertical="center" textRotation="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val="0"/>
        <strike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scheme val="minor"/>
      </font>
      <numFmt numFmtId="170" formatCode="[$-419]mmmm\ 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scheme val="minor"/>
      </font>
      <numFmt numFmtId="22" formatCode="mmm/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scheme val="minor"/>
      </font>
      <numFmt numFmtId="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67" formatCode="_-* #,##0_р_._-;\-* #,##0_р_._-;_-* &quot;-&quot;??_р_._-;_-@_-"/>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border>
        <top style="thin">
          <color rgb="FF000000"/>
        </top>
      </border>
    </dxf>
    <dxf>
      <font>
        <strike val="0"/>
        <outline val="0"/>
        <shadow val="0"/>
        <u val="none"/>
        <vertAlign val="baseline"/>
        <sz val="10"/>
        <name val="Calibri"/>
        <scheme val="none"/>
      </font>
      <fill>
        <patternFill patternType="none">
          <fgColor rgb="FF000000"/>
          <bgColor auto="1"/>
        </patternFill>
      </fill>
      <border diagonalUp="0" diagonalDown="0" outline="0">
        <left style="thin">
          <color rgb="FF000000"/>
        </left>
        <right style="thin">
          <color rgb="FF000000"/>
        </right>
        <top/>
        <bottom/>
      </border>
    </dxf>
    <dxf>
      <border outline="0">
        <top style="thin">
          <color rgb="FF8EA9DB"/>
        </top>
      </border>
    </dxf>
    <dxf>
      <font>
        <b val="0"/>
        <i val="0"/>
        <strike val="0"/>
        <condense val="0"/>
        <extend val="0"/>
        <outline val="0"/>
        <shadow val="0"/>
        <u val="none"/>
        <vertAlign val="baseline"/>
        <sz val="10"/>
        <color rgb="FF000000"/>
        <name val="Calibri"/>
        <family val="2"/>
        <charset val="204"/>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Calibri"/>
        <scheme val="minor"/>
      </font>
      <fill>
        <patternFill patternType="none">
          <fgColor indexed="64"/>
          <bgColor indexed="65"/>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0"/>
        <color auto="1"/>
        <name val="Calibri"/>
        <charset val="204"/>
        <scheme val="minor"/>
      </font>
      <numFmt numFmtId="22" formatCode="mmm/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thin">
          <color rgb="FF8EA9DB"/>
        </top>
        <bottom style="thin">
          <color rgb="FF000000"/>
        </bottom>
      </border>
    </dxf>
    <dxf>
      <font>
        <b val="0"/>
        <strike val="0"/>
        <outline val="0"/>
        <shadow val="0"/>
        <u val="none"/>
        <vertAlign val="baseline"/>
        <sz val="10"/>
        <color auto="1"/>
        <name val="Calibri"/>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theme="8"/>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68" formatCode="0.0%"/>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auto="1"/>
        <name val="Calibri"/>
        <scheme val="minor"/>
      </font>
      <fill>
        <patternFill patternType="none">
          <fgColor indexed="64"/>
          <bgColor auto="1"/>
        </patternFill>
      </fill>
      <alignment horizontal="center" vertical="bottom" textRotation="0" indent="0" justifyLastLine="0" shrinkToFit="0" readingOrder="0"/>
    </dxf>
    <dxf>
      <font>
        <strike val="0"/>
        <outline val="0"/>
        <shadow val="0"/>
        <u val="none"/>
        <vertAlign val="baseline"/>
        <sz val="10"/>
        <color rgb="FF000000"/>
        <name val="Calibri"/>
        <scheme val="none"/>
      </font>
      <fill>
        <patternFill patternType="none">
          <fgColor rgb="FF000000"/>
          <bgColor auto="1"/>
        </patternFill>
      </fill>
    </dxf>
    <dxf>
      <font>
        <b/>
        <i val="0"/>
        <strike val="0"/>
        <condense val="0"/>
        <extend val="0"/>
        <outline val="0"/>
        <shadow val="0"/>
        <u val="none"/>
        <vertAlign val="baseline"/>
        <sz val="10"/>
        <color theme="1"/>
        <name val="Calibri"/>
        <scheme val="minor"/>
      </font>
      <fill>
        <patternFill patternType="solid">
          <fgColor indexed="64"/>
          <bgColor rgb="FFF0F8F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8" tint="0.79998168889431442"/>
          <bgColor theme="8" tint="0.79998168889431442"/>
        </patternFill>
      </fill>
    </dxf>
    <dxf>
      <font>
        <strike val="0"/>
        <outline val="0"/>
        <shadow val="0"/>
        <u val="none"/>
        <vertAlign val="baseline"/>
        <sz val="10"/>
        <name val="Calibri"/>
        <scheme val="none"/>
      </font>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bottom" textRotation="0" wrapText="0" indent="0" justifyLastLine="0" shrinkToFit="0" readingOrder="0"/>
    </dxf>
    <dxf>
      <font>
        <strike val="0"/>
        <outline val="0"/>
        <shadow val="0"/>
        <u val="none"/>
        <vertAlign val="baseline"/>
        <sz val="10"/>
        <color theme="1"/>
        <name val="Calibri"/>
        <scheme val="minor"/>
      </font>
      <numFmt numFmtId="13" formatCode="0%"/>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0"/>
        <color theme="1"/>
        <name val="Calibri"/>
        <family val="2"/>
        <scheme val="minor"/>
      </font>
    </dxf>
    <dxf>
      <font>
        <strike val="0"/>
        <outline val="0"/>
        <shadow val="0"/>
        <u val="none"/>
        <vertAlign val="baseline"/>
        <sz val="10"/>
        <name val="Calibri"/>
        <scheme val="none"/>
      </font>
    </dxf>
    <dxf>
      <font>
        <strike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rgb="FF9BC2E6"/>
        </top>
      </border>
    </dxf>
    <dxf>
      <border outline="0">
        <left style="thin">
          <color rgb="FF9BC2E6"/>
        </left>
        <top style="thin">
          <color rgb="FF9BC2E6"/>
        </top>
        <bottom style="medium">
          <color rgb="FF000000"/>
        </bottom>
      </border>
    </dxf>
    <dxf>
      <fill>
        <patternFill patternType="none">
          <fgColor rgb="FF000000"/>
          <bgColor auto="1"/>
        </patternFill>
      </fill>
    </dxf>
    <dxf>
      <border outline="0">
        <bottom style="thin">
          <color rgb="FF9BC2E6"/>
        </bottom>
      </border>
    </dxf>
    <dxf>
      <font>
        <b val="0"/>
        <i val="0"/>
        <strike val="0"/>
        <condense val="0"/>
        <extend val="0"/>
        <outline val="0"/>
        <shadow val="0"/>
        <u val="none"/>
        <vertAlign val="baseline"/>
        <sz val="10"/>
        <color theme="0"/>
        <name val="Calibri"/>
        <scheme val="minor"/>
      </font>
      <fill>
        <patternFill patternType="solid">
          <fgColor theme="4"/>
          <bgColor theme="4"/>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fill>
        <patternFill patternType="none">
          <fgColor indexed="64"/>
          <bgColor auto="1"/>
        </patternFill>
      </fill>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71" formatCode="[$-F800]dddd\,\ mmmm\ dd\,\ yyyy"/>
      <fill>
        <patternFill patternType="none">
          <fgColor indexed="64"/>
          <bgColor indexed="65"/>
        </patternFill>
      </fill>
      <alignment horizontal="center" vertical="center" textRotation="0" wrapText="0" indent="0" justifyLastLine="0" shrinkToFit="0" readingOrder="0"/>
    </dxf>
    <dxf>
      <border outline="0">
        <top style="thin">
          <color rgb="FF8EA9DB"/>
        </top>
      </border>
    </dxf>
    <dxf>
      <font>
        <b val="0"/>
        <strike val="0"/>
        <outline val="0"/>
        <shadow val="0"/>
        <u val="none"/>
        <vertAlign val="baseline"/>
        <sz val="10"/>
        <color rgb="FF000000"/>
        <name val="Calibri"/>
        <family val="2"/>
        <charset val="204"/>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solid">
          <fgColor theme="8"/>
          <bgColor theme="8"/>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i/>
        <strike val="0"/>
        <condense val="0"/>
        <extend val="0"/>
        <outline val="0"/>
        <shadow val="0"/>
        <u val="none"/>
        <vertAlign val="baseline"/>
        <sz val="10"/>
        <color rgb="FFFF0000"/>
        <name val="Calibri"/>
        <scheme val="minor"/>
      </font>
      <numFmt numFmtId="166" formatCode="#,##0.00\ &quot;₽&quot;"/>
      <fill>
        <patternFill patternType="none">
          <fgColor indexed="64"/>
          <bgColor indexed="65"/>
        </patternFill>
      </fill>
      <alignment horizontal="center" vertical="bottom" textRotation="0" wrapText="0" indent="0" justifyLastLine="0" shrinkToFit="0" readingOrder="0"/>
    </dxf>
    <dxf>
      <font>
        <b/>
        <i/>
        <strike val="0"/>
        <condense val="0"/>
        <extend val="0"/>
        <outline val="0"/>
        <shadow val="0"/>
        <u val="none"/>
        <vertAlign val="baseline"/>
        <sz val="10"/>
        <color rgb="FF00B050"/>
        <name val="Calibri"/>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65" formatCode="#,##0\ &quot;₽&quo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solid">
          <fgColor rgb="FF000000"/>
          <bgColor rgb="FFFFFFFF"/>
        </patternFill>
      </fill>
      <alignment horizontal="center" vertical="bottom" textRotation="0" wrapText="0" indent="0" justifyLastLine="0" shrinkToFit="0" readingOrder="0"/>
    </dxf>
    <dxf>
      <font>
        <b/>
        <i/>
        <strike val="0"/>
        <condense val="0"/>
        <extend val="0"/>
        <outline val="0"/>
        <shadow val="0"/>
        <u val="none"/>
        <vertAlign val="baseline"/>
        <sz val="10"/>
        <color theme="0"/>
        <name val="Calibri"/>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dxf>
    <dxf>
      <border outline="0">
        <top style="thin">
          <color rgb="FF8EA9DB"/>
        </top>
      </border>
    </dxf>
    <dxf>
      <font>
        <b val="0"/>
        <i val="0"/>
        <strike val="0"/>
        <condense val="0"/>
        <extend val="0"/>
        <outline val="0"/>
        <shadow val="0"/>
        <u val="none"/>
        <vertAlign val="baseline"/>
        <sz val="10"/>
        <color rgb="FF000000"/>
        <name val="Calibri"/>
        <scheme val="none"/>
      </font>
      <fill>
        <patternFill patternType="none">
          <fgColor rgb="FF000000"/>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70" formatCode="[$-419]mmmm\ yyyy;@"/>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4" formatCode="0.00%"/>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rgb="FF000000"/>
        <name val="Calibri"/>
        <family val="2"/>
        <scheme val="none"/>
      </font>
      <fill>
        <patternFill patternType="none">
          <fgColor rgb="FF000000"/>
          <bgColor auto="1"/>
        </patternFill>
      </fill>
      <alignment horizontal="center" vertical="center" textRotation="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170" formatCode="[$-419]mmmm\ 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22" formatCode="mmm/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charset val="204"/>
        <scheme val="minor"/>
      </font>
      <numFmt numFmtId="4" formatCode="#,##0.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rgb="FF000000"/>
        <name val="Calibri"/>
        <family val="2"/>
        <charset val="204"/>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67" formatCode="_-* #,##0_р_._-;\-* #,##0_р_._-;_-* &quot;-&quot;??_р_._-;_-@_-"/>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border>
        <top style="thin">
          <color rgb="FF000000"/>
        </top>
      </border>
    </dxf>
    <dxf>
      <font>
        <strike val="0"/>
        <outline val="0"/>
        <shadow val="0"/>
        <u val="none"/>
        <vertAlign val="baseline"/>
        <sz val="10"/>
        <name val="Calibri"/>
        <scheme val="none"/>
      </font>
      <fill>
        <patternFill patternType="none">
          <fgColor rgb="FF000000"/>
          <bgColor auto="1"/>
        </patternFill>
      </fill>
      <border diagonalUp="0" diagonalDown="0" outline="0">
        <left style="thin">
          <color rgb="FF000000"/>
        </left>
        <right style="thin">
          <color rgb="FF000000"/>
        </right>
        <top/>
        <bottom/>
      </border>
    </dxf>
    <dxf>
      <border outline="0">
        <top style="thin">
          <color rgb="FF8EA9DB"/>
        </top>
      </border>
    </dxf>
    <dxf>
      <font>
        <b val="0"/>
        <i val="0"/>
        <strike val="0"/>
        <condense val="0"/>
        <extend val="0"/>
        <outline val="0"/>
        <shadow val="0"/>
        <u val="none"/>
        <vertAlign val="baseline"/>
        <sz val="10"/>
        <color theme="1"/>
        <name val="Calibri"/>
        <family val="2"/>
        <charset val="204"/>
        <scheme val="minor"/>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Calibri"/>
        <scheme val="minor"/>
      </font>
      <fill>
        <patternFill patternType="none">
          <fgColor indexed="64"/>
          <bgColor indexed="65"/>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0"/>
        <color auto="1"/>
        <name val="Calibri"/>
        <charset val="204"/>
        <scheme val="minor"/>
      </font>
      <numFmt numFmtId="22" formatCode="mmm/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4" formatCode="0.00%"/>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thin">
          <color rgb="FF8EA9DB"/>
        </top>
        <bottom style="thin">
          <color rgb="FF000000"/>
        </bottom>
      </border>
    </dxf>
    <dxf>
      <font>
        <b val="0"/>
        <strike val="0"/>
        <outline val="0"/>
        <shadow val="0"/>
        <u val="none"/>
        <vertAlign val="baseline"/>
        <sz val="10"/>
        <color auto="1"/>
        <name val="Calibri"/>
        <scheme val="none"/>
      </font>
      <fill>
        <patternFill patternType="none">
          <fgColor rgb="FF000000"/>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theme="8"/>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68" formatCode="0.0%"/>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auto="1"/>
        <name val="Calibri"/>
        <scheme val="minor"/>
      </font>
      <fill>
        <patternFill patternType="none">
          <fgColor indexed="64"/>
          <bgColor auto="1"/>
        </patternFill>
      </fill>
      <alignment horizontal="center" vertical="bottom" textRotation="0" indent="0" justifyLastLine="0" shrinkToFit="0" readingOrder="0"/>
    </dxf>
    <dxf>
      <font>
        <strike val="0"/>
        <outline val="0"/>
        <shadow val="0"/>
        <u val="none"/>
        <vertAlign val="baseline"/>
        <sz val="10"/>
        <color rgb="FF000000"/>
        <name val="Calibri"/>
        <scheme val="none"/>
      </font>
      <fill>
        <patternFill patternType="none">
          <fgColor rgb="FF000000"/>
          <bgColor auto="1"/>
        </patternFill>
      </fill>
    </dxf>
    <dxf>
      <font>
        <b/>
        <i val="0"/>
        <strike val="0"/>
        <condense val="0"/>
        <extend val="0"/>
        <outline val="0"/>
        <shadow val="0"/>
        <u val="none"/>
        <vertAlign val="baseline"/>
        <sz val="10"/>
        <color theme="1"/>
        <name val="Calibri"/>
        <scheme val="minor"/>
      </font>
      <fill>
        <patternFill patternType="solid">
          <fgColor indexed="64"/>
          <bgColor rgb="FFF0F8F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8" tint="0.79998168889431442"/>
          <bgColor theme="8" tint="0.79998168889431442"/>
        </patternFill>
      </fill>
    </dxf>
    <dxf>
      <font>
        <strike val="0"/>
        <outline val="0"/>
        <shadow val="0"/>
        <u val="none"/>
        <vertAlign val="baseline"/>
        <sz val="10"/>
        <name val="Calibri"/>
        <scheme val="none"/>
      </font>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bottom" textRotation="0" wrapText="0" indent="0" justifyLastLine="0" shrinkToFit="0" readingOrder="0"/>
    </dxf>
    <dxf>
      <font>
        <strike val="0"/>
        <outline val="0"/>
        <shadow val="0"/>
        <u val="none"/>
        <vertAlign val="baseline"/>
        <sz val="10"/>
        <color theme="1"/>
        <name val="Calibri"/>
        <scheme val="minor"/>
      </font>
      <numFmt numFmtId="13" formatCode="0%"/>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0"/>
        <color theme="1"/>
        <name val="Calibri"/>
        <family val="2"/>
        <scheme val="minor"/>
      </font>
    </dxf>
    <dxf>
      <font>
        <strike val="0"/>
        <outline val="0"/>
        <shadow val="0"/>
        <u val="none"/>
        <vertAlign val="baseline"/>
        <sz val="10"/>
        <name val="Calibri"/>
        <scheme val="none"/>
      </font>
    </dxf>
    <dxf>
      <font>
        <strike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rgb="FF9BC2E6"/>
        </top>
      </border>
    </dxf>
    <dxf>
      <border outline="0">
        <left style="thin">
          <color rgb="FF9BC2E6"/>
        </left>
        <top style="thin">
          <color rgb="FF9BC2E6"/>
        </top>
        <bottom style="medium">
          <color rgb="FF000000"/>
        </bottom>
      </border>
    </dxf>
    <dxf>
      <fill>
        <patternFill patternType="none">
          <fgColor indexed="64"/>
          <bgColor auto="1"/>
        </patternFill>
      </fill>
    </dxf>
    <dxf>
      <border outline="0">
        <bottom style="thin">
          <color rgb="FF9BC2E6"/>
        </bottom>
      </border>
    </dxf>
    <dxf>
      <font>
        <b val="0"/>
        <i val="0"/>
        <strike val="0"/>
        <condense val="0"/>
        <extend val="0"/>
        <outline val="0"/>
        <shadow val="0"/>
        <u val="none"/>
        <vertAlign val="baseline"/>
        <sz val="10"/>
        <color theme="0"/>
        <name val="Calibri"/>
        <scheme val="minor"/>
      </font>
      <fill>
        <patternFill patternType="solid">
          <fgColor theme="4"/>
          <bgColor theme="4"/>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fill>
        <patternFill patternType="none">
          <fgColor indexed="64"/>
          <bgColor auto="1"/>
        </patternFill>
      </fill>
    </dxf>
    <dxf>
      <font>
        <b val="0"/>
        <strike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charset val="204"/>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theme="1"/>
        <name val="Calibri"/>
        <family val="2"/>
        <charset val="204"/>
        <scheme val="minor"/>
      </font>
      <numFmt numFmtId="171" formatCode="[$-F800]dddd\,\ mmmm\ dd\,\ yyyy"/>
      <fill>
        <patternFill patternType="none">
          <fgColor indexed="64"/>
          <bgColor indexed="65"/>
        </patternFill>
      </fill>
      <alignment horizontal="center" vertical="center" textRotation="0" wrapText="0" indent="0" justifyLastLine="0" shrinkToFit="0" readingOrder="0"/>
    </dxf>
    <dxf>
      <border outline="0">
        <top style="thin">
          <color rgb="FF8EA9DB"/>
        </top>
      </border>
    </dxf>
    <dxf>
      <font>
        <b val="0"/>
        <strike val="0"/>
        <outline val="0"/>
        <shadow val="0"/>
        <u val="none"/>
        <vertAlign val="baseline"/>
        <sz val="10"/>
        <color theme="1"/>
        <name val="Calibri"/>
        <family val="2"/>
        <charset val="204"/>
        <scheme val="minor"/>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solid">
          <fgColor theme="8"/>
          <bgColor theme="8"/>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i/>
        <strike val="0"/>
        <condense val="0"/>
        <extend val="0"/>
        <outline val="0"/>
        <shadow val="0"/>
        <u val="none"/>
        <vertAlign val="baseline"/>
        <sz val="10"/>
        <color rgb="FFFF0000"/>
        <name val="Calibri"/>
        <scheme val="minor"/>
      </font>
      <numFmt numFmtId="166" formatCode="#,##0.00\ &quot;₽&quot;"/>
      <fill>
        <patternFill patternType="none">
          <fgColor indexed="64"/>
          <bgColor indexed="65"/>
        </patternFill>
      </fill>
      <alignment horizontal="center" vertical="bottom" textRotation="0" wrapText="0" indent="0" justifyLastLine="0" shrinkToFit="0" readingOrder="0"/>
    </dxf>
    <dxf>
      <font>
        <b/>
        <i/>
        <strike val="0"/>
        <condense val="0"/>
        <extend val="0"/>
        <outline val="0"/>
        <shadow val="0"/>
        <u val="none"/>
        <vertAlign val="baseline"/>
        <sz val="10"/>
        <color rgb="FF00B050"/>
        <name val="Calibri"/>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65" formatCode="#,##0\ &quot;₽&quo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solid">
          <fgColor rgb="FF000000"/>
          <bgColor rgb="FFFFFFFF"/>
        </patternFill>
      </fill>
      <alignment horizontal="center" vertical="bottom" textRotation="0" wrapText="0" indent="0" justifyLastLine="0" shrinkToFit="0" readingOrder="0"/>
    </dxf>
    <dxf>
      <font>
        <b/>
        <i/>
        <strike val="0"/>
        <condense val="0"/>
        <extend val="0"/>
        <outline val="0"/>
        <shadow val="0"/>
        <u val="none"/>
        <vertAlign val="baseline"/>
        <sz val="10"/>
        <color theme="0"/>
        <name val="Calibri"/>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dxf>
    <dxf>
      <border outline="0">
        <top style="thin">
          <color rgb="FF8EA9DB"/>
        </top>
      </border>
    </dxf>
    <dxf>
      <font>
        <b val="0"/>
        <i val="0"/>
        <strike val="0"/>
        <condense val="0"/>
        <extend val="0"/>
        <outline val="0"/>
        <shadow val="0"/>
        <u val="none"/>
        <vertAlign val="baseline"/>
        <sz val="10"/>
        <color rgb="FF000000"/>
        <name val="Calibri"/>
        <scheme val="none"/>
      </font>
      <fill>
        <patternFill patternType="none">
          <fgColor rgb="FF000000"/>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70" formatCode="[$-419]mmmm\ yyyy;@"/>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4" formatCode="0.00%"/>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family val="2"/>
        <scheme val="minor"/>
      </font>
      <numFmt numFmtId="170" formatCode="[$-419]mmmm\ yyyy;@"/>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22" formatCode="mmm/yy"/>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14" formatCode="0.00%"/>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14" formatCode="0.00%"/>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b/>
        <strike val="0"/>
        <outline val="0"/>
        <shadow val="0"/>
        <u val="none"/>
        <vertAlign val="baseline"/>
        <sz val="10"/>
        <color theme="1"/>
        <name val="Calibri"/>
        <family val="2"/>
        <scheme val="minor"/>
      </font>
      <numFmt numFmtId="4" formatCode="#,##0.00"/>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67" formatCode="_-* #,##0_р_._-;\-* #,##0_р_._-;_-* &quot;-&quot;??_р_._-;_-@_-"/>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1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alignment horizontal="center" vertical="center" textRotation="0" wrapText="1" indent="0" justifyLastLine="0" shrinkToFit="0" readingOrder="0"/>
    </dxf>
    <dxf>
      <border>
        <top style="thin">
          <color rgb="FF000000"/>
        </top>
      </border>
    </dxf>
    <dxf>
      <font>
        <strike val="0"/>
        <outline val="0"/>
        <shadow val="0"/>
        <u val="none"/>
        <vertAlign val="baseline"/>
        <sz val="10"/>
        <name val="Calibri"/>
        <scheme val="none"/>
      </font>
      <fill>
        <patternFill patternType="none">
          <fgColor rgb="FF000000"/>
          <bgColor auto="1"/>
        </patternFill>
      </fill>
      <border diagonalUp="0" diagonalDown="0" outline="0">
        <left style="thin">
          <color rgb="FF000000"/>
        </left>
        <right style="thin">
          <color rgb="FF000000"/>
        </right>
        <top/>
        <bottom/>
      </border>
    </dxf>
    <dxf>
      <border outline="0">
        <top style="thin">
          <color rgb="FF8EA9DB"/>
        </top>
      </border>
    </dxf>
    <dxf>
      <font>
        <b val="0"/>
        <i val="0"/>
        <strike val="0"/>
        <condense val="0"/>
        <extend val="0"/>
        <outline val="0"/>
        <shadow val="0"/>
        <u val="none"/>
        <vertAlign val="baseline"/>
        <sz val="10"/>
        <color theme="1"/>
        <name val="Calibri"/>
        <family val="2"/>
        <charset val="204"/>
        <scheme val="minor"/>
      </font>
      <fill>
        <patternFill patternType="none">
          <fgColor indexed="64"/>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Calibri"/>
        <scheme val="minor"/>
      </font>
      <fill>
        <patternFill patternType="none">
          <fgColor indexed="64"/>
          <bgColor indexed="65"/>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0"/>
        <color auto="1"/>
        <name val="Calibri"/>
        <charset val="204"/>
        <scheme val="minor"/>
      </font>
      <numFmt numFmtId="22" formatCode="mmm/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4" formatCode="0.00%"/>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thin">
          <color rgb="FF8EA9DB"/>
        </top>
        <bottom style="thin">
          <color rgb="FF000000"/>
        </bottom>
      </border>
    </dxf>
    <dxf>
      <font>
        <b val="0"/>
        <strike val="0"/>
        <outline val="0"/>
        <shadow val="0"/>
        <u val="none"/>
        <vertAlign val="baseline"/>
        <sz val="10"/>
        <color auto="1"/>
        <name val="Calibri"/>
        <scheme val="none"/>
      </font>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theme="8"/>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68" formatCode="0.0%"/>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auto="1"/>
        <name val="Calibri"/>
        <scheme val="minor"/>
      </font>
      <fill>
        <patternFill patternType="none">
          <fgColor indexed="64"/>
          <bgColor auto="1"/>
        </patternFill>
      </fill>
      <alignment horizontal="center" vertical="bottom" textRotation="0" indent="0" justifyLastLine="0" shrinkToFit="0" readingOrder="0"/>
    </dxf>
    <dxf>
      <font>
        <strike val="0"/>
        <outline val="0"/>
        <shadow val="0"/>
        <u val="none"/>
        <vertAlign val="baseline"/>
        <sz val="10"/>
        <color rgb="FF000000"/>
        <name val="Calibri"/>
        <scheme val="none"/>
      </font>
      <fill>
        <patternFill patternType="none">
          <fgColor rgb="FF000000"/>
          <bgColor auto="1"/>
        </patternFill>
      </fill>
    </dxf>
    <dxf>
      <font>
        <b/>
        <i val="0"/>
        <strike val="0"/>
        <condense val="0"/>
        <extend val="0"/>
        <outline val="0"/>
        <shadow val="0"/>
        <u val="none"/>
        <vertAlign val="baseline"/>
        <sz val="10"/>
        <color theme="1"/>
        <name val="Calibri"/>
        <scheme val="minor"/>
      </font>
      <fill>
        <patternFill patternType="solid">
          <fgColor indexed="64"/>
          <bgColor rgb="FFF0F8F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8" tint="0.79998168889431442"/>
          <bgColor theme="8" tint="0.79998168889431442"/>
        </patternFill>
      </fill>
    </dxf>
    <dxf>
      <font>
        <strike val="0"/>
        <outline val="0"/>
        <shadow val="0"/>
        <u val="none"/>
        <vertAlign val="baseline"/>
        <sz val="10"/>
        <name val="Calibri"/>
        <scheme val="none"/>
      </font>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bottom" textRotation="0" wrapText="0" indent="0" justifyLastLine="0" shrinkToFit="0" readingOrder="0"/>
    </dxf>
    <dxf>
      <font>
        <strike val="0"/>
        <outline val="0"/>
        <shadow val="0"/>
        <u val="none"/>
        <vertAlign val="baseline"/>
        <sz val="10"/>
        <color theme="1"/>
        <name val="Calibri"/>
        <scheme val="minor"/>
      </font>
      <numFmt numFmtId="13" formatCode="0%"/>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0"/>
        <color theme="1"/>
        <name val="Calibri"/>
        <family val="2"/>
        <scheme val="minor"/>
      </font>
    </dxf>
    <dxf>
      <font>
        <strike val="0"/>
        <outline val="0"/>
        <shadow val="0"/>
        <u val="none"/>
        <vertAlign val="baseline"/>
        <sz val="10"/>
        <name val="Calibri"/>
        <scheme val="none"/>
      </font>
    </dxf>
    <dxf>
      <font>
        <strike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auto="1"/>
        <name val="Calibri"/>
        <scheme val="minor"/>
      </font>
      <numFmt numFmtId="3" formatCode="#,##0"/>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auto="1"/>
        <name val="Calibri"/>
        <scheme val="minor"/>
      </font>
      <numFmt numFmtId="3" formatCode="#,##0"/>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rgb="FF9BC2E6"/>
        </top>
      </border>
    </dxf>
    <dxf>
      <border outline="0">
        <left style="thin">
          <color rgb="FF9BC2E6"/>
        </left>
        <top style="thin">
          <color rgb="FF9BC2E6"/>
        </top>
        <bottom style="medium">
          <color rgb="FF000000"/>
        </bottom>
      </border>
    </dxf>
    <dxf>
      <border outline="0">
        <bottom style="thin">
          <color rgb="FF9BC2E6"/>
        </bottom>
      </border>
    </dxf>
    <dxf>
      <font>
        <b val="0"/>
        <i val="0"/>
        <strike val="0"/>
        <condense val="0"/>
        <extend val="0"/>
        <outline val="0"/>
        <shadow val="0"/>
        <u val="none"/>
        <vertAlign val="baseline"/>
        <sz val="10"/>
        <color theme="0"/>
        <name val="Calibri"/>
        <scheme val="minor"/>
      </font>
      <fill>
        <patternFill patternType="solid">
          <fgColor theme="4"/>
          <bgColor theme="4"/>
        </patternFill>
      </fill>
      <alignment horizontal="center" vertical="center" textRotation="0" wrapText="1" indent="0" justifyLastLine="0" shrinkToFit="0" readingOrder="0"/>
    </dxf>
    <dxf>
      <font>
        <strike val="0"/>
        <outline val="0"/>
        <shadow val="0"/>
        <u val="none"/>
        <vertAlign val="baseline"/>
        <sz val="10"/>
        <color rgb="FFFF0000"/>
        <name val="Calibri"/>
        <family val="2"/>
        <scheme val="minor"/>
      </font>
      <fill>
        <patternFill patternType="none">
          <fgColor indexed="64"/>
          <bgColor auto="1"/>
        </patternFill>
      </fill>
    </dxf>
    <dxf>
      <font>
        <strike val="0"/>
        <outline val="0"/>
        <shadow val="0"/>
        <u val="none"/>
        <vertAlign val="baseline"/>
        <sz val="10"/>
        <color rgb="FFFF0000"/>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rgb="FFFF0000"/>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rgb="FFFF0000"/>
        <name val="Calibri"/>
        <family val="2"/>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FF0000"/>
        <name val="Calibri"/>
        <family val="2"/>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FF0000"/>
        <name val="Calibri"/>
        <family val="2"/>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center" textRotation="0" wrapText="0" indent="0" justifyLastLine="0" shrinkToFit="0" readingOrder="0"/>
    </dxf>
    <dxf>
      <border outline="0">
        <top style="thin">
          <color rgb="FF8EA9DB"/>
        </top>
      </border>
    </dxf>
    <dxf>
      <font>
        <strike val="0"/>
        <outline val="0"/>
        <shadow val="0"/>
        <u val="none"/>
        <vertAlign val="baseline"/>
        <sz val="10"/>
        <color rgb="FFFF0000"/>
        <name val="Calibri"/>
        <family val="2"/>
        <scheme val="minor"/>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solid">
          <fgColor theme="8"/>
          <bgColor theme="8"/>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i/>
        <strike val="0"/>
        <condense val="0"/>
        <extend val="0"/>
        <outline val="0"/>
        <shadow val="0"/>
        <u val="none"/>
        <vertAlign val="baseline"/>
        <sz val="10"/>
        <color rgb="FFFF0000"/>
        <name val="Calibri"/>
        <scheme val="minor"/>
      </font>
      <numFmt numFmtId="166" formatCode="#,##0.00\ &quot;₽&quot;"/>
      <fill>
        <patternFill patternType="none">
          <fgColor indexed="64"/>
          <bgColor indexed="65"/>
        </patternFill>
      </fill>
      <alignment horizontal="center" vertical="bottom" textRotation="0" wrapText="0" indent="0" justifyLastLine="0" shrinkToFit="0" readingOrder="0"/>
    </dxf>
    <dxf>
      <font>
        <b/>
        <i/>
        <strike val="0"/>
        <condense val="0"/>
        <extend val="0"/>
        <outline val="0"/>
        <shadow val="0"/>
        <u val="none"/>
        <vertAlign val="baseline"/>
        <sz val="10"/>
        <color rgb="FF00B050"/>
        <name val="Calibri"/>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65" formatCode="#,##0\ &quot;₽&quo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solid">
          <fgColor rgb="FF000000"/>
          <bgColor rgb="FFFFFFFF"/>
        </patternFill>
      </fill>
      <alignment horizontal="center" vertical="bottom" textRotation="0" wrapText="0" indent="0" justifyLastLine="0" shrinkToFit="0" readingOrder="0"/>
    </dxf>
    <dxf>
      <font>
        <b/>
        <i/>
        <strike val="0"/>
        <condense val="0"/>
        <extend val="0"/>
        <outline val="0"/>
        <shadow val="0"/>
        <u val="none"/>
        <vertAlign val="baseline"/>
        <sz val="10"/>
        <color theme="0"/>
        <name val="Calibri"/>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dxf>
    <dxf>
      <border outline="0">
        <top style="thin">
          <color rgb="FF8EA9DB"/>
        </top>
      </border>
    </dxf>
    <dxf>
      <font>
        <b val="0"/>
        <i val="0"/>
        <strike val="0"/>
        <condense val="0"/>
        <extend val="0"/>
        <outline val="0"/>
        <shadow val="0"/>
        <u val="none"/>
        <vertAlign val="baseline"/>
        <sz val="10"/>
        <color rgb="FF000000"/>
        <name val="Calibri"/>
        <scheme val="none"/>
      </font>
      <fill>
        <patternFill patternType="none">
          <fgColor rgb="FF000000"/>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rgb="FFFF0000"/>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rgb="FFFF0000"/>
        <name val="Calibri"/>
        <family val="2"/>
        <scheme val="minor"/>
      </font>
      <numFmt numFmtId="3" formatCode="#,##0"/>
      <fill>
        <patternFill patternType="none">
          <fgColor indexed="64"/>
          <bgColor auto="1"/>
        </patternFill>
      </fill>
    </dxf>
    <dxf>
      <font>
        <b val="0"/>
        <i val="0"/>
        <strike val="0"/>
        <condense val="0"/>
        <extend val="0"/>
        <outline val="0"/>
        <shadow val="0"/>
        <u val="none"/>
        <vertAlign val="baseline"/>
        <sz val="10"/>
        <color rgb="FFFF0000"/>
        <name val="Calibri"/>
        <family val="2"/>
        <scheme val="minor"/>
      </font>
      <numFmt numFmtId="170" formatCode="[$-419]mmmm\ yyyy;@"/>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rgb="FFFF0000"/>
        <name val="Calibri"/>
        <family val="2"/>
        <scheme val="minor"/>
      </font>
      <fill>
        <patternFill patternType="none">
          <fgColor indexed="64"/>
          <bgColor auto="1"/>
        </patternFill>
      </fill>
    </dxf>
    <dxf>
      <font>
        <b val="0"/>
        <i val="0"/>
        <strike val="0"/>
        <condense val="0"/>
        <extend val="0"/>
        <outline val="0"/>
        <shadow val="0"/>
        <u val="none"/>
        <vertAlign val="baseline"/>
        <sz val="10"/>
        <color rgb="FFFF0000"/>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rgb="FFFF0000"/>
        <name val="Calibri"/>
        <family val="2"/>
        <scheme val="minor"/>
      </font>
      <numFmt numFmtId="14" formatCode="0.00%"/>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rgb="FFFF0000"/>
        <name val="Calibri"/>
        <family val="2"/>
        <scheme val="minor"/>
      </font>
      <fill>
        <patternFill patternType="none">
          <fgColor indexed="64"/>
          <bgColor auto="1"/>
        </patternFill>
      </fill>
    </dxf>
    <dxf>
      <font>
        <strike val="0"/>
        <outline val="0"/>
        <shadow val="0"/>
        <u val="none"/>
        <vertAlign val="baseline"/>
        <sz val="10"/>
        <color rgb="FFFF0000"/>
        <name val="Calibri"/>
        <family val="2"/>
        <scheme val="minor"/>
      </font>
      <fill>
        <patternFill patternType="none">
          <fgColor indexed="64"/>
          <bgColor auto="1"/>
        </patternFill>
      </fill>
    </dxf>
    <dxf>
      <font>
        <strike val="0"/>
        <outline val="0"/>
        <shadow val="0"/>
        <u val="none"/>
        <vertAlign val="baseline"/>
        <sz val="10"/>
        <color rgb="FFFF0000"/>
        <name val="Calibri"/>
        <family val="2"/>
        <scheme val="minor"/>
      </font>
      <fill>
        <patternFill patternType="none">
          <fgColor indexed="64"/>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family val="2"/>
        <scheme val="minor"/>
      </font>
      <numFmt numFmtId="170" formatCode="[$-419]mmmm\ yyyy;@"/>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22" formatCode="mmm/yy"/>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14" formatCode="0.00%"/>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14" formatCode="0.00%"/>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b/>
        <strike val="0"/>
        <outline val="0"/>
        <shadow val="0"/>
        <u val="none"/>
        <vertAlign val="baseline"/>
        <sz val="10"/>
        <color theme="1"/>
        <name val="Calibri"/>
        <family val="2"/>
        <scheme val="minor"/>
      </font>
      <numFmt numFmtId="4" formatCode="#,##0.00"/>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rgb="FFFF0000"/>
        <name val="Calibri"/>
        <family val="2"/>
        <scheme val="minor"/>
      </font>
      <numFmt numFmtId="167" formatCode="_-* #,##0_р_._-;\-* #,##0_р_._-;_-* &quot;-&quot;??_р_._-;_-@_-"/>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rgb="FFFF0000"/>
        <name val="Calibri"/>
        <family val="2"/>
        <scheme val="minor"/>
      </font>
      <fill>
        <patternFill patternType="none">
          <fgColor indexed="64"/>
          <bgColor auto="1"/>
        </patternFill>
      </fill>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rgb="FFFF0000"/>
        <name val="Calibri"/>
        <family val="2"/>
        <scheme val="minor"/>
      </font>
      <numFmt numFmtId="13" formatCode="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rgb="FFFF0000"/>
        <name val="Calibri"/>
        <family val="2"/>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rgb="FFFF0000"/>
        <name val="Calibri"/>
        <family val="2"/>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FF0000"/>
        <name val="Calibri"/>
        <family val="2"/>
        <scheme val="minor"/>
      </font>
      <fill>
        <patternFill patternType="none">
          <fgColor indexed="64"/>
          <bgColor auto="1"/>
        </patternFill>
      </fill>
      <alignment horizontal="left" vertical="center" textRotation="0" wrapText="1" indent="0" justifyLastLine="0" shrinkToFit="0" readingOrder="0"/>
    </dxf>
    <dxf>
      <border>
        <top style="thin">
          <color rgb="FF000000"/>
        </top>
      </border>
    </dxf>
    <dxf>
      <font>
        <strike val="0"/>
        <outline val="0"/>
        <shadow val="0"/>
        <u val="none"/>
        <vertAlign val="baseline"/>
        <sz val="10"/>
        <name val="Calibri"/>
        <scheme val="none"/>
      </font>
      <fill>
        <patternFill patternType="none">
          <fgColor rgb="FF000000"/>
          <bgColor auto="1"/>
        </patternFill>
      </fill>
      <border diagonalUp="0" diagonalDown="0" outline="0">
        <left style="thin">
          <color rgb="FF000000"/>
        </left>
        <right style="thin">
          <color rgb="FF000000"/>
        </right>
        <top/>
        <bottom/>
      </border>
    </dxf>
    <dxf>
      <border outline="0">
        <top style="thin">
          <color rgb="FF8EA9DB"/>
        </top>
      </border>
    </dxf>
    <dxf>
      <font>
        <b val="0"/>
        <i val="0"/>
        <strike val="0"/>
        <condense val="0"/>
        <extend val="0"/>
        <outline val="0"/>
        <shadow val="0"/>
        <u val="none"/>
        <vertAlign val="baseline"/>
        <sz val="10"/>
        <color rgb="FFFF0000"/>
        <name val="Calibri"/>
        <family val="2"/>
        <scheme val="minor"/>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Calibri"/>
        <scheme val="minor"/>
      </font>
      <fill>
        <patternFill patternType="none">
          <fgColor indexed="64"/>
          <bgColor indexed="65"/>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0"/>
        <color auto="1"/>
        <name val="Calibri"/>
        <charset val="204"/>
        <scheme val="minor"/>
      </font>
      <numFmt numFmtId="22" formatCode="mmm/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4" formatCode="0.00%"/>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border outline="0">
        <top style="thin">
          <color rgb="FF8EA9DB"/>
        </top>
        <bottom style="thin">
          <color rgb="FF000000"/>
        </bottom>
      </border>
    </dxf>
    <dxf>
      <font>
        <b val="0"/>
        <strike val="0"/>
        <outline val="0"/>
        <shadow val="0"/>
        <u val="none"/>
        <vertAlign val="baseline"/>
        <sz val="10"/>
        <color auto="1"/>
        <name val="Calibri"/>
        <scheme val="none"/>
      </font>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theme="8"/>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68" formatCode="0.0%"/>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auto="1"/>
        <name val="Calibri"/>
        <scheme val="minor"/>
      </font>
      <fill>
        <patternFill patternType="none">
          <fgColor indexed="64"/>
          <bgColor auto="1"/>
        </patternFill>
      </fill>
      <alignment horizontal="center" vertical="bottom" textRotation="0" indent="0" justifyLastLine="0" shrinkToFit="0" readingOrder="0"/>
    </dxf>
    <dxf>
      <font>
        <strike val="0"/>
        <outline val="0"/>
        <shadow val="0"/>
        <u val="none"/>
        <vertAlign val="baseline"/>
        <sz val="10"/>
        <color rgb="FF000000"/>
        <name val="Calibri"/>
        <scheme val="none"/>
      </font>
      <fill>
        <patternFill patternType="none">
          <fgColor rgb="FF000000"/>
          <bgColor auto="1"/>
        </patternFill>
      </fill>
    </dxf>
    <dxf>
      <font>
        <b/>
        <i val="0"/>
        <strike val="0"/>
        <condense val="0"/>
        <extend val="0"/>
        <outline val="0"/>
        <shadow val="0"/>
        <u val="none"/>
        <vertAlign val="baseline"/>
        <sz val="10"/>
        <color theme="1"/>
        <name val="Calibri"/>
        <scheme val="minor"/>
      </font>
      <fill>
        <patternFill patternType="solid">
          <fgColor indexed="64"/>
          <bgColor rgb="FFF0F8F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8" tint="0.79998168889431442"/>
          <bgColor theme="8" tint="0.79998168889431442"/>
        </patternFill>
      </fill>
    </dxf>
    <dxf>
      <font>
        <strike val="0"/>
        <outline val="0"/>
        <shadow val="0"/>
        <u val="none"/>
        <vertAlign val="baseline"/>
        <sz val="10"/>
        <name val="Calibri"/>
        <scheme val="none"/>
      </font>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bottom" textRotation="0" wrapText="0" indent="0" justifyLastLine="0" shrinkToFit="0" readingOrder="0"/>
    </dxf>
    <dxf>
      <font>
        <strike val="0"/>
        <outline val="0"/>
        <shadow val="0"/>
        <u val="none"/>
        <vertAlign val="baseline"/>
        <sz val="10"/>
        <color theme="1"/>
        <name val="Calibri"/>
        <scheme val="minor"/>
      </font>
      <numFmt numFmtId="13" formatCode="0%"/>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0"/>
        <color theme="1"/>
        <name val="Calibri"/>
        <family val="2"/>
        <scheme val="minor"/>
      </font>
    </dxf>
    <dxf>
      <font>
        <strike val="0"/>
        <outline val="0"/>
        <shadow val="0"/>
        <u val="none"/>
        <vertAlign val="baseline"/>
        <sz val="10"/>
        <name val="Calibri"/>
        <scheme val="none"/>
      </font>
    </dxf>
    <dxf>
      <font>
        <strike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auto="1"/>
        <name val="Calibri"/>
        <scheme val="minor"/>
      </font>
      <numFmt numFmtId="3" formatCode="#,##0"/>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auto="1"/>
        <name val="Calibri"/>
        <scheme val="minor"/>
      </font>
      <numFmt numFmtId="3" formatCode="#,##0"/>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rgb="FF9BC2E6"/>
        </top>
      </border>
    </dxf>
    <dxf>
      <border outline="0">
        <left style="thin">
          <color rgb="FF9BC2E6"/>
        </left>
        <top style="thin">
          <color rgb="FF9BC2E6"/>
        </top>
        <bottom style="medium">
          <color rgb="FF000000"/>
        </bottom>
      </border>
    </dxf>
    <dxf>
      <border outline="0">
        <bottom style="thin">
          <color rgb="FF9BC2E6"/>
        </bottom>
      </border>
    </dxf>
    <dxf>
      <font>
        <b val="0"/>
        <i val="0"/>
        <strike val="0"/>
        <condense val="0"/>
        <extend val="0"/>
        <outline val="0"/>
        <shadow val="0"/>
        <u val="none"/>
        <vertAlign val="baseline"/>
        <sz val="10"/>
        <color theme="0"/>
        <name val="Calibri"/>
        <scheme val="minor"/>
      </font>
      <fill>
        <patternFill patternType="solid">
          <fgColor theme="4"/>
          <bgColor theme="4"/>
        </patternFill>
      </fill>
      <alignment horizontal="center" vertical="center" textRotation="0" wrapText="1" indent="0" justifyLastLine="0" shrinkToFit="0" readingOrder="0"/>
    </dxf>
    <dxf>
      <font>
        <strike val="0"/>
        <outline val="0"/>
        <shadow val="0"/>
        <u val="none"/>
        <vertAlign val="baseline"/>
        <sz val="10"/>
        <color auto="1"/>
        <name val="Calibri"/>
        <scheme val="minor"/>
      </font>
      <fill>
        <patternFill patternType="none">
          <fgColor indexed="64"/>
          <bgColor auto="1"/>
        </patternFill>
      </fill>
    </dxf>
    <dxf>
      <font>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0" indent="0" justifyLastLine="0" shrinkToFit="0" readingOrder="0"/>
    </dxf>
    <dxf>
      <border outline="0">
        <top style="thin">
          <color rgb="FF8EA9DB"/>
        </top>
      </border>
    </dxf>
    <dxf>
      <font>
        <strike val="0"/>
        <outline val="0"/>
        <shadow val="0"/>
        <u val="none"/>
        <vertAlign val="baseline"/>
        <sz val="10"/>
        <color auto="1"/>
        <name val="Calibri"/>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solid">
          <fgColor theme="8"/>
          <bgColor theme="8"/>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i/>
        <strike val="0"/>
        <condense val="0"/>
        <extend val="0"/>
        <outline val="0"/>
        <shadow val="0"/>
        <u val="none"/>
        <vertAlign val="baseline"/>
        <sz val="10"/>
        <color rgb="FFFF0000"/>
        <name val="Calibri"/>
        <scheme val="minor"/>
      </font>
      <numFmt numFmtId="166" formatCode="#,##0.00\ &quot;₽&quot;"/>
      <fill>
        <patternFill patternType="none">
          <fgColor indexed="64"/>
          <bgColor indexed="65"/>
        </patternFill>
      </fill>
      <alignment horizontal="center" vertical="bottom" textRotation="0" wrapText="0" indent="0" justifyLastLine="0" shrinkToFit="0" readingOrder="0"/>
    </dxf>
    <dxf>
      <font>
        <b/>
        <i/>
        <strike val="0"/>
        <condense val="0"/>
        <extend val="0"/>
        <outline val="0"/>
        <shadow val="0"/>
        <u val="none"/>
        <vertAlign val="baseline"/>
        <sz val="10"/>
        <color rgb="FF00B050"/>
        <name val="Calibri"/>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65" formatCode="#,##0\ &quot;₽&quo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solid">
          <fgColor rgb="FF000000"/>
          <bgColor rgb="FFFFFFFF"/>
        </patternFill>
      </fill>
      <alignment horizontal="center" vertical="bottom" textRotation="0" wrapText="0" indent="0" justifyLastLine="0" shrinkToFit="0" readingOrder="0"/>
    </dxf>
    <dxf>
      <font>
        <b/>
        <i/>
        <strike val="0"/>
        <condense val="0"/>
        <extend val="0"/>
        <outline val="0"/>
        <shadow val="0"/>
        <u val="none"/>
        <vertAlign val="baseline"/>
        <sz val="10"/>
        <color theme="0"/>
        <name val="Calibri"/>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dxf>
    <dxf>
      <border outline="0">
        <top style="thin">
          <color rgb="FF8EA9DB"/>
        </top>
      </border>
    </dxf>
    <dxf>
      <font>
        <b val="0"/>
        <i val="0"/>
        <strike val="0"/>
        <condense val="0"/>
        <extend val="0"/>
        <outline val="0"/>
        <shadow val="0"/>
        <u val="none"/>
        <vertAlign val="baseline"/>
        <sz val="10"/>
        <color rgb="FF000000"/>
        <name val="Calibri"/>
        <scheme val="none"/>
      </font>
      <fill>
        <patternFill patternType="none">
          <fgColor rgb="FF000000"/>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dxf>
    <dxf>
      <font>
        <strike val="0"/>
        <outline val="0"/>
        <shadow val="0"/>
        <u val="none"/>
        <vertAlign val="baseline"/>
        <sz val="10"/>
        <name val="Calibri"/>
        <scheme val="minor"/>
      </font>
      <numFmt numFmtId="3" formatCode="#,##0"/>
    </dxf>
    <dxf>
      <font>
        <b val="0"/>
        <i val="0"/>
        <strike val="0"/>
        <condense val="0"/>
        <extend val="0"/>
        <outline val="0"/>
        <shadow val="0"/>
        <u val="none"/>
        <vertAlign val="baseline"/>
        <sz val="10"/>
        <color auto="1"/>
        <name val="Calibri"/>
        <scheme val="minor"/>
      </font>
      <numFmt numFmtId="170" formatCode="[$-419]mmmm\ yyyy;@"/>
      <alignment horizontal="center" vertical="center" textRotation="0" wrapText="0" indent="0" justifyLastLine="0" shrinkToFit="0" readingOrder="0"/>
    </dxf>
    <dxf>
      <font>
        <b val="0"/>
        <strike val="0"/>
        <outline val="0"/>
        <shadow val="0"/>
        <u val="none"/>
        <vertAlign val="baseline"/>
        <sz val="10"/>
        <color auto="1"/>
        <name val="Calibri"/>
        <scheme val="minor"/>
      </font>
    </dxf>
    <dxf>
      <font>
        <b val="0"/>
        <i val="0"/>
        <strike val="0"/>
        <condense val="0"/>
        <extend val="0"/>
        <outline val="0"/>
        <shadow val="0"/>
        <u val="none"/>
        <vertAlign val="baseline"/>
        <sz val="10"/>
        <color auto="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4" formatCode="0.00%"/>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Calibri"/>
        <scheme val="minor"/>
      </font>
    </dxf>
    <dxf>
      <font>
        <strike val="0"/>
        <outline val="0"/>
        <shadow val="0"/>
        <u val="none"/>
        <vertAlign val="baseline"/>
        <sz val="10"/>
        <name val="Calibri"/>
        <scheme val="minor"/>
      </font>
    </dxf>
    <dxf>
      <font>
        <strike val="0"/>
        <outline val="0"/>
        <shadow val="0"/>
        <u val="none"/>
        <vertAlign val="baseline"/>
        <sz val="10"/>
        <name val="Calibri"/>
        <scheme val="none"/>
      </font>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10"/>
        <name val="Calibri"/>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170" formatCode="[$-419]mmmm\ yyyy;@"/>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scheme val="minor"/>
      </font>
      <numFmt numFmtId="22" formatCode="mmm/yy"/>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scheme val="minor"/>
      </font>
      <numFmt numFmtId="14" formatCode="0.00%"/>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family val="2"/>
        <charset val="204"/>
        <scheme val="minor"/>
      </font>
      <numFmt numFmtId="14" formatCode="0.00%"/>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color theme="1"/>
        <name val="Calibri"/>
        <scheme val="minor"/>
      </font>
      <numFmt numFmtId="4" formatCode="#,##0.00"/>
      <fill>
        <patternFill patternType="none">
          <fgColor indexed="64"/>
          <bgColor auto="1"/>
        </patternFill>
      </fill>
      <alignment horizontal="center" vertical="center" textRotation="0" wrapText="0" indent="0" justifyLastLine="0" shrinkToFit="0" readingOrder="0"/>
    </dxf>
    <dxf>
      <font>
        <b/>
        <strike val="0"/>
        <outline val="0"/>
        <shadow val="0"/>
        <u val="none"/>
        <vertAlign val="baseline"/>
        <sz val="10"/>
        <color theme="1"/>
        <name val="Calibri"/>
        <scheme val="minor"/>
      </font>
      <numFmt numFmtId="4" formatCode="#,##0.00"/>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name val="Calibri"/>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auto="1"/>
        <name val="Calibri"/>
        <scheme val="minor"/>
      </font>
      <numFmt numFmtId="167" formatCode="_-* #,##0_р_._-;\-* #,##0_р_._-;_-* &quot;-&quot;??_р_._-;_-@_-"/>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scheme val="minor"/>
      </font>
      <fill>
        <patternFill patternType="none">
          <fgColor indexed="64"/>
          <bgColor auto="1"/>
        </patternFill>
      </fill>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left" vertical="center" textRotation="0" wrapText="1" indent="0" justifyLastLine="0" shrinkToFit="0" readingOrder="0"/>
    </dxf>
    <dxf>
      <border>
        <top style="thin">
          <color rgb="FF000000"/>
        </top>
      </border>
    </dxf>
    <dxf>
      <font>
        <strike val="0"/>
        <outline val="0"/>
        <shadow val="0"/>
        <u val="none"/>
        <vertAlign val="baseline"/>
        <sz val="10"/>
        <name val="Calibri"/>
        <scheme val="none"/>
      </font>
      <fill>
        <patternFill patternType="none">
          <fgColor rgb="FF000000"/>
          <bgColor auto="1"/>
        </patternFill>
      </fill>
      <border diagonalUp="0" diagonalDown="0" outline="0">
        <left style="thin">
          <color rgb="FF000000"/>
        </left>
        <right style="thin">
          <color rgb="FF000000"/>
        </right>
        <top/>
        <bottom/>
      </border>
    </dxf>
    <dxf>
      <border outline="0">
        <top style="thin">
          <color rgb="FF8EA9DB"/>
        </top>
      </border>
    </dxf>
    <dxf>
      <font>
        <b val="0"/>
        <i val="0"/>
        <strike val="0"/>
        <condense val="0"/>
        <extend val="0"/>
        <outline val="0"/>
        <shadow val="0"/>
        <u val="none"/>
        <vertAlign val="baseline"/>
        <sz val="10"/>
        <color rgb="FF000000"/>
        <name val="Calibri"/>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Calibri"/>
        <scheme val="minor"/>
      </font>
      <fill>
        <patternFill patternType="none">
          <fgColor indexed="64"/>
          <bgColor indexed="65"/>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general" vertical="center" textRotation="0" wrapText="0" indent="0" justifyLastLine="0" shrinkToFit="0" readingOrder="0"/>
    </dxf>
    <dxf>
      <font>
        <b val="0"/>
        <strike val="0"/>
        <outline val="0"/>
        <shadow val="0"/>
        <u val="none"/>
        <vertAlign val="baseline"/>
        <sz val="10"/>
        <color auto="1"/>
        <name val="Calibri"/>
        <charset val="204"/>
        <scheme val="minor"/>
      </font>
      <numFmt numFmtId="22" formatCode="mmm/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strike val="0"/>
        <outline val="0"/>
        <shadow val="0"/>
        <u val="none"/>
        <vertAlign val="baseline"/>
        <sz val="10"/>
        <color auto="1"/>
        <name val="Calibri"/>
        <scheme val="minor"/>
      </font>
      <fill>
        <patternFill patternType="none">
          <fgColor indexed="64"/>
          <bgColor indexed="65"/>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9" formatCode="dd/mm/yyyy"/>
      <fill>
        <patternFill patternType="none">
          <fgColor indexed="64"/>
          <bgColor indexed="65"/>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bgColor auto="1"/>
        </patternFill>
      </fill>
      <alignment horizontal="center" vertical="center" textRotation="0" wrapText="1" indent="0" justifyLastLine="0" shrinkToFit="0" readingOrder="0"/>
    </dxf>
    <dxf>
      <border outline="0">
        <top style="thin">
          <color rgb="FF8EA9DB"/>
        </top>
        <bottom style="thin">
          <color rgb="FF000000"/>
        </bottom>
      </border>
    </dxf>
    <dxf>
      <font>
        <b val="0"/>
        <strike val="0"/>
        <outline val="0"/>
        <shadow val="0"/>
        <u val="none"/>
        <vertAlign val="baseline"/>
        <sz val="10"/>
        <color auto="1"/>
        <name val="Calibri"/>
        <scheme val="none"/>
      </font>
      <fill>
        <patternFill patternType="none">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theme="8"/>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68" formatCode="0.0%"/>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auto="1"/>
        <name val="Calibri"/>
        <scheme val="minor"/>
      </font>
      <fill>
        <patternFill patternType="none">
          <fgColor indexed="64"/>
          <bgColor auto="1"/>
        </patternFill>
      </fill>
      <alignment horizontal="center" vertical="bottom" textRotation="0" indent="0" justifyLastLine="0" shrinkToFit="0" readingOrder="0"/>
    </dxf>
    <dxf>
      <font>
        <strike val="0"/>
        <outline val="0"/>
        <shadow val="0"/>
        <u val="none"/>
        <vertAlign val="baseline"/>
        <sz val="10"/>
        <color rgb="FF000000"/>
        <name val="Calibri"/>
        <scheme val="none"/>
      </font>
      <fill>
        <patternFill patternType="none">
          <fgColor rgb="FF000000"/>
          <bgColor auto="1"/>
        </patternFill>
      </fill>
    </dxf>
    <dxf>
      <font>
        <b/>
        <i val="0"/>
        <strike val="0"/>
        <condense val="0"/>
        <extend val="0"/>
        <outline val="0"/>
        <shadow val="0"/>
        <u val="none"/>
        <vertAlign val="baseline"/>
        <sz val="10"/>
        <color theme="1"/>
        <name val="Calibri"/>
        <scheme val="minor"/>
      </font>
      <fill>
        <patternFill patternType="solid">
          <fgColor indexed="64"/>
          <bgColor rgb="FFF0F8F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8" tint="0.79998168889431442"/>
          <bgColor theme="8" tint="0.79998168889431442"/>
        </patternFill>
      </fill>
    </dxf>
    <dxf>
      <font>
        <strike val="0"/>
        <outline val="0"/>
        <shadow val="0"/>
        <u val="none"/>
        <vertAlign val="baseline"/>
        <sz val="10"/>
        <name val="Calibri"/>
        <scheme val="none"/>
      </font>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bottom" textRotation="0" wrapText="0" indent="0" justifyLastLine="0" shrinkToFit="0" readingOrder="0"/>
    </dxf>
    <dxf>
      <font>
        <strike val="0"/>
        <outline val="0"/>
        <shadow val="0"/>
        <u val="none"/>
        <vertAlign val="baseline"/>
        <sz val="10"/>
        <color theme="1"/>
        <name val="Calibri"/>
        <scheme val="minor"/>
      </font>
      <numFmt numFmtId="13" formatCode="0%"/>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0"/>
        <color theme="1"/>
        <name val="Calibri"/>
        <family val="2"/>
        <scheme val="minor"/>
      </font>
    </dxf>
    <dxf>
      <font>
        <strike val="0"/>
        <outline val="0"/>
        <shadow val="0"/>
        <u val="none"/>
        <vertAlign val="baseline"/>
        <sz val="10"/>
        <name val="Calibri"/>
        <scheme val="none"/>
      </font>
    </dxf>
    <dxf>
      <font>
        <strike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auto="1"/>
        <name val="Calibri"/>
        <scheme val="minor"/>
      </font>
      <numFmt numFmtId="3" formatCode="#,##0"/>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auto="1"/>
        <name val="Calibri"/>
        <scheme val="minor"/>
      </font>
      <numFmt numFmtId="3" formatCode="#,##0"/>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rgb="FF9BC2E6"/>
        </top>
      </border>
    </dxf>
    <dxf>
      <border outline="0">
        <left style="thin">
          <color rgb="FF9BC2E6"/>
        </left>
        <top style="thin">
          <color rgb="FF9BC2E6"/>
        </top>
        <bottom style="medium">
          <color rgb="FF000000"/>
        </bottom>
      </border>
    </dxf>
    <dxf>
      <border outline="0">
        <bottom style="thin">
          <color rgb="FF9BC2E6"/>
        </bottom>
      </border>
    </dxf>
    <dxf>
      <font>
        <b val="0"/>
        <i val="0"/>
        <strike val="0"/>
        <condense val="0"/>
        <extend val="0"/>
        <outline val="0"/>
        <shadow val="0"/>
        <u val="none"/>
        <vertAlign val="baseline"/>
        <sz val="10"/>
        <color theme="0"/>
        <name val="Calibri"/>
        <scheme val="minor"/>
      </font>
      <fill>
        <patternFill patternType="solid">
          <fgColor theme="4"/>
          <bgColor theme="4"/>
        </patternFill>
      </fill>
      <alignment horizontal="center" vertical="center" textRotation="0" wrapText="1" indent="0" justifyLastLine="0" shrinkToFit="0" readingOrder="0"/>
    </dxf>
    <dxf>
      <font>
        <strike val="0"/>
        <outline val="0"/>
        <shadow val="0"/>
        <u val="none"/>
        <vertAlign val="baseline"/>
        <sz val="10"/>
        <color auto="1"/>
        <name val="Calibri"/>
        <scheme val="minor"/>
      </font>
      <fill>
        <patternFill patternType="none">
          <fgColor indexed="64"/>
          <bgColor auto="1"/>
        </patternFill>
      </fill>
    </dxf>
    <dxf>
      <font>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0" indent="0" justifyLastLine="0" shrinkToFit="0" readingOrder="0"/>
    </dxf>
    <dxf>
      <border outline="0">
        <top style="thin">
          <color rgb="FF8EA9DB"/>
        </top>
      </border>
    </dxf>
    <dxf>
      <font>
        <strike val="0"/>
        <outline val="0"/>
        <shadow val="0"/>
        <u val="none"/>
        <vertAlign val="baseline"/>
        <sz val="10"/>
        <color auto="1"/>
        <name val="Calibri"/>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solid">
          <fgColor theme="8"/>
          <bgColor theme="8"/>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i/>
        <strike val="0"/>
        <condense val="0"/>
        <extend val="0"/>
        <outline val="0"/>
        <shadow val="0"/>
        <u val="none"/>
        <vertAlign val="baseline"/>
        <sz val="10"/>
        <color rgb="FFFF0000"/>
        <name val="Calibri"/>
        <scheme val="minor"/>
      </font>
      <numFmt numFmtId="166" formatCode="#,##0.00\ &quot;₽&quot;"/>
      <fill>
        <patternFill patternType="none">
          <fgColor indexed="64"/>
          <bgColor indexed="65"/>
        </patternFill>
      </fill>
      <alignment horizontal="center" vertical="bottom" textRotation="0" wrapText="0" indent="0" justifyLastLine="0" shrinkToFit="0" readingOrder="0"/>
    </dxf>
    <dxf>
      <font>
        <b/>
        <i/>
        <strike val="0"/>
        <condense val="0"/>
        <extend val="0"/>
        <outline val="0"/>
        <shadow val="0"/>
        <u val="none"/>
        <vertAlign val="baseline"/>
        <sz val="10"/>
        <color rgb="FF00B050"/>
        <name val="Calibri"/>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65" formatCode="#,##0\ &quot;₽&quo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solid">
          <fgColor rgb="FF000000"/>
          <bgColor rgb="FFFFFFFF"/>
        </patternFill>
      </fill>
      <alignment horizontal="center" vertical="bottom" textRotation="0" wrapText="0" indent="0" justifyLastLine="0" shrinkToFit="0" readingOrder="0"/>
    </dxf>
    <dxf>
      <font>
        <b/>
        <i/>
        <strike val="0"/>
        <condense val="0"/>
        <extend val="0"/>
        <outline val="0"/>
        <shadow val="0"/>
        <u val="none"/>
        <vertAlign val="baseline"/>
        <sz val="10"/>
        <color theme="0"/>
        <name val="Calibri"/>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dxf>
    <dxf>
      <border outline="0">
        <top style="thin">
          <color rgb="FF8EA9DB"/>
        </top>
      </border>
    </dxf>
    <dxf>
      <font>
        <b val="0"/>
        <i val="0"/>
        <strike val="0"/>
        <condense val="0"/>
        <extend val="0"/>
        <outline val="0"/>
        <shadow val="0"/>
        <u val="none"/>
        <vertAlign val="baseline"/>
        <sz val="10"/>
        <color rgb="FF000000"/>
        <name val="Calibri"/>
        <scheme val="none"/>
      </font>
      <fill>
        <patternFill patternType="none">
          <fgColor rgb="FF000000"/>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dxf>
    <dxf>
      <font>
        <strike val="0"/>
        <outline val="0"/>
        <shadow val="0"/>
        <u val="none"/>
        <vertAlign val="baseline"/>
        <sz val="10"/>
        <name val="Calibri"/>
        <scheme val="minor"/>
      </font>
      <numFmt numFmtId="3" formatCode="#,##0"/>
    </dxf>
    <dxf>
      <font>
        <b val="0"/>
        <i val="0"/>
        <strike val="0"/>
        <condense val="0"/>
        <extend val="0"/>
        <outline val="0"/>
        <shadow val="0"/>
        <u val="none"/>
        <vertAlign val="baseline"/>
        <sz val="10"/>
        <color auto="1"/>
        <name val="Calibri"/>
        <scheme val="minor"/>
      </font>
      <numFmt numFmtId="170" formatCode="[$-419]mmmm\ yyyy;@"/>
      <alignment horizontal="center" vertical="center" textRotation="0" wrapText="0" indent="0" justifyLastLine="0" shrinkToFit="0" readingOrder="0"/>
    </dxf>
    <dxf>
      <font>
        <b val="0"/>
        <strike val="0"/>
        <outline val="0"/>
        <shadow val="0"/>
        <u val="none"/>
        <vertAlign val="baseline"/>
        <sz val="10"/>
        <color auto="1"/>
        <name val="Calibri"/>
        <scheme val="minor"/>
      </font>
    </dxf>
    <dxf>
      <font>
        <b val="0"/>
        <i val="0"/>
        <strike val="0"/>
        <condense val="0"/>
        <extend val="0"/>
        <outline val="0"/>
        <shadow val="0"/>
        <u val="none"/>
        <vertAlign val="baseline"/>
        <sz val="10"/>
        <color auto="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4" formatCode="0.00%"/>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Calibri"/>
        <scheme val="minor"/>
      </font>
    </dxf>
    <dxf>
      <font>
        <strike val="0"/>
        <outline val="0"/>
        <shadow val="0"/>
        <u val="none"/>
        <vertAlign val="baseline"/>
        <sz val="10"/>
        <name val="Calibri"/>
        <scheme val="minor"/>
      </font>
    </dxf>
    <dxf>
      <font>
        <strike val="0"/>
        <outline val="0"/>
        <shadow val="0"/>
        <u val="none"/>
        <vertAlign val="baseline"/>
        <sz val="10"/>
        <name val="Calibri"/>
        <scheme val="none"/>
      </font>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10"/>
        <name val="Calibri"/>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170" formatCode="[$-419]mmmm\ yyyy;@"/>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scheme val="minor"/>
      </font>
      <numFmt numFmtId="22" formatCode="mmm/yy"/>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scheme val="minor"/>
      </font>
      <numFmt numFmtId="14" formatCode="0.00%"/>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scheme val="minor"/>
      </font>
      <numFmt numFmtId="14" formatCode="0.00%"/>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scheme val="minor"/>
      </font>
      <numFmt numFmtId="4" formatCode="#,##0.00"/>
      <fill>
        <patternFill patternType="none">
          <fgColor indexed="64"/>
          <bgColor auto="1"/>
        </patternFill>
      </fill>
      <alignment horizontal="center" vertical="center" textRotation="0" wrapText="0" indent="0" justifyLastLine="0" shrinkToFit="0" readingOrder="0"/>
    </dxf>
    <dxf>
      <font>
        <b/>
        <strike val="0"/>
        <outline val="0"/>
        <shadow val="0"/>
        <u val="none"/>
        <vertAlign val="baseline"/>
        <sz val="10"/>
        <color theme="1"/>
        <name val="Calibri"/>
        <scheme val="minor"/>
      </font>
      <numFmt numFmtId="4" formatCode="#,##0.00"/>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name val="Calibri"/>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auto="1"/>
        <name val="Calibri"/>
        <scheme val="minor"/>
      </font>
      <numFmt numFmtId="167" formatCode="_-* #,##0_р_._-;\-* #,##0_р_._-;_-* &quot;-&quot;??_р_._-;_-@_-"/>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scheme val="minor"/>
      </font>
      <fill>
        <patternFill patternType="none">
          <fgColor indexed="64"/>
          <bgColor auto="1"/>
        </patternFill>
      </fill>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left" vertical="center" textRotation="0" wrapText="1" indent="0" justifyLastLine="0" shrinkToFit="0" readingOrder="0"/>
    </dxf>
    <dxf>
      <border>
        <top style="thin">
          <color rgb="FF000000"/>
        </top>
      </border>
    </dxf>
    <dxf>
      <font>
        <strike val="0"/>
        <outline val="0"/>
        <shadow val="0"/>
        <u val="none"/>
        <vertAlign val="baseline"/>
        <sz val="10"/>
        <name val="Calibri"/>
        <scheme val="none"/>
      </font>
      <fill>
        <patternFill patternType="none">
          <fgColor rgb="FF000000"/>
          <bgColor auto="1"/>
        </patternFill>
      </fill>
      <border diagonalUp="0" diagonalDown="0" outline="0">
        <left style="thin">
          <color rgb="FF000000"/>
        </left>
        <right style="thin">
          <color rgb="FF000000"/>
        </right>
        <top/>
        <bottom/>
      </border>
    </dxf>
    <dxf>
      <border outline="0">
        <top style="thin">
          <color rgb="FF8EA9DB"/>
        </top>
      </border>
    </dxf>
    <dxf>
      <font>
        <b val="0"/>
        <i val="0"/>
        <strike val="0"/>
        <condense val="0"/>
        <extend val="0"/>
        <outline val="0"/>
        <shadow val="0"/>
        <u val="none"/>
        <vertAlign val="baseline"/>
        <sz val="10"/>
        <color rgb="FF000000"/>
        <name val="Calibri"/>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Calibri"/>
        <scheme val="minor"/>
      </font>
      <fill>
        <patternFill patternType="none">
          <fgColor indexed="64"/>
          <bgColor indexed="65"/>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general" vertical="center" textRotation="0" wrapText="0" indent="0" justifyLastLine="0" shrinkToFit="0" readingOrder="0"/>
    </dxf>
    <dxf>
      <font>
        <b val="0"/>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strike val="0"/>
        <outline val="0"/>
        <shadow val="0"/>
        <u val="none"/>
        <vertAlign val="baseline"/>
        <sz val="10"/>
        <color auto="1"/>
        <name val="Calibri"/>
        <scheme val="minor"/>
      </font>
      <fill>
        <patternFill patternType="none">
          <fgColor indexed="64"/>
          <bgColor indexed="65"/>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9" formatCode="dd/mm/yyyy"/>
      <fill>
        <patternFill patternType="none">
          <fgColor indexed="64"/>
          <bgColor indexed="65"/>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bgColor auto="1"/>
        </patternFill>
      </fill>
      <alignment horizontal="center" vertical="center" textRotation="0" wrapText="1" indent="0" justifyLastLine="0" shrinkToFit="0" readingOrder="0"/>
    </dxf>
    <dxf>
      <border outline="0">
        <top style="thin">
          <color rgb="FF8EA9DB"/>
        </top>
        <bottom style="thin">
          <color rgb="FF000000"/>
        </bottom>
      </border>
    </dxf>
    <dxf>
      <font>
        <b val="0"/>
        <strike val="0"/>
        <outline val="0"/>
        <shadow val="0"/>
        <u val="none"/>
        <vertAlign val="baseline"/>
        <sz val="10"/>
        <color auto="1"/>
        <name val="Calibri"/>
        <scheme val="none"/>
      </font>
      <fill>
        <patternFill patternType="none">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theme="8"/>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68" formatCode="0.0%"/>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auto="1"/>
        <name val="Calibri"/>
        <scheme val="minor"/>
      </font>
      <fill>
        <patternFill patternType="none">
          <fgColor indexed="64"/>
          <bgColor auto="1"/>
        </patternFill>
      </fill>
      <alignment horizontal="center" vertical="bottom" textRotation="0" indent="0" justifyLastLine="0" shrinkToFit="0" readingOrder="0"/>
    </dxf>
    <dxf>
      <font>
        <strike val="0"/>
        <outline val="0"/>
        <shadow val="0"/>
        <u val="none"/>
        <vertAlign val="baseline"/>
        <sz val="10"/>
        <color rgb="FF000000"/>
        <name val="Calibri"/>
        <scheme val="none"/>
      </font>
      <fill>
        <patternFill patternType="none">
          <fgColor rgb="FF000000"/>
          <bgColor auto="1"/>
        </patternFill>
      </fill>
    </dxf>
    <dxf>
      <font>
        <b/>
        <i val="0"/>
        <strike val="0"/>
        <condense val="0"/>
        <extend val="0"/>
        <outline val="0"/>
        <shadow val="0"/>
        <u val="none"/>
        <vertAlign val="baseline"/>
        <sz val="10"/>
        <color theme="1"/>
        <name val="Calibri"/>
        <scheme val="minor"/>
      </font>
      <fill>
        <patternFill patternType="solid">
          <fgColor indexed="64"/>
          <bgColor rgb="FFF0F8F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8" tint="0.79998168889431442"/>
          <bgColor theme="8" tint="0.79998168889431442"/>
        </patternFill>
      </fill>
    </dxf>
    <dxf>
      <font>
        <strike val="0"/>
        <outline val="0"/>
        <shadow val="0"/>
        <u val="none"/>
        <vertAlign val="baseline"/>
        <sz val="10"/>
        <name val="Calibri"/>
        <scheme val="none"/>
      </font>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bottom" textRotation="0" wrapText="0" indent="0" justifyLastLine="0" shrinkToFit="0" readingOrder="0"/>
    </dxf>
    <dxf>
      <font>
        <strike val="0"/>
        <outline val="0"/>
        <shadow val="0"/>
        <u val="none"/>
        <vertAlign val="baseline"/>
        <sz val="10"/>
        <color theme="1"/>
        <name val="Calibri"/>
        <scheme val="minor"/>
      </font>
      <numFmt numFmtId="13" formatCode="0%"/>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0"/>
        <color theme="1"/>
        <name val="Calibri"/>
        <family val="2"/>
        <scheme val="minor"/>
      </font>
    </dxf>
    <dxf>
      <font>
        <strike val="0"/>
        <outline val="0"/>
        <shadow val="0"/>
        <u val="none"/>
        <vertAlign val="baseline"/>
        <sz val="10"/>
        <name val="Calibri"/>
        <scheme val="none"/>
      </font>
    </dxf>
    <dxf>
      <font>
        <strike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auto="1"/>
        <name val="Calibri"/>
        <scheme val="minor"/>
      </font>
      <numFmt numFmtId="3" formatCode="#,##0"/>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auto="1"/>
        <name val="Calibri"/>
        <scheme val="minor"/>
      </font>
      <numFmt numFmtId="3" formatCode="#,##0"/>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rgb="FF9BC2E6"/>
        </top>
      </border>
    </dxf>
    <dxf>
      <border outline="0">
        <left style="thin">
          <color rgb="FF9BC2E6"/>
        </left>
        <top style="thin">
          <color rgb="FF9BC2E6"/>
        </top>
        <bottom style="medium">
          <color rgb="FF000000"/>
        </bottom>
      </border>
    </dxf>
    <dxf>
      <border outline="0">
        <bottom style="thin">
          <color rgb="FF9BC2E6"/>
        </bottom>
      </border>
    </dxf>
    <dxf>
      <font>
        <b val="0"/>
        <i val="0"/>
        <strike val="0"/>
        <condense val="0"/>
        <extend val="0"/>
        <outline val="0"/>
        <shadow val="0"/>
        <u val="none"/>
        <vertAlign val="baseline"/>
        <sz val="10"/>
        <color theme="0"/>
        <name val="Calibri"/>
        <scheme val="minor"/>
      </font>
      <fill>
        <patternFill patternType="solid">
          <fgColor theme="4"/>
          <bgColor theme="4"/>
        </patternFill>
      </fill>
      <alignment horizontal="center" vertical="center" textRotation="0" wrapText="1" indent="0" justifyLastLine="0" shrinkToFit="0" readingOrder="0"/>
    </dxf>
    <dxf>
      <font>
        <strike val="0"/>
        <outline val="0"/>
        <shadow val="0"/>
        <u val="none"/>
        <vertAlign val="baseline"/>
        <sz val="10"/>
        <color auto="1"/>
        <name val="Calibri"/>
        <scheme val="minor"/>
      </font>
      <fill>
        <patternFill patternType="none">
          <fgColor indexed="64"/>
          <bgColor auto="1"/>
        </patternFill>
      </fill>
    </dxf>
    <dxf>
      <font>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0" indent="0" justifyLastLine="0" shrinkToFit="0" readingOrder="0"/>
    </dxf>
    <dxf>
      <border outline="0">
        <top style="thin">
          <color rgb="FF8EA9DB"/>
        </top>
      </border>
    </dxf>
    <dxf>
      <font>
        <strike val="0"/>
        <outline val="0"/>
        <shadow val="0"/>
        <u val="none"/>
        <vertAlign val="baseline"/>
        <sz val="10"/>
        <color auto="1"/>
        <name val="Calibri"/>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solid">
          <fgColor theme="8"/>
          <bgColor theme="8"/>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b/>
        <i/>
        <strike val="0"/>
        <condense val="0"/>
        <extend val="0"/>
        <outline val="0"/>
        <shadow val="0"/>
        <u val="none"/>
        <vertAlign val="baseline"/>
        <sz val="10"/>
        <color rgb="FFFF0000"/>
        <name val="Calibri"/>
        <scheme val="minor"/>
      </font>
      <numFmt numFmtId="166" formatCode="#,##0.00\ &quot;₽&quot;"/>
      <fill>
        <patternFill patternType="none">
          <fgColor indexed="64"/>
          <bgColor indexed="65"/>
        </patternFill>
      </fill>
      <alignment horizontal="center" vertical="bottom" textRotation="0" wrapText="0" indent="0" justifyLastLine="0" shrinkToFit="0" readingOrder="0"/>
    </dxf>
    <dxf>
      <font>
        <b/>
        <i/>
        <strike val="0"/>
        <condense val="0"/>
        <extend val="0"/>
        <outline val="0"/>
        <shadow val="0"/>
        <u val="none"/>
        <vertAlign val="baseline"/>
        <sz val="10"/>
        <color rgb="FF00B050"/>
        <name val="Calibri"/>
        <family val="2"/>
        <charset val="204"/>
        <scheme val="minor"/>
      </font>
      <numFmt numFmtId="165" formatCode="#,##0\ &quot;₽&quo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65" formatCode="#,##0\ &quot;₽&quo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solid">
          <fgColor rgb="FF000000"/>
          <bgColor rgb="FFFFFFFF"/>
        </patternFill>
      </fill>
      <alignment horizontal="center" vertical="bottom" textRotation="0" wrapText="0" indent="0" justifyLastLine="0" shrinkToFit="0" readingOrder="0"/>
    </dxf>
    <dxf>
      <font>
        <b/>
        <i/>
        <strike val="0"/>
        <condense val="0"/>
        <extend val="0"/>
        <outline val="0"/>
        <shadow val="0"/>
        <u val="none"/>
        <vertAlign val="baseline"/>
        <sz val="10"/>
        <color theme="0"/>
        <name val="Calibri"/>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dxf>
    <dxf>
      <border outline="0">
        <top style="thin">
          <color rgb="FF8EA9DB"/>
        </top>
      </border>
    </dxf>
    <dxf>
      <font>
        <b val="0"/>
        <i val="0"/>
        <strike val="0"/>
        <condense val="0"/>
        <extend val="0"/>
        <outline val="0"/>
        <shadow val="0"/>
        <u val="none"/>
        <vertAlign val="baseline"/>
        <sz val="10"/>
        <color rgb="FF000000"/>
        <name val="Calibri"/>
        <scheme val="none"/>
      </font>
      <fill>
        <patternFill patternType="none">
          <fgColor rgb="FF000000"/>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name val="Calibri"/>
        <scheme val="minor"/>
      </font>
      <numFmt numFmtId="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auto="1"/>
        <name val="Calibri"/>
        <scheme val="minor"/>
      </font>
      <numFmt numFmtId="170" formatCode="[$-419]mmmm\ yyyy;@"/>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auto="1"/>
        <name val="Calibri"/>
        <scheme val="minor"/>
      </font>
      <fill>
        <patternFill patternType="none">
          <fgColor indexed="64"/>
          <bgColor auto="1"/>
        </patternFill>
      </fill>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4" formatCode="0.00%"/>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name val="Calibri"/>
        <scheme val="minor"/>
      </font>
      <fill>
        <patternFill patternType="none">
          <fgColor indexed="64"/>
          <bgColor auto="1"/>
        </patternFill>
      </fill>
    </dxf>
    <dxf>
      <font>
        <strike val="0"/>
        <outline val="0"/>
        <shadow val="0"/>
        <u val="none"/>
        <vertAlign val="baseline"/>
        <sz val="10"/>
        <name val="Calibri"/>
        <scheme val="minor"/>
      </font>
      <fill>
        <patternFill patternType="none">
          <fgColor indexed="64"/>
          <bgColor auto="1"/>
        </patternFill>
      </fill>
    </dxf>
    <dxf>
      <font>
        <strike val="0"/>
        <outline val="0"/>
        <shadow val="0"/>
        <u val="none"/>
        <vertAlign val="baseline"/>
        <sz val="10"/>
        <name val="Calibri"/>
        <scheme val="none"/>
      </font>
      <fill>
        <patternFill patternType="none">
          <fgColor indexed="64"/>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10"/>
        <name val="Calibri"/>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170" formatCode="[$-419]mmmm\ yyyy;@"/>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scheme val="minor"/>
      </font>
      <numFmt numFmtId="22" formatCode="mmm/yy"/>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scheme val="minor"/>
      </font>
      <numFmt numFmtId="14" formatCode="0.00%"/>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scheme val="minor"/>
      </font>
      <numFmt numFmtId="14" formatCode="0.00%"/>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scheme val="minor"/>
      </font>
      <numFmt numFmtId="4" formatCode="#,##0.00"/>
      <fill>
        <patternFill patternType="none">
          <fgColor indexed="64"/>
          <bgColor auto="1"/>
        </patternFill>
      </fill>
      <alignment horizontal="center" vertical="center" textRotation="0" wrapText="0" indent="0" justifyLastLine="0" shrinkToFit="0" readingOrder="0"/>
    </dxf>
    <dxf>
      <font>
        <b/>
        <strike val="0"/>
        <outline val="0"/>
        <shadow val="0"/>
        <u val="none"/>
        <vertAlign val="baseline"/>
        <sz val="10"/>
        <color theme="1"/>
        <name val="Calibri"/>
        <scheme val="minor"/>
      </font>
      <numFmt numFmtId="4" formatCode="#,##0.00"/>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name val="Calibri"/>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auto="1"/>
        <name val="Calibri"/>
        <scheme val="minor"/>
      </font>
      <numFmt numFmtId="167" formatCode="_-* #,##0_р_._-;\-* #,##0_р_._-;_-* &quot;-&quot;??_р_._-;_-@_-"/>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scheme val="minor"/>
      </font>
      <fill>
        <patternFill patternType="none">
          <fgColor indexed="64"/>
          <bgColor auto="1"/>
        </patternFill>
      </fill>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left" vertical="center" textRotation="0" wrapText="1" indent="0" justifyLastLine="0" shrinkToFit="0" readingOrder="0"/>
    </dxf>
    <dxf>
      <border>
        <top style="thin">
          <color rgb="FF000000"/>
        </top>
      </border>
    </dxf>
    <dxf>
      <font>
        <strike val="0"/>
        <outline val="0"/>
        <shadow val="0"/>
        <u val="none"/>
        <vertAlign val="baseline"/>
        <sz val="10"/>
        <name val="Calibri"/>
        <scheme val="none"/>
      </font>
      <fill>
        <patternFill patternType="none">
          <fgColor rgb="FF000000"/>
          <bgColor auto="1"/>
        </patternFill>
      </fill>
      <border diagonalUp="0" diagonalDown="0" outline="0">
        <left style="thin">
          <color rgb="FF000000"/>
        </left>
        <right style="thin">
          <color rgb="FF000000"/>
        </right>
        <top/>
        <bottom/>
      </border>
    </dxf>
    <dxf>
      <border outline="0">
        <top style="thin">
          <color rgb="FF8EA9DB"/>
        </top>
      </border>
    </dxf>
    <dxf>
      <font>
        <b val="0"/>
        <i val="0"/>
        <strike val="0"/>
        <condense val="0"/>
        <extend val="0"/>
        <outline val="0"/>
        <shadow val="0"/>
        <u val="none"/>
        <vertAlign val="baseline"/>
        <sz val="10"/>
        <color rgb="FF000000"/>
        <name val="Calibri"/>
        <scheme val="none"/>
      </font>
      <fill>
        <patternFill patternType="none">
          <fgColor rgb="FF000000"/>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Calibri"/>
        <scheme val="minor"/>
      </font>
      <fill>
        <patternFill patternType="none">
          <fgColor indexed="64"/>
          <bgColor indexed="65"/>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general" vertical="center" textRotation="0" wrapText="0" indent="0" justifyLastLine="0" shrinkToFit="0" readingOrder="0"/>
    </dxf>
    <dxf>
      <font>
        <b val="0"/>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1" indent="0" justifyLastLine="0" shrinkToFit="0" readingOrder="0"/>
    </dxf>
    <dxf>
      <border outline="0">
        <top style="medium">
          <color rgb="FF000000"/>
        </top>
        <bottom style="thin">
          <color rgb="FF000000"/>
        </bottom>
      </border>
    </dxf>
    <dxf>
      <font>
        <strike val="0"/>
        <outline val="0"/>
        <shadow val="0"/>
        <u val="none"/>
        <vertAlign val="baseline"/>
        <name val="Calibri"/>
        <scheme val="none"/>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strike val="0"/>
        <outline val="0"/>
        <shadow val="0"/>
        <u val="none"/>
        <vertAlign val="baseline"/>
        <sz val="10"/>
        <color auto="1"/>
        <name val="Calibri"/>
        <scheme val="minor"/>
      </font>
      <fill>
        <patternFill patternType="none">
          <fgColor indexed="64"/>
          <bgColor indexed="65"/>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9" formatCode="dd/mm/yyyy"/>
      <fill>
        <patternFill patternType="none">
          <fgColor indexed="64"/>
          <bgColor indexed="65"/>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bgColor auto="1"/>
        </patternFill>
      </fill>
      <alignment horizontal="center" vertical="center" textRotation="0" wrapText="1" indent="0" justifyLastLine="0" shrinkToFit="0" readingOrder="0"/>
    </dxf>
    <dxf>
      <border outline="0">
        <top style="thin">
          <color rgb="FF8EA9DB"/>
        </top>
        <bottom style="thin">
          <color rgb="FF000000"/>
        </bottom>
      </border>
    </dxf>
    <dxf>
      <font>
        <b val="0"/>
        <strike val="0"/>
        <outline val="0"/>
        <shadow val="0"/>
        <u val="none"/>
        <vertAlign val="baseline"/>
        <sz val="10"/>
        <color auto="1"/>
        <name val="Calibri"/>
        <scheme val="none"/>
      </font>
      <fill>
        <patternFill patternType="none">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theme="8"/>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68" formatCode="0.0%"/>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auto="1"/>
        <name val="Calibri"/>
        <scheme val="minor"/>
      </font>
      <fill>
        <patternFill patternType="none">
          <fgColor indexed="64"/>
          <bgColor auto="1"/>
        </patternFill>
      </fill>
      <alignment horizontal="center" vertical="bottom" textRotation="0" indent="0" justifyLastLine="0" shrinkToFit="0" readingOrder="0"/>
    </dxf>
    <dxf>
      <font>
        <strike val="0"/>
        <outline val="0"/>
        <shadow val="0"/>
        <u val="none"/>
        <vertAlign val="baseline"/>
        <sz val="10"/>
        <color rgb="FF000000"/>
        <name val="Calibri"/>
        <scheme val="none"/>
      </font>
      <fill>
        <patternFill patternType="none">
          <fgColor rgb="FF000000"/>
          <bgColor auto="1"/>
        </patternFill>
      </fill>
    </dxf>
    <dxf>
      <font>
        <b/>
        <i val="0"/>
        <strike val="0"/>
        <condense val="0"/>
        <extend val="0"/>
        <outline val="0"/>
        <shadow val="0"/>
        <u val="none"/>
        <vertAlign val="baseline"/>
        <sz val="10"/>
        <color theme="1"/>
        <name val="Calibri"/>
        <scheme val="minor"/>
      </font>
      <fill>
        <patternFill patternType="solid">
          <fgColor indexed="64"/>
          <bgColor rgb="FFF0F8F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8" tint="0.79998168889431442"/>
          <bgColor theme="8" tint="0.79998168889431442"/>
        </patternFill>
      </fill>
    </dxf>
    <dxf>
      <font>
        <strike val="0"/>
        <outline val="0"/>
        <shadow val="0"/>
        <u val="none"/>
        <vertAlign val="baseline"/>
        <sz val="10"/>
        <name val="Calibri"/>
        <scheme val="none"/>
      </font>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bottom" textRotation="0" wrapText="0" indent="0" justifyLastLine="0" shrinkToFit="0" readingOrder="0"/>
    </dxf>
    <dxf>
      <font>
        <strike val="0"/>
        <outline val="0"/>
        <shadow val="0"/>
        <u val="none"/>
        <vertAlign val="baseline"/>
        <sz val="10"/>
        <color theme="1"/>
        <name val="Calibri"/>
        <scheme val="minor"/>
      </font>
      <numFmt numFmtId="13" formatCode="0%"/>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0"/>
        <color theme="1"/>
        <name val="Calibri"/>
        <family val="2"/>
        <scheme val="minor"/>
      </font>
    </dxf>
    <dxf>
      <font>
        <strike val="0"/>
        <outline val="0"/>
        <shadow val="0"/>
        <u val="none"/>
        <vertAlign val="baseline"/>
        <sz val="10"/>
        <name val="Calibri"/>
        <scheme val="none"/>
      </font>
    </dxf>
    <dxf>
      <font>
        <strike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auto="1"/>
        <name val="Calibri"/>
        <scheme val="minor"/>
      </font>
      <numFmt numFmtId="3" formatCode="#,##0"/>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auto="1"/>
        <name val="Calibri"/>
        <scheme val="minor"/>
      </font>
      <numFmt numFmtId="3" formatCode="#,##0"/>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medium">
          <color indexed="64"/>
        </bottom>
      </border>
    </dxf>
    <dxf>
      <border outline="0">
        <bottom style="thin">
          <color theme="4" tint="0.39997558519241921"/>
        </bottom>
      </border>
    </dxf>
    <dxf>
      <font>
        <b val="0"/>
        <i val="0"/>
        <strike val="0"/>
        <condense val="0"/>
        <extend val="0"/>
        <outline val="0"/>
        <shadow val="0"/>
        <u val="none"/>
        <vertAlign val="baseline"/>
        <sz val="10"/>
        <color theme="0"/>
        <name val="Calibri"/>
        <scheme val="minor"/>
      </font>
      <fill>
        <patternFill patternType="solid">
          <fgColor theme="4"/>
          <bgColor theme="4"/>
        </patternFill>
      </fill>
      <alignment horizontal="center" vertical="center" textRotation="0" wrapText="1" indent="0" justifyLastLine="0" shrinkToFit="0" readingOrder="0"/>
    </dxf>
    <dxf>
      <font>
        <strike val="0"/>
        <outline val="0"/>
        <shadow val="0"/>
        <u val="none"/>
        <vertAlign val="baseline"/>
        <sz val="10"/>
        <color auto="1"/>
        <name val="Calibri"/>
        <scheme val="minor"/>
      </font>
      <fill>
        <patternFill patternType="none">
          <fgColor indexed="64"/>
          <bgColor auto="1"/>
        </patternFill>
      </fill>
    </dxf>
    <dxf>
      <font>
        <strike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0" indent="0" justifyLastLine="0" shrinkToFit="0" readingOrder="0"/>
    </dxf>
    <dxf>
      <border outline="0">
        <top style="thin">
          <color rgb="FF8EA9DB"/>
        </top>
      </border>
    </dxf>
    <dxf>
      <font>
        <strike val="0"/>
        <outline val="0"/>
        <shadow val="0"/>
        <u val="none"/>
        <vertAlign val="baseline"/>
        <sz val="10"/>
        <color auto="1"/>
        <name val="Calibri"/>
        <scheme val="minor"/>
      </font>
      <fill>
        <patternFill patternType="none">
          <fgColor indexed="64"/>
          <bgColor auto="1"/>
        </patternFill>
      </fill>
    </dxf>
    <dxf>
      <font>
        <b/>
        <i val="0"/>
        <strike val="0"/>
        <condense val="0"/>
        <extend val="0"/>
        <outline val="0"/>
        <shadow val="0"/>
        <u val="none"/>
        <vertAlign val="baseline"/>
        <sz val="10"/>
        <color theme="0"/>
        <name val="Calibri"/>
        <scheme val="minor"/>
      </font>
      <fill>
        <patternFill patternType="solid">
          <fgColor theme="8"/>
          <bgColor theme="8"/>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minor"/>
      </font>
    </dxf>
    <dxf>
      <font>
        <b val="0"/>
        <i val="0"/>
        <strike val="0"/>
        <condense val="0"/>
        <extend val="0"/>
        <outline val="0"/>
        <shadow val="0"/>
        <u val="none"/>
        <vertAlign val="baseline"/>
        <sz val="10"/>
        <color theme="1"/>
        <name val="Calibri"/>
        <scheme val="minor"/>
      </font>
    </dxf>
    <dxf>
      <font>
        <b/>
        <i/>
        <strike val="0"/>
        <condense val="0"/>
        <extend val="0"/>
        <outline val="0"/>
        <shadow val="0"/>
        <u val="none"/>
        <vertAlign val="baseline"/>
        <sz val="10"/>
        <color rgb="FFFF0000"/>
        <name val="Calibri"/>
        <scheme val="minor"/>
      </font>
      <numFmt numFmtId="166" formatCode="#,##0.00\ &quot;₽&quot;"/>
      <fill>
        <patternFill patternType="none">
          <fgColor indexed="64"/>
          <bgColor indexed="65"/>
        </patternFill>
      </fill>
      <alignment horizontal="center" vertical="bottom" textRotation="0" wrapText="0" indent="0" justifyLastLine="0" shrinkToFit="0" readingOrder="0"/>
    </dxf>
    <dxf>
      <font>
        <b/>
        <i/>
        <strike val="0"/>
        <condense val="0"/>
        <extend val="0"/>
        <outline val="0"/>
        <shadow val="0"/>
        <u val="none"/>
        <vertAlign val="baseline"/>
        <sz val="10"/>
        <color rgb="FF00B050"/>
        <name val="Calibri"/>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65" formatCode="#,##0\ &quot;₽&quo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solid">
          <fgColor indexed="64"/>
          <bgColor theme="0"/>
        </patternFill>
      </fill>
      <alignment horizontal="center" vertical="bottom" textRotation="0" wrapText="0" indent="0" justifyLastLine="0" shrinkToFit="0" readingOrder="0"/>
    </dxf>
    <dxf>
      <font>
        <b/>
        <i/>
        <strike val="0"/>
        <condense val="0"/>
        <extend val="0"/>
        <outline val="0"/>
        <shadow val="0"/>
        <u val="none"/>
        <vertAlign val="baseline"/>
        <sz val="10"/>
        <color theme="0"/>
        <name val="Calibri"/>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dxf>
    <dxf>
      <border outline="0">
        <top style="thin">
          <color theme="8" tint="0.39997558519241921"/>
        </top>
      </border>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dxf>
    <dxf>
      <font>
        <strike val="0"/>
        <outline val="0"/>
        <shadow val="0"/>
        <u val="none"/>
        <vertAlign val="baseline"/>
        <sz val="10"/>
        <name val="Calibri"/>
        <scheme val="minor"/>
      </font>
      <numFmt numFmtId="3" formatCode="#,##0"/>
    </dxf>
    <dxf>
      <font>
        <b val="0"/>
        <i val="0"/>
        <strike val="0"/>
        <condense val="0"/>
        <extend val="0"/>
        <outline val="0"/>
        <shadow val="0"/>
        <u val="none"/>
        <vertAlign val="baseline"/>
        <sz val="10"/>
        <color auto="1"/>
        <name val="Calibri"/>
        <scheme val="minor"/>
      </font>
      <numFmt numFmtId="170" formatCode="[$-419]mmmm\ yyyy;@"/>
      <alignment horizontal="center" vertical="center" textRotation="0" wrapText="0" indent="0" justifyLastLine="0" shrinkToFit="0" readingOrder="0"/>
    </dxf>
    <dxf>
      <font>
        <b val="0"/>
        <strike val="0"/>
        <outline val="0"/>
        <shadow val="0"/>
        <u val="none"/>
        <vertAlign val="baseline"/>
        <sz val="10"/>
        <color auto="1"/>
        <name val="Calibri"/>
        <scheme val="minor"/>
      </font>
    </dxf>
    <dxf>
      <font>
        <b val="0"/>
        <i val="0"/>
        <strike val="0"/>
        <condense val="0"/>
        <extend val="0"/>
        <outline val="0"/>
        <shadow val="0"/>
        <u val="none"/>
        <vertAlign val="baseline"/>
        <sz val="10"/>
        <color auto="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4" formatCode="0.00%"/>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Calibri"/>
        <scheme val="minor"/>
      </font>
    </dxf>
    <dxf>
      <font>
        <strike val="0"/>
        <outline val="0"/>
        <shadow val="0"/>
        <u val="none"/>
        <vertAlign val="baseline"/>
        <sz val="10"/>
        <name val="Calibri"/>
        <scheme val="minor"/>
      </font>
    </dxf>
    <dxf>
      <font>
        <strike val="0"/>
        <outline val="0"/>
        <shadow val="0"/>
        <u val="none"/>
        <vertAlign val="baseline"/>
        <sz val="10"/>
        <name val="Calibri"/>
        <scheme val="minor"/>
      </font>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Light"/>
        <scheme val="major"/>
      </font>
      <numFmt numFmtId="0" formatCode="General"/>
    </dxf>
    <dxf>
      <font>
        <b val="0"/>
        <i val="0"/>
        <strike val="0"/>
        <condense val="0"/>
        <extend val="0"/>
        <outline val="0"/>
        <shadow val="0"/>
        <u val="none"/>
        <vertAlign val="baseline"/>
        <sz val="10"/>
        <color auto="1"/>
        <name val="Calibri"/>
        <scheme val="minor"/>
      </font>
      <fill>
        <patternFill patternType="none">
          <fgColor indexed="64"/>
          <bgColor indexed="65"/>
        </patternFill>
      </fill>
    </dxf>
    <dxf>
      <font>
        <b val="0"/>
        <i val="0"/>
        <strike val="0"/>
        <condense val="0"/>
        <extend val="0"/>
        <outline val="0"/>
        <shadow val="0"/>
        <u val="none"/>
        <vertAlign val="baseline"/>
        <sz val="12"/>
        <color auto="1"/>
        <name val="Calibri Light"/>
        <scheme val="major"/>
      </font>
      <numFmt numFmtId="170" formatCode="[$-419]mmmm\ yyyy;@"/>
      <fill>
        <patternFill patternType="none">
          <fgColor indexed="64"/>
          <bgColor indexed="65"/>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Calibri"/>
        <scheme val="minor"/>
      </font>
    </dxf>
    <dxf>
      <font>
        <b val="0"/>
        <i val="0"/>
        <strike val="0"/>
        <condense val="0"/>
        <extend val="0"/>
        <outline val="0"/>
        <shadow val="0"/>
        <u val="none"/>
        <vertAlign val="baseline"/>
        <sz val="10"/>
        <color theme="1"/>
        <name val="Calibri"/>
        <scheme val="minor"/>
      </font>
    </dxf>
    <dxf>
      <font>
        <strike val="0"/>
        <outline val="0"/>
        <shadow val="0"/>
        <u val="none"/>
        <vertAlign val="baseline"/>
        <sz val="10"/>
        <name val="Calibri"/>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170" formatCode="[$-419]mmmm\ yyyy;@"/>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scheme val="minor"/>
      </font>
      <numFmt numFmtId="22" formatCode="mmm/yy"/>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scheme val="minor"/>
      </font>
      <numFmt numFmtId="14" formatCode="0.00%"/>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scheme val="minor"/>
      </font>
      <numFmt numFmtId="14" formatCode="0.00%"/>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Calibri"/>
        <scheme val="minor"/>
      </font>
      <numFmt numFmtId="4" formatCode="#,##0.00"/>
      <fill>
        <patternFill patternType="none">
          <fgColor indexed="64"/>
          <bgColor auto="1"/>
        </patternFill>
      </fill>
      <alignment horizontal="center" vertical="center" textRotation="0" wrapText="0" indent="0" justifyLastLine="0" shrinkToFit="0" readingOrder="0"/>
    </dxf>
    <dxf>
      <font>
        <b/>
        <strike val="0"/>
        <outline val="0"/>
        <shadow val="0"/>
        <u val="none"/>
        <vertAlign val="baseline"/>
        <sz val="10"/>
        <color theme="1"/>
        <name val="Calibri"/>
        <scheme val="minor"/>
      </font>
      <numFmt numFmtId="4" formatCode="#,##0.00"/>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name val="Calibri"/>
        <scheme val="minor"/>
      </font>
      <fill>
        <patternFill patternType="none">
          <fgColor indexed="64"/>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auto="1"/>
        <name val="Calibri"/>
        <scheme val="minor"/>
      </font>
      <numFmt numFmtId="167" formatCode="_-* #,##0_р_._-;\-* #,##0_р_._-;_-* &quot;-&quot;??_р_._-;_-@_-"/>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scheme val="minor"/>
      </font>
      <fill>
        <patternFill patternType="none">
          <fgColor indexed="64"/>
          <bgColor auto="1"/>
        </patternFill>
      </fill>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7" formatCode="_-* #,##0_р_._-;\-* #,##0_р_._-;_-* &quot;-&quot;??_р_.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left" vertical="center" textRotation="0" wrapText="1" indent="0" justifyLastLine="0" shrinkToFit="0" readingOrder="0"/>
    </dxf>
    <dxf>
      <border>
        <top style="thin">
          <color indexed="64"/>
        </top>
      </border>
    </dxf>
    <dxf>
      <font>
        <strike val="0"/>
        <outline val="0"/>
        <shadow val="0"/>
        <u val="none"/>
        <vertAlign val="baseline"/>
        <sz val="10"/>
        <name val="Calibri"/>
        <scheme val="minor"/>
      </font>
      <fill>
        <patternFill patternType="none">
          <fgColor indexed="64"/>
          <bgColor auto="1"/>
        </patternFill>
      </fill>
      <border diagonalUp="0" diagonalDown="0" outline="0">
        <left style="thin">
          <color indexed="64"/>
        </left>
        <right style="thin">
          <color indexed="64"/>
        </right>
        <top/>
        <bottom/>
      </border>
    </dxf>
    <dxf>
      <border outline="0">
        <top style="thin">
          <color theme="8" tint="0.39997558519241921"/>
        </top>
      </border>
    </dxf>
    <dxf>
      <font>
        <b val="0"/>
        <i val="0"/>
        <strike val="0"/>
        <condense val="0"/>
        <extend val="0"/>
        <outline val="0"/>
        <shadow val="0"/>
        <u val="none"/>
        <vertAlign val="baseline"/>
        <sz val="10"/>
        <color theme="1"/>
        <name val="Calibri"/>
        <scheme val="minor"/>
      </font>
      <fill>
        <patternFill patternType="none">
          <fgColor indexed="64"/>
          <bgColor auto="1"/>
        </patternFill>
      </fill>
    </dxf>
    <dxf>
      <font>
        <b/>
        <i val="0"/>
        <strike val="0"/>
        <condense val="0"/>
        <extend val="0"/>
        <outline val="0"/>
        <shadow val="0"/>
        <u val="none"/>
        <vertAlign val="baseline"/>
        <sz val="10"/>
        <color theme="0"/>
        <name val="Calibri"/>
        <scheme val="minor"/>
      </font>
      <fill>
        <patternFill patternType="none">
          <fgColor indexed="64"/>
          <bgColor auto="1"/>
        </patternFill>
      </fill>
      <alignment horizontal="center" vertical="bottom" textRotation="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0"/>
        <name val="Calibri"/>
        <scheme val="minor"/>
      </font>
      <fill>
        <patternFill patternType="none">
          <fgColor indexed="64"/>
          <bgColor indexed="65"/>
        </patternFill>
      </fill>
      <alignment horizontal="center" vertical="center" textRotation="0" wrapText="1" indent="0" justifyLastLine="0" shrinkToFit="0" readingOrder="0"/>
    </dxf>
    <dxf>
      <border outline="0">
        <top style="medium">
          <color indexed="64"/>
        </top>
        <bottom style="thin">
          <color indexed="64"/>
        </bottom>
      </border>
    </dxf>
    <dxf>
      <font>
        <strike val="0"/>
        <outline val="0"/>
        <shadow val="0"/>
        <u val="none"/>
        <vertAlign val="baseline"/>
        <name val="Calibri"/>
        <scheme val="minor"/>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i val="0"/>
        <strike val="0"/>
        <condense val="0"/>
        <extend val="0"/>
        <outline val="0"/>
        <shadow val="0"/>
        <u val="none"/>
        <vertAlign val="baseline"/>
        <sz val="10"/>
        <color theme="1"/>
        <name val="Calibri"/>
        <scheme val="minor"/>
      </font>
      <numFmt numFmtId="2" formatCode="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general" vertical="center" textRotation="0" wrapText="0" indent="0" justifyLastLine="0" shrinkToFit="0" readingOrder="0"/>
    </dxf>
    <dxf>
      <font>
        <b val="0"/>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1" indent="0" justifyLastLine="0" shrinkToFit="0" readingOrder="0"/>
    </dxf>
    <dxf>
      <border outline="0">
        <top style="medium">
          <color indexed="64"/>
        </top>
        <bottom style="thin">
          <color indexed="64"/>
        </bottom>
      </border>
    </dxf>
    <dxf>
      <font>
        <strike val="0"/>
        <outline val="0"/>
        <shadow val="0"/>
        <u val="none"/>
        <vertAlign val="baseline"/>
        <name val="Calibri"/>
        <scheme val="minor"/>
      </font>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8"/>
        </left>
        <right style="thin">
          <color theme="8"/>
        </right>
        <top/>
        <bottom/>
      </border>
    </dxf>
    <dxf>
      <font>
        <b val="0"/>
        <strike val="0"/>
        <outline val="0"/>
        <shadow val="0"/>
        <u val="none"/>
        <vertAlign val="baseline"/>
        <sz val="10"/>
        <color auto="1"/>
        <name val="Calibri"/>
        <scheme val="minor"/>
      </font>
      <fill>
        <patternFill patternType="none">
          <fgColor indexed="64"/>
          <bgColor indexed="65"/>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9" formatCode="dd/mm/yyyy"/>
      <fill>
        <patternFill patternType="none">
          <fgColor indexed="64"/>
          <bgColor indexed="65"/>
        </patternFill>
      </fill>
      <alignment horizontal="center" vertical="center" textRotation="0" wrapText="1" indent="0" justifyLastLine="0" shrinkToFit="0" readingOrder="0"/>
    </dxf>
    <dxf>
      <font>
        <b val="0"/>
        <strike val="0"/>
        <outline val="0"/>
        <shadow val="0"/>
        <u val="none"/>
        <vertAlign val="baseline"/>
        <sz val="10"/>
        <color auto="1"/>
        <name val="Calibri"/>
        <scheme val="minor"/>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bgColor auto="1"/>
        </patternFill>
      </fill>
      <alignment horizontal="center" vertical="center" textRotation="0" wrapText="1" indent="0" justifyLastLine="0" shrinkToFit="0" readingOrder="0"/>
    </dxf>
    <dxf>
      <border outline="0">
        <top style="thin">
          <color rgb="FF8EA9DB"/>
        </top>
        <bottom style="thin">
          <color indexed="64"/>
        </bottom>
      </border>
    </dxf>
    <dxf>
      <font>
        <b val="0"/>
        <strike val="0"/>
        <outline val="0"/>
        <shadow val="0"/>
        <u val="none"/>
        <vertAlign val="baseline"/>
        <sz val="10"/>
        <color auto="1"/>
        <name val="Calibri"/>
        <scheme val="minor"/>
      </font>
      <fill>
        <patternFill patternType="none">
          <bgColor auto="1"/>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Calibri"/>
        <scheme val="minor"/>
      </font>
      <fill>
        <patternFill patternType="none">
          <fgColor theme="8"/>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68" formatCode="0.0%"/>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theme="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0"/>
        <color auto="1"/>
        <name val="Calibri"/>
        <scheme val="minor"/>
      </font>
      <fill>
        <patternFill patternType="none">
          <fgColor indexed="64"/>
          <bgColor auto="1"/>
        </patternFill>
      </fill>
      <alignment horizontal="center" vertical="bottom" textRotation="0" indent="0" justifyLastLine="0" shrinkToFit="0" readingOrder="0"/>
    </dxf>
    <dxf>
      <font>
        <strike val="0"/>
        <outline val="0"/>
        <shadow val="0"/>
        <u val="none"/>
        <vertAlign val="baseline"/>
        <sz val="10"/>
        <color rgb="FF000000"/>
        <name val="Calibri"/>
        <scheme val="minor"/>
      </font>
      <fill>
        <patternFill patternType="none">
          <fgColor indexed="64"/>
          <bgColor auto="1"/>
        </patternFill>
      </fill>
    </dxf>
    <dxf>
      <font>
        <b/>
        <i val="0"/>
        <strike val="0"/>
        <condense val="0"/>
        <extend val="0"/>
        <outline val="0"/>
        <shadow val="0"/>
        <u val="none"/>
        <vertAlign val="baseline"/>
        <sz val="10"/>
        <color theme="1"/>
        <name val="Calibri"/>
        <scheme val="minor"/>
      </font>
      <fill>
        <patternFill patternType="solid">
          <fgColor indexed="64"/>
          <bgColor rgb="FFF0F8FF"/>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8" tint="0.79998168889431442"/>
          <bgColor theme="8" tint="0.79998168889431442"/>
        </patternFill>
      </fill>
    </dxf>
    <dxf>
      <font>
        <strike val="0"/>
        <outline val="0"/>
        <shadow val="0"/>
        <u val="none"/>
        <vertAlign val="baseline"/>
        <sz val="10"/>
        <name val="Calibri"/>
        <scheme val="minor"/>
      </font>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3" formatCode="#,##0"/>
      <alignment horizontal="center" vertical="bottom" textRotation="0" wrapText="0" indent="0" justifyLastLine="0" shrinkToFit="0" readingOrder="0"/>
    </dxf>
    <dxf>
      <font>
        <strike val="0"/>
        <outline val="0"/>
        <shadow val="0"/>
        <u val="none"/>
        <vertAlign val="baseline"/>
        <sz val="10"/>
        <color theme="1"/>
        <name val="Calibri"/>
        <scheme val="minor"/>
      </font>
      <numFmt numFmtId="13" formatCode="0%"/>
      <alignment horizontal="center" vertical="bottom" textRotation="0" wrapText="0" indent="0" justifyLastLine="0" shrinkToFit="0" readingOrder="0"/>
    </dxf>
    <dxf>
      <font>
        <strike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0"/>
        <color theme="1"/>
        <name val="Calibri"/>
        <scheme val="minor"/>
      </font>
      <numFmt numFmtId="3" formatCode="#,##0"/>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0"/>
        <color theme="1"/>
        <name val="Calibri"/>
        <family val="2"/>
        <scheme val="minor"/>
      </font>
    </dxf>
    <dxf>
      <font>
        <strike val="0"/>
        <outline val="0"/>
        <shadow val="0"/>
        <u val="none"/>
        <vertAlign val="baseline"/>
        <sz val="10"/>
        <name val="Calibri"/>
        <scheme val="minor"/>
      </font>
    </dxf>
    <dxf>
      <font>
        <strike val="0"/>
        <outline val="0"/>
        <shadow val="0"/>
        <u val="none"/>
        <vertAlign val="baseline"/>
        <sz val="10"/>
        <color theme="1"/>
        <name val="Calibri"/>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FE44990-5899-467F-9F1E-412C0A50E5D4}" autoFormatId="16" applyNumberFormats="0" applyBorderFormats="0" applyFontFormats="0" applyPatternFormats="0" applyAlignmentFormats="0" applyWidthHeightFormats="0">
  <queryTableRefresh nextId="7">
    <queryTableFields count="6">
      <queryTableField id="1" name="Клиент" tableColumnId="1"/>
      <queryTableField id="2" name="Оборот" tableColumnId="2"/>
      <queryTableField id="3" name="Профит " tableColumnId="3"/>
      <queryTableField id="4" name="%" tableColumnId="4"/>
      <queryTableField id="5" name="Менеджер" tableColumnId="5"/>
      <queryTableField id="6" name="Комментарий" tableColumnId="6"/>
    </queryTableFields>
  </queryTableRefresh>
</queryTable>
</file>

<file path=xl/tables/_rels/table30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46CF3B-334A-45B2-8BAC-510D9FF794ED}" name="Таблица11029163037445158657223303744515865727986931009223548627690104107127139151163183152947637995111127143159175183450668298114130146545561577589605619635651667683700717" displayName="Таблица11029163037445158657223303744515865727986931009223548627690104107127139151163183152947637995111127143159175183450668298114130146545561577589605619635651667683700717" ref="A6:G7" totalsRowShown="0" headerRowDxfId="4272" dataDxfId="4271">
  <tableColumns count="7">
    <tableColumn id="1" xr3:uid="{587C736D-91DE-46DF-9CAF-F35075D41FB9}" name="Менеджер" dataDxfId="4270"/>
    <tableColumn id="2" xr3:uid="{46BF8432-6CAA-4E09-B065-341E9FF15F60}" name="План, руб." dataDxfId="4269">
      <calculatedColumnFormula>C29</calculatedColumnFormula>
    </tableColumn>
    <tableColumn id="3" xr3:uid="{911B207B-F245-4F3E-A555-BF80DFBC0127}" name="Факт, руб." dataDxfId="4268">
      <calculatedColumnFormula>B29</calculatedColumnFormula>
    </tableColumn>
    <tableColumn id="4" xr3:uid="{EF8F5612-DC39-448F-A874-47858186E5E4}" name="Отклонение, %" dataDxfId="4267" dataCellStyle="Процентный">
      <calculatedColumnFormula>Таблица11029163037445158657223303744515865727986931009223548627690104107127139151163183152947637995111127143159175183450668298114130146545561577589605619635651667683700717[Факт, руб.]/Таблица11029163037445158657223303744515865727986931009223548627690104107127139151163183152947637995111127143159175183450668298114130146545561577589605619635651667683700717[План, руб.]-100%</calculatedColumnFormula>
    </tableColumn>
    <tableColumn id="7" xr3:uid="{C359FD91-A7A8-4CEE-8A55-62F0878296B5}" name="Отклонение, РУБ" dataDxfId="4266" dataCellStyle="Процентный">
      <calculatedColumnFormula>Таблица11029163037445158657223303744515865727986931009223548627690104107127139151163183152947637995111127143159175183450668298114130146545561577589605619635651667683700717[Факт, руб.]-Таблица11029163037445158657223303744515865727986931009223548627690104107127139151163183152947637995111127143159175183450668298114130146545561577589605619635651667683700717[План, руб.]</calculatedColumnFormula>
    </tableColumn>
    <tableColumn id="5" xr3:uid="{2A706562-66BF-4C87-B43D-F4BB85FE3524}" name="Столбец1" dataDxfId="4265" dataCellStyle="Процентный"/>
    <tableColumn id="6" xr3:uid="{9388985F-C1C3-434D-AC9F-22069B6576AA}" name="Предыд месяц" dataDxfId="4264">
      <calculatedColumnFormula>B30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600EBA-EE80-471C-AADE-D90604FCBA2A}" name="Таблица211301731384552596673243138455259667380879410110233649637791105109128140152164184163248648096112128144160176193551678399115131147546562578590606620636652668684701718" displayName="Таблица211301731384552596673243138455259667380879410110233649637791105109128140152164184163248648096112128144160176193551678399115131147546562578590606620636652668684701718" ref="A16:E17" totalsRowShown="0" headerRowDxfId="4263" dataDxfId="4262">
  <tableColumns count="5">
    <tableColumn id="1" xr3:uid="{B0226AAE-3F75-458A-AA46-174FA99EB288}" name="Менеджер" dataDxfId="4261"/>
    <tableColumn id="2" xr3:uid="{63ED2B92-5971-474F-8689-860FB9BA04FD}" name="Профит ФГ 22-23" dataDxfId="4260"/>
    <tableColumn id="3" xr3:uid="{DE324846-8B13-488B-BD8C-4E1E0D82E163}" name="Профит ФГ 23-24" dataDxfId="4259"/>
    <tableColumn id="4" xr3:uid="{52FBA5B3-F7A6-4062-9EC1-4092F73F89ED}" name="Профит ФГ 24-25" dataDxfId="4258" dataCellStyle="Процентный">
      <calculatedColumnFormula>B34</calculatedColumnFormula>
    </tableColumn>
    <tableColumn id="5" xr3:uid="{25EC1F05-E388-4F61-9499-5CAD0A8CBBE4}" name="Рост накопительно, % " dataDxfId="4257">
      <calculatedColumnFormula>Таблица211301731384552596673243138455259667380879410110233649637791105109128140152164184163248648096112128144160176193551678399115131147546562578590606620636652668684701718[Профит ФГ 24-25]/Таблица211301731384552596673243138455259667380879410110233649637791105109128140152164184163248648096112128144160176193551678399115131147546562578590606620636652668684701718[Профит ФГ 23-24]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D587D7-7AA8-4226-9107-52298C6CF74E}" name="Таблица546243318323946536067742532394653606774818895102112437506478921061101291411531651851733496581971131291451611772036526884100116132148547563579593607621637653669685702719" displayName="Таблица546243318323946536067742532394653606774818895102112437506478921061101291411531651851733496581971131291451611772036526884100116132148547563579593607621637653669685702719" ref="A45:D47" totalsRowShown="0" headerRowDxfId="4256" dataDxfId="4255">
  <autoFilter ref="A45:D47" xr:uid="{3EADDA2E-FD58-4130-8A1C-8C20137591BB}"/>
  <tableColumns count="4">
    <tableColumn id="2" xr3:uid="{BEE4850E-9945-4FC1-B08F-A687AC20EC6D}" name="Холдинг" dataDxfId="4254"/>
    <tableColumn id="3" xr3:uid="{5AADE083-764B-4F65-98B0-84AFAB0DCF76}" name="Сумма просроченного долга" dataDxfId="4253" dataCellStyle="Денежный"/>
    <tableColumn id="4" xr3:uid="{E359AB91-F198-4D6D-993C-F766BB9B8B49}" name="Общая сумма долга" dataDxfId="4252" dataCellStyle="Денежный"/>
    <tableColumn id="5" xr3:uid="{4E7F9635-C51E-4596-8B87-C2E97994D6DA}" name="% просрочки" dataDxfId="4251" dataCellStyle="Процентный"/>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97BD2E0-EB60-4FAA-847E-FAC2C23B8E2C}" name="Таблица173043567084981121171311431551671871935516783991151311471631792238547086102118134150548564580594608622638654670686703720" displayName="Таблица173043567084981121171311431551671871935516783991151311471631792238547086102118134150548564580594608622638654670686703720" ref="A91:G105" totalsRowShown="0" headerRowDxfId="4250" dataDxfId="4249" tableBorderDxfId="4248">
  <autoFilter ref="A91:G105" xr:uid="{5F2E2A5D-7666-4FD4-A50A-70ADD98392B4}"/>
  <sortState xmlns:xlrd2="http://schemas.microsoft.com/office/spreadsheetml/2017/richdata2" ref="A92:E105">
    <sortCondition ref="A91:A105"/>
  </sortState>
  <tableColumns count="7">
    <tableColumn id="1" xr3:uid="{BECCDE1D-FED5-4C97-B41C-BAB2FD637F08}" name="Дата" dataDxfId="4247"/>
    <tableColumn id="2" xr3:uid="{8B3E5E58-FDD2-447D-80C8-47680B40D546}" name="Клиент" dataDxfId="4246"/>
    <tableColumn id="3" xr3:uid="{73998F0A-8254-4A01-8CD5-AD76148788B9}" name="Менеджер" dataDxfId="4245" dataCellStyle="Обычный 2"/>
    <tableColumn id="4" xr3:uid="{A6CF7D9B-9ADE-4029-9153-8B4D5EE4BDEF}" name="Контакт в 1С" dataDxfId="4244"/>
    <tableColumn id="5" xr3:uid="{22C4A866-9848-4DF7-A984-68D78C6C9F78}" name="№ сделки" dataDxfId="4243"/>
    <tableColumn id="6" xr3:uid="{9A8C6B04-DCC1-435F-BF11-DB1512944CD4}" name="Цель" dataDxfId="4242"/>
    <tableColumn id="7" xr3:uid="{967E9CDD-B28D-4105-9E02-45A32B29926D}" name="Результат" dataDxfId="424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9FF82D1-C610-489E-B9FC-D834ACD03D50}" name="Таблица1931445771859911312013214415616818820365268841001161321481641802339557187103119135151549565581595609623639655671687704721" displayName="Таблица1931445771859911312013214415616818820365268841001161321481641802339557187103119135151549565581595609623639655671687704721" ref="A110:G113" totalsRowShown="0" headerRowDxfId="4240" dataDxfId="4239" tableBorderDxfId="4238">
  <autoFilter ref="A110:G113" xr:uid="{CC17A23E-B8E4-4CBF-BC3B-16FF0249D515}"/>
  <tableColumns count="7">
    <tableColumn id="1" xr3:uid="{FEEAAA53-03AA-4FBC-B5ED-5C37C798C19E}" name="Цель" dataDxfId="4237" dataCellStyle="Обычный 2"/>
    <tableColumn id="2" xr3:uid="{5A0F6013-D9BA-428D-B8F0-0DABE87609C7}" name="Необходимый результат" dataDxfId="4236" dataCellStyle="Обычный 2"/>
    <tableColumn id="3" xr3:uid="{83EF1619-C40C-4402-9FDC-9717D98C03A0}" name="Выполнено да/нет" dataDxfId="4235" dataCellStyle="Обычный"/>
    <tableColumn id="4" xr3:uid="{1C7DA22C-8E01-4611-8AE3-10E1A23DF3B6}" name="Комментарий по выполненной задаче" dataDxfId="4234" dataCellStyle="Обычный 2"/>
    <tableColumn id="5" xr3:uid="{02A3E512-1774-496C-BA52-671ECC76142C}" name="Мотивация" dataDxfId="4233"/>
    <tableColumn id="6" xr3:uid="{02950E04-6961-40D7-ABD0-73D49324039A}" name="Менеджер" dataDxfId="4232"/>
    <tableColumn id="7" xr3:uid="{88E327C7-88A7-4A0A-9DA7-85E88BAD6A1C}" name="К оплате" dataDxfId="423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1852ACF-334C-4BED-AA64-5665AA9FC55D}" name="Таблица20324558728610011412113314515716918921375369851011171331491651812440567288104120136152550566582596610624640656672688705722" displayName="Таблица20324558728610011412113314515716918921375369851011171331491651812440567288104120136152550566582596610624640656672688705722" ref="A117:G119" totalsRowShown="0" headerRowDxfId="4230" dataDxfId="4229" tableBorderDxfId="4228">
  <autoFilter ref="A117:G119" xr:uid="{16803243-7F25-4AF5-AE4A-7C5E11F25A09}"/>
  <tableColumns count="7">
    <tableColumn id="1" xr3:uid="{E98E3BDD-A5E8-4EAA-A6CC-A3A18C0A8C36}" name="Цель" dataDxfId="4227"/>
    <tableColumn id="2" xr3:uid="{3DC0DB94-30F4-4786-BFE9-3D9E2EDBF3F4}" name="Необходимый результат" dataDxfId="4226"/>
    <tableColumn id="3" xr3:uid="{42A4C6E9-C926-47F1-80D4-EAE62297E20D}" name="Выполнено да/нет" dataDxfId="4225"/>
    <tableColumn id="4" xr3:uid="{ABF0063D-652A-42F4-B823-757FBF8963FB}" name="Комментарий по выполненной задаче" dataDxfId="4224"/>
    <tableColumn id="5" xr3:uid="{7188C921-C032-45F4-8370-99F397C85D1F}" name="Мотивация" dataDxfId="4223"/>
    <tableColumn id="6" xr3:uid="{6681ABC8-E58C-481D-A52F-1DB5A98E293E}" name="Менеджер" dataDxfId="4222"/>
    <tableColumn id="7" xr3:uid="{E2A28B43-50B6-4537-9B93-67AAFB2206FD}" name="К оплате" dataDxfId="422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2C33D15-2BF5-4FF1-8B96-B882407D89BF}" name="Таблица16334659738710111512213414615817019022385470861021181341501661822541577389105121137153551567583597611625641657673689706723" displayName="Таблица16334659738710111512213414615817019022385470861021181341501661822541577389105121137153551567583597611625641657673689706723" ref="A53:F56" totalsRowCount="1" headerRowDxfId="4220" dataDxfId="4219" totalsRowDxfId="4217" tableBorderDxfId="4218" totalsRowBorderDxfId="4216">
  <autoFilter ref="A53:F55" xr:uid="{9246B9BD-73A5-4351-9AA2-07EE59ED4E9D}"/>
  <sortState xmlns:xlrd2="http://schemas.microsoft.com/office/spreadsheetml/2017/richdata2" ref="A54:F54">
    <sortCondition descending="1" ref="B53:B54"/>
  </sortState>
  <tableColumns count="6">
    <tableColumn id="1" xr3:uid="{4FE22FEE-DDB6-4C6C-8AC3-9591790918BC}" name="Клиент" dataDxfId="4215" totalsRowDxfId="4214"/>
    <tableColumn id="2" xr3:uid="{B20E7E40-66DE-4B0F-88D5-09739210A37B}" name="Оборот" totalsRowFunction="custom" dataDxfId="4213" totalsRowDxfId="4212">
      <totalsRowFormula>SUM(Таблица16334659738710111512213414615817019022385470861021181341501661822541577389105121137153551567583597611625641657673689706723[Оборот])</totalsRowFormula>
    </tableColumn>
    <tableColumn id="3" xr3:uid="{1872FEF3-64C5-4E96-9F2E-4FDF1EBAA4CE}" name="Профит " totalsRowFunction="custom" dataDxfId="4211" totalsRowDxfId="4210">
      <totalsRowFormula>SUM(C54:C55)</totalsRowFormula>
    </tableColumn>
    <tableColumn id="4" xr3:uid="{4B9FD78C-129C-4C91-9C82-733CA039CDBA}" name="%" totalsRowFunction="custom" dataDxfId="4209" totalsRowDxfId="4208">
      <totalsRowFormula>Таблица16334659738710111512213414615817019022385470861021181341501661822541577389105121137153551567583597611625641657673689706723[[#Totals],[Профит ]]/Таблица16334659738710111512213414615817019022385470861021181341501661822541577389105121137153551567583597611625641657673689706723[[#Totals],[Оборот]]</totalsRowFormula>
    </tableColumn>
    <tableColumn id="5" xr3:uid="{876CC068-0047-4197-B494-690060DCBD26}" name="Менеджер" dataDxfId="4207" totalsRowDxfId="4206"/>
    <tableColumn id="6" xr3:uid="{A90D1B41-0510-491F-A5CF-CF7605F5E097}" name="Комментарий" dataDxfId="4205" totalsRowDxfId="4204" dataCellStyle="Финансовый"/>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1F34D4D-8382-4586-96E3-C0C23C4AA1DA}" name="Таблица421172034414855626976839097839011111812513213914615316016717418118819561320273441485562697683909710411111812513213914615316016717518319820621412313514715917119123395571871031191351511671832642587490106122138154552568584598612626642658674690707724" displayName="Таблица421172034414855626976839097839011111812513213914615316016717418118819561320273441485562697683909710411111812513213914615316016717518319820621412313514715917119123395571871031191351511671832642587490106122138154552568584598612626642658674690707724" ref="A68:H71" totalsRowShown="0" headerRowDxfId="4203" dataDxfId="4202">
  <autoFilter ref="A68:H71" xr:uid="{4ACBF2F4-2982-4E59-8F46-ECCA5C6BC7F5}"/>
  <sortState xmlns:xlrd2="http://schemas.microsoft.com/office/spreadsheetml/2017/richdata2" ref="A69:H71">
    <sortCondition descending="1" ref="G68:G71"/>
  </sortState>
  <tableColumns count="8">
    <tableColumn id="1" xr3:uid="{50BBFF20-0949-4356-A4D8-D90BD4EA4D7D}" name="Номер" dataDxfId="4201" dataCellStyle="Обычный 2"/>
    <tableColumn id="3" xr3:uid="{42FCA10D-871F-4FCD-9CC4-FBF0EB078A57}" name="Клиент" dataDxfId="4200" dataCellStyle="Обычный 2"/>
    <tableColumn id="4" xr3:uid="{4354CCAA-45BE-4BA9-B69B-3D3CA86A3776}" name="Менеджер" dataDxfId="4199" dataCellStyle="Обычный 2"/>
    <tableColumn id="5" xr3:uid="{2D73EE6A-8466-44E6-9B1F-6FCAD52743EB}" name="Проект" dataDxfId="4198" dataCellStyle="Обычный 2"/>
    <tableColumn id="6" xr3:uid="{473D6B85-39F5-4E9A-9BA1-5B5D61FF267D}" name="Краткое описание проекта" dataDxfId="4197" dataCellStyle="Обычный 2"/>
    <tableColumn id="7" xr3:uid="{5B9D0160-8B34-41B6-B98A-D363EAC03997}" name="Дата завершения сделки" dataDxfId="4196" dataCellStyle="Обычный 2"/>
    <tableColumn id="8" xr3:uid="{73AB51E2-1FE6-421D-A616-12EB8885ACCB}" name="Сумма, тыс. руб." dataDxfId="4195" dataCellStyle="Обычный"/>
    <tableColumn id="2" xr3:uid="{A17147A3-0597-4D8D-8897-92FAFA691176}" name="Статус" dataDxfId="4194"/>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F54A92B-ABF2-4608-AC01-74189D959195}" name="Таблица9132738193340475461687582899682891101171241311381451521591661731801871945121926334047546168758289961031101171241311381451521591661741821902052131191251371491611731932541567288104120136152168184274359759110712313915555356958559961362764365967569725" displayName="Таблица9132738193340475461687582899682891101171241311381451521591661731801871945121926334047546168758289961031101171241311381451521591661741821902052131191251371491611731932541567288104120136152168184274359759110712313915555356958559961362764365967569725" ref="A62:H63" headerRowCount="0" totalsRowShown="0" headerRowDxfId="4193" dataDxfId="4192">
  <tableColumns count="8">
    <tableColumn id="1" xr3:uid="{7BE03E77-90A6-44D2-9A8C-66EF817D7294}" name="Февраль 2015" headerRowDxfId="4191" dataDxfId="4190" dataCellStyle="Название"/>
    <tableColumn id="2" xr3:uid="{C37B4658-8239-4133-A8D0-8F59A3C47BF4}" name="Столбец1" headerRowDxfId="4189" dataDxfId="4188"/>
    <tableColumn id="3" xr3:uid="{5952F840-5FDD-4BBD-A075-8CB1F6BD9883}" name="Столбец2" headerRowDxfId="4187" dataDxfId="4186"/>
    <tableColumn id="4" xr3:uid="{7601A0CB-6594-4669-98F8-D3A0BC62DF9D}" name="Столбец3" headerRowDxfId="4185" dataDxfId="4184"/>
    <tableColumn id="5" xr3:uid="{A707CF01-3D28-4EF0-85EF-A73EF7DE1FBB}" name="Столбец4" headerRowDxfId="4183" dataDxfId="4182"/>
    <tableColumn id="6" xr3:uid="{B82013F4-26D8-4CA0-8E46-1CC9D7C1BE95}" name="Столбец5" headerRowDxfId="4181" dataDxfId="4180"/>
    <tableColumn id="7" xr3:uid="{920EAB3F-2A59-443B-AEDC-435F5780B37E}" name="Столбец6" headerRowDxfId="4179" dataDxfId="4178"/>
    <tableColumn id="8" xr3:uid="{74A6CF12-CA84-47CC-BA95-06EFAB5B7E36}" name="Столбец7" headerRowDxfId="4177" dataDxfId="417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377FC27-A997-406B-872F-9B526369750B}" name="Таблица12513815016217419426425773891051211371531691852844607692108124140156554570586600614628644660676692709726" displayName="Таблица12513815016217419426425773891051211371531691852844607692108124140156554570586600614628644660676692709726" ref="A75:H79" totalsRowShown="0" headerRowDxfId="4175" dataDxfId="4174">
  <autoFilter ref="A75:H79" xr:uid="{0F3DFAA2-5FF8-417D-8496-A5C766071E19}"/>
  <sortState xmlns:xlrd2="http://schemas.microsoft.com/office/spreadsheetml/2017/richdata2" ref="A76:H79">
    <sortCondition descending="1" ref="G75:G79"/>
  </sortState>
  <tableColumns count="8">
    <tableColumn id="1" xr3:uid="{2D48A354-F199-416A-B873-D67BB4C2D6CB}" name="Номер" dataDxfId="4173"/>
    <tableColumn id="2" xr3:uid="{673DD9D4-B7D1-4C4E-A596-8FFC8657B85B}" name="Клиент" dataDxfId="4172"/>
    <tableColumn id="3" xr3:uid="{06E778EC-A843-4C61-AE3C-239F4EDC842E}" name="Менеджер" dataDxfId="4171" dataCellStyle="Обычный 2"/>
    <tableColumn id="4" xr3:uid="{632EC2DE-2785-4A40-9617-1C4F140759FE}" name="Проект" dataDxfId="4170"/>
    <tableColumn id="5" xr3:uid="{5CC826D7-6D74-4E63-9655-D45CF7CB3D1F}" name="Краткое описание проекта" dataDxfId="4169"/>
    <tableColumn id="6" xr3:uid="{BD0F3A85-1209-4730-9321-DE01630DE48E}" name="Дата завершения сделки" dataDxfId="4168"/>
    <tableColumn id="7" xr3:uid="{5CD33430-F705-48C1-A7EC-6B6B8DC2C620}" name="Сумма" dataDxfId="4167"/>
    <tableColumn id="8" xr3:uid="{2D89C735-53B9-49E4-8535-F87CAB26AB2F}" name="Статус" dataDxfId="416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3B1CBB9-68B0-46CA-84BB-FE46D9C47E10}" name="Таблица17519527435874901061221381541701862945617793109125141157555571587601615629645661677693710727" displayName="Таблица17519527435874901061221381541701862945617793109125141157555571587601615629645661677693710727" ref="A11:E12" totalsRowShown="0" headerRowDxfId="4165" dataDxfId="4164" tableBorderDxfId="4163">
  <tableColumns count="5">
    <tableColumn id="1" xr3:uid="{40735BF5-7944-4CCC-90D9-A1F59CEB78D9}" name="Менеджер" dataDxfId="4162"/>
    <tableColumn id="2" xr3:uid="{6F513E6B-6AE9-4392-A750-02F0112377EE}" name="План с НАЧАЛА ФГ, руб." dataDxfId="4161">
      <calculatedColumnFormula>SUM(C22:C29)</calculatedColumnFormula>
    </tableColumn>
    <tableColumn id="3" xr3:uid="{936D7380-EC9C-449B-8704-86C226E50202}" name="Факт с НАЧАЛА ФГ, руб." dataDxfId="4160">
      <calculatedColumnFormula>B34</calculatedColumnFormula>
    </tableColumn>
    <tableColumn id="4" xr3:uid="{61048180-B6BC-4DCA-B9AD-2365AE450BB7}" name="Отклонение, %" dataDxfId="4159">
      <calculatedColumnFormula>C12/B12-100%</calculatedColumnFormula>
    </tableColumn>
    <tableColumn id="5" xr3:uid="{F6B5E8DE-AC16-4598-A5D9-D0000C606B75}" name="Отклонение, РУБ" dataDxfId="4158">
      <calculatedColumnFormula>C12-B12</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EC284EB-8D4C-450F-BD9F-D7A6CD245D21}" name="Таблица29445975911071231391551711873046627894110126142158556572588602616630646662678694711728" displayName="Таблица29445975911071231391551711873046627894110126142158556572588602616630646662678694711728" ref="A39:E40" totalsRowShown="0" headerRowDxfId="4157" dataDxfId="4156">
  <autoFilter ref="A39:E40" xr:uid="{A123EA08-D8D4-4987-8146-FF08418E565C}"/>
  <tableColumns count="5">
    <tableColumn id="2" xr3:uid="{993C9E52-D3D0-4222-9BD6-A9A423B9B99C}" name="Факт" dataDxfId="4155">
      <calculatedColumnFormula>B29</calculatedColumnFormula>
    </tableColumn>
    <tableColumn id="9" xr3:uid="{7E5102C4-FEB4-47E7-8E11-18B0C799E0AD}" name="Оклад" dataDxfId="4154" dataCellStyle="Процентный">
      <calculatedColumnFormula>50000</calculatedColumnFormula>
    </tableColumn>
    <tableColumn id="4" xr3:uid="{AC67B375-AD77-4544-8894-FF62E5FE02D3}" name="Премия" dataDxfId="4153">
      <calculatedColumnFormula>A40*0.06</calculatedColumnFormula>
    </tableColumn>
    <tableColumn id="7" xr3:uid="{58E49E64-A5CF-469D-B18A-10261CB79DBF}" name="Доплата за Задачи" dataDxfId="4152">
      <calculatedColumnFormula>SUM(G111,G112,G113)</calculatedColumnFormula>
    </tableColumn>
    <tableColumn id="6" xr3:uid="{CBDF31F0-C85F-404B-AF34-CB289FE0A7E7}" name="Штрафы" dataDxfId="4151"/>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CCAA9A7-6BDC-4FF8-8204-2C12D5E02712}" name="Таблица9132738193340475461687582899682891101171241311381451521591661731801871945121926334047546168758289961031101171241311381451521591661741821902052131241361481601721922440627894110126142158174190334965819711312914516155957559160361763164766367969571729" displayName="Таблица9132738193340475461687582899682891101171241311381451521591661731801871945121926334047546168758289961031101171241311381451521591661741821902052131241361481601721922440627894110126142158174190334965819711312914516155957559160361763164766367969571729" ref="A59:H61" headerRowCount="0" totalsRowShown="0" headerRowDxfId="4150" dataDxfId="4149">
  <tableColumns count="8">
    <tableColumn id="1" xr3:uid="{85C37A8C-ACAD-4C2C-9931-1D21C1CDBA4F}" name="Февраль 2015" headerRowDxfId="4148" dataDxfId="4147" dataCellStyle="Название"/>
    <tableColumn id="2" xr3:uid="{A9DD197B-34A1-4A1D-9E9C-7747D6111BD3}" name="Столбец1" headerRowDxfId="4146" dataDxfId="4145"/>
    <tableColumn id="3" xr3:uid="{09308CB0-5F8A-4E68-8505-BB6C4BA6C57F}" name="Столбец2" headerRowDxfId="4144" dataDxfId="4143"/>
    <tableColumn id="4" xr3:uid="{04BF3986-3AB4-482A-8FE4-05D2561D77F8}" name="Столбец3" headerRowDxfId="4142" dataDxfId="4141"/>
    <tableColumn id="5" xr3:uid="{2E73E5F1-603F-48E6-91CA-4890496BF15F}" name="Столбец4" headerRowDxfId="4140" dataDxfId="4139"/>
    <tableColumn id="6" xr3:uid="{580FE9F9-EA6F-4056-A000-4E2550D607E1}" name="Столбец5" headerRowDxfId="4138" dataDxfId="4137"/>
    <tableColumn id="7" xr3:uid="{B4A8A55B-635E-4299-8736-EA053950E833}" name="Столбец6" headerRowDxfId="4136" dataDxfId="4135"/>
    <tableColumn id="8" xr3:uid="{E368BBEA-8307-4EBE-A342-ECA4BC418CAC}" name="Столбец7" headerRowDxfId="4134" dataDxfId="4133"/>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005460C-155F-4ED4-951F-85CECA53784F}" name="Таблица152942556983971111161301421541661861834506682981141301461621782137536985101117133149560576592604618632648664680696713730" displayName="Таблица152942556983971111161301421541661861834506682981141301461621782137536985101117133149560576592604618632648664680696713730" ref="A84:G87" totalsRowShown="0" headerRowDxfId="4132" dataDxfId="4131" tableBorderDxfId="4130">
  <autoFilter ref="A84:G87" xr:uid="{BD66A881-30D1-4979-8390-5888D14E5877}"/>
  <tableColumns count="7">
    <tableColumn id="1" xr3:uid="{79A93867-A677-4DE5-8FEA-BBD5CA7FE8F2}" name="Дата" dataDxfId="4129"/>
    <tableColumn id="2" xr3:uid="{FA45D3D5-4722-41C3-8F09-898B0CFF4524}" name="Клиент" dataDxfId="4128"/>
    <tableColumn id="3" xr3:uid="{DCC2153A-6DCB-46D1-ABB2-E5B847B9502E}" name="Менеджер" dataDxfId="4127" dataCellStyle="Обычный 2"/>
    <tableColumn id="4" xr3:uid="{EFA0B986-3A9E-4F1F-9529-9E50358EB5DA}" name="Контакт в 1С" dataDxfId="4126"/>
    <tableColumn id="5" xr3:uid="{CA81C225-6A4D-4543-9F04-5C8443B5D19B}" name="№ сделки" dataDxfId="4125"/>
    <tableColumn id="6" xr3:uid="{2E268B27-1D37-4361-9E0E-724FD6570222}" name="Цель" dataDxfId="4124"/>
    <tableColumn id="7" xr3:uid="{E6B54F7C-B874-477A-AA32-0FF52B3B70BB}" name="Результат" dataDxfId="4123"/>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D78A6AF-2838-4558-B855-22E7EFC12851}" name="Таблица493699716733" displayName="Таблица493699716733" ref="A21:D33" totalsRowShown="0" headerRowDxfId="4122" headerRowBorderDxfId="4121" tableBorderDxfId="4120" totalsRowBorderDxfId="4119">
  <autoFilter ref="A21:D33" xr:uid="{8999CE3E-52FF-4AF3-AA18-1DA9A764C519}"/>
  <tableColumns count="4">
    <tableColumn id="1" xr3:uid="{EEB15697-E480-4D46-B9C5-60AA2D62A4DA}" name="Месяц" dataDxfId="4118"/>
    <tableColumn id="2" xr3:uid="{FFAD4453-EBED-40EB-9285-00629D3AB614}" name="Профит" dataDxfId="4117"/>
    <tableColumn id="3" xr3:uid="{8A1CAC45-F968-4DB1-B8AA-870EFAB871D1}" name="План" dataDxfId="4116"/>
    <tableColumn id="4" xr3:uid="{8FAE1EE7-B2C5-4B84-8C6A-E89241B067DA}" name="Выполнение" dataDxfId="4115"/>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1A073C2-0A9E-40DE-A164-5362129E86D8}" name="Таблица1102916303744515865722330374451586572798693100922354862769010410712713915116318315294763799511112714315917518345066829811413014654556157758960561963565166768370071716" displayName="Таблица1102916303744515865722330374451586572798693100922354862769010410712713915116318315294763799511112714315917518345066829811413014654556157758960561963565166768370071716" ref="A6:F7" totalsRowShown="0" headerRowDxfId="4114" dataDxfId="4113">
  <tableColumns count="6">
    <tableColumn id="1" xr3:uid="{ACEA01C4-FAB1-46EA-9041-D0653D70D14B}" name="Менеджер" dataDxfId="4112"/>
    <tableColumn id="2" xr3:uid="{68F975A4-5C1C-4B7C-81DE-ACDD3B8BB019}" name="План, руб." dataDxfId="4111"/>
    <tableColumn id="3" xr3:uid="{4CA70040-141F-4D56-873A-E322D443C6FE}" name="Факт, руб." dataDxfId="4110">
      <calculatedColumnFormula>B30</calculatedColumnFormula>
    </tableColumn>
    <tableColumn id="4" xr3:uid="{27925157-D3AB-482C-BAF6-64F4D876C25E}" name="Отклонение, %" dataDxfId="4109" dataCellStyle="Процентный">
      <calculatedColumnFormula>Таблица1102916303744515865722330374451586572798693100922354862769010410712713915116318315294763799511112714315917518345066829811413014654556157758960561963565166768370071716[Факт, руб.]/Таблица1102916303744515865722330374451586572798693100922354862769010410712713915116318315294763799511112714315917518345066829811413014654556157758960561963565166768370071716[План, руб.]-100%</calculatedColumnFormula>
    </tableColumn>
    <tableColumn id="7" xr3:uid="{57278082-BF89-4D12-9850-EB7D2BFADFEE}" name="Отклонение, РУБ" dataDxfId="4108" dataCellStyle="Процентный">
      <calculatedColumnFormula>Таблица1102916303744515865722330374451586572798693100922354862769010410712713915116318315294763799511112714315917518345066829811413014654556157758960561963565166768370071716[Факт, руб.]-Таблица1102916303744515865722330374451586572798693100922354862769010410712713915116318315294763799511112714315917518345066829811413014654556157758960561963565166768370071716[План, руб.]</calculatedColumnFormula>
    </tableColumn>
    <tableColumn id="5" xr3:uid="{C8871249-09F1-4121-B0B8-97FB5E99A5B8}" name="Предыд месяц" dataDxfId="4107" dataCellStyle="Процентный">
      <calculatedColumnFormula>B29</calculatedColumnFormula>
    </tableColumn>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9B74F0E-4A4E-4F12-9A7A-93B89EE17416}" name="Таблица21130173138455259667324313845525966738087941011023364963779110510912814015216418416324864809611212814416017619355167839911513114754656257859060662063665266868470171817" displayName="Таблица21130173138455259667324313845525966738087941011023364963779110510912814015216418416324864809611212814416017619355167839911513114754656257859060662063665266868470171817" ref="A16:E17" totalsRowShown="0" headerRowDxfId="4106" dataDxfId="4105">
  <tableColumns count="5">
    <tableColumn id="1" xr3:uid="{6F2CFBE6-AEE3-448B-BD68-2FD98D58C0BC}" name="Менеджер" dataDxfId="4104"/>
    <tableColumn id="2" xr3:uid="{F959AC02-E673-4D88-B09E-296762BCE05E}" name="Профит ФГ 22-23" dataDxfId="4103"/>
    <tableColumn id="3" xr3:uid="{A3756B12-7B2D-4948-9BF6-685E41CA1581}" name="Профит ФГ 23-24" dataDxfId="4102"/>
    <tableColumn id="4" xr3:uid="{5D0C9B21-9FC0-422A-A20F-3D97466735A2}" name="Профит ФГ 24-25" dataDxfId="4101" dataCellStyle="Процентный">
      <calculatedColumnFormula>B34</calculatedColumnFormula>
    </tableColumn>
    <tableColumn id="5" xr3:uid="{F57B7BCA-C6AB-4E35-AF31-18E5FBE153C9}" name="Рост накопительно, % " dataDxfId="4100">
      <calculatedColumnFormula>Таблица21130173138455259667324313845525966738087941011023364963779110510912814015216418416324864809611212814416017619355167839911513114754656257859060662063665266868470171817[Профит ФГ 24-25]/Таблица21130173138455259667324313845525966738087941011023364963779110510912814015216418416324864809611212814416017619355167839911513114754656257859060662063665266868470171817[Профит ФГ 23-24]</calculatedColumnFormula>
    </tableColumn>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1EE4EDA-C885-4151-93D1-B3812317519C}" name="Таблица54624331832394653606774253239465360677481889510211243750647892106110129141153165185173349658197113129145161177203652688410011613214854756357959360762163765366968570271919" displayName="Таблица54624331832394653606774253239465360677481889510211243750647892106110129141153165185173349658197113129145161177203652688410011613214854756357959360762163765366968570271919" ref="A45:D49" totalsRowShown="0" headerRowDxfId="4099" dataDxfId="4098">
  <autoFilter ref="A45:D49" xr:uid="{3EADDA2E-FD58-4130-8A1C-8C20137591BB}"/>
  <tableColumns count="4">
    <tableColumn id="2" xr3:uid="{9184A86F-BB75-4E79-A61E-85D4E5039052}" name="Холдинг" dataDxfId="4097"/>
    <tableColumn id="3" xr3:uid="{F8493DF6-BBF9-4043-A4AE-2A45DC722625}" name="Сумма просроченного долга" dataDxfId="4096" dataCellStyle="Денежный"/>
    <tableColumn id="4" xr3:uid="{8BDE7BF2-7B4E-412F-B434-EB5D82782B13}" name="Общая сумма долга" dataDxfId="4095" dataCellStyle="Денежный"/>
    <tableColumn id="5" xr3:uid="{146FEC00-1223-49B5-8532-89EE57F9E942}" name="% просрочки" dataDxfId="4094" dataCellStyle="Процентный"/>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5BFCAC3-D5F7-45DE-955C-443DFBD1692E}" name="Таблица17304356708498112117131143155167187193551678399115131147163179223854708610211813415054856458059460862263865467068670372020" displayName="Таблица17304356708498112117131143155167187193551678399115131147163179223854708610211813415054856458059460862263865467068670372020" ref="A93:G115" totalsRowShown="0" headerRowDxfId="4093" dataDxfId="4092" tableBorderDxfId="4091">
  <autoFilter ref="A93:G115" xr:uid="{5F2E2A5D-7666-4FD4-A50A-70ADD98392B4}"/>
  <sortState xmlns:xlrd2="http://schemas.microsoft.com/office/spreadsheetml/2017/richdata2" ref="A94:E115">
    <sortCondition ref="A93:A115"/>
  </sortState>
  <tableColumns count="7">
    <tableColumn id="1" xr3:uid="{7A31BFF7-1DD4-41F8-967B-9FFDFAE9A240}" name="Дата" dataDxfId="4090"/>
    <tableColumn id="2" xr3:uid="{B23EDE97-5DC7-48DE-ADDB-3D7BD5CAA1BF}" name="Клиент" dataDxfId="4089"/>
    <tableColumn id="3" xr3:uid="{24D5AB68-5425-4278-9455-F9B499037B0F}" name="Менеджер" dataDxfId="4088" dataCellStyle="Обычный 2"/>
    <tableColumn id="4" xr3:uid="{1317A9AD-6CE0-49FE-A281-DFB8042A4D41}" name="Контакт в 1С" dataDxfId="4087"/>
    <tableColumn id="5" xr3:uid="{C454756C-7E8D-4DCC-BB2D-119730EC7F85}" name="№ сделки" dataDxfId="4086"/>
    <tableColumn id="6" xr3:uid="{EB685052-240D-4884-9063-75B851335474}" name="Цель" dataDxfId="4085"/>
    <tableColumn id="7" xr3:uid="{61704DFF-9F07-43DC-B1ED-A2C0B72F9EE7}" name="Результат" dataDxfId="4084"/>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1EE0520-893A-43F9-9918-F2504D619876}" name="Таблица193144577185991131201321441561681882036526884100116132148164180233955718710311913515154956558159560962363965567168770472121" displayName="Таблица193144577185991131201321441561681882036526884100116132148164180233955718710311913515154956558159560962363965567168770472121" ref="A120:G124" totalsRowShown="0" headerRowDxfId="4083" dataDxfId="4082" tableBorderDxfId="4081">
  <autoFilter ref="A120:G124" xr:uid="{CC17A23E-B8E4-4CBF-BC3B-16FF0249D515}"/>
  <tableColumns count="7">
    <tableColumn id="1" xr3:uid="{B4DE902C-C11F-4AB9-A651-B88276B9AF3E}" name="Цель" dataDxfId="4080" dataCellStyle="Обычный 2"/>
    <tableColumn id="2" xr3:uid="{6270AC6B-233A-48B3-A1C4-3AA5DE83467F}" name="Необходимый результат" dataDxfId="4079" dataCellStyle="Обычный 2"/>
    <tableColumn id="3" xr3:uid="{8525CD54-4F72-4446-9337-996CFAFBD97A}" name="Выполнено да/нет" dataDxfId="4078" dataCellStyle="Обычный"/>
    <tableColumn id="4" xr3:uid="{108980C3-8561-43D9-A961-B8E45BA7F62C}" name="Комментарий по выполненной задаче" dataDxfId="4077" dataCellStyle="Обычный 2"/>
    <tableColumn id="5" xr3:uid="{CD5E8ECF-C19D-46FB-A359-DE0E01F073B4}" name="Мотивация" dataDxfId="4076"/>
    <tableColumn id="6" xr3:uid="{9169C2C0-3E9E-4FB8-AE70-D01E17980F6E}" name="Менеджер" dataDxfId="4075"/>
    <tableColumn id="7" xr3:uid="{BE4ED8BA-5040-4F37-9182-2065BDEDD8C5}" name="К оплате" dataDxfId="4074"/>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41AF3F3-467E-4374-BA5D-DDC909334005}" name="Таблица2032455872861001141211331451571691892137536985101117133149165181244056728810412013615255056658259661062464065667268870572222" displayName="Таблица2032455872861001141211331451571691892137536985101117133149165181244056728810412013615255056658259661062464065667268870572222" ref="A128:G130" totalsRowShown="0" headerRowDxfId="4073" dataDxfId="4072" tableBorderDxfId="4071">
  <autoFilter ref="A128:G130" xr:uid="{16803243-7F25-4AF5-AE4A-7C5E11F25A09}"/>
  <tableColumns count="7">
    <tableColumn id="1" xr3:uid="{E42688F4-2DB3-40DD-A547-60CB61C7DCF0}" name="Цель" dataDxfId="4070"/>
    <tableColumn id="2" xr3:uid="{118D20BA-195C-4873-A628-9124CFA72877}" name="Необходимый результат" dataDxfId="4069"/>
    <tableColumn id="3" xr3:uid="{C98BE444-C082-4A16-A70E-CFCA7E201658}" name="Выполнено да/нет" dataDxfId="4068"/>
    <tableColumn id="4" xr3:uid="{FADE94BF-1F66-4287-8A71-A74F06DCD358}" name="Комментарий по выполненной задаче" dataDxfId="4067"/>
    <tableColumn id="5" xr3:uid="{2F59C886-9C48-4AE5-908C-65F35DC33D04}" name="Мотивация" dataDxfId="4066"/>
    <tableColumn id="6" xr3:uid="{417335CC-9505-4175-A48D-1C33B1C35079}" name="Менеджер" dataDxfId="4065"/>
    <tableColumn id="7" xr3:uid="{62B044FD-052B-4ABE-8657-1BDF2BBB576F}" name="К оплате" dataDxfId="4064"/>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761DF40-EA8E-490A-AD69-C4B85F771B8F}" name="Таблица1633465973871011151221341461581701902238547086102118134150166182254157738910512113715355156758359761162564165767368970672323" displayName="Таблица1633465973871011151221341461581701902238547086102118134150166182254157738910512113715355156758359761162564165767368970672323" ref="A55:F58" totalsRowCount="1" headerRowDxfId="4063" dataDxfId="4062" totalsRowDxfId="4060" tableBorderDxfId="4061" totalsRowBorderDxfId="4059">
  <autoFilter ref="A55:F57" xr:uid="{9246B9BD-73A5-4351-9AA2-07EE59ED4E9D}"/>
  <sortState xmlns:xlrd2="http://schemas.microsoft.com/office/spreadsheetml/2017/richdata2" ref="A56:F56">
    <sortCondition descending="1" ref="B55:B56"/>
  </sortState>
  <tableColumns count="6">
    <tableColumn id="1" xr3:uid="{558D5CF3-069C-43A1-A3B2-53F547B5A8DA}" name="Клиент" dataDxfId="4058" totalsRowDxfId="4057"/>
    <tableColumn id="2" xr3:uid="{82E966C4-11C6-4859-8CB5-07B10D700DCB}" name="Оборот" totalsRowFunction="custom" dataDxfId="4056" totalsRowDxfId="4055">
      <totalsRowFormula>SUM(Таблица1633465973871011151221341461581701902238547086102118134150166182254157738910512113715355156758359761162564165767368970672323[Оборот])</totalsRowFormula>
    </tableColumn>
    <tableColumn id="3" xr3:uid="{AE00602A-6337-4CCD-9BEB-DA404BFD1E70}" name="Профит " totalsRowFunction="custom" dataDxfId="4054" totalsRowDxfId="4053">
      <totalsRowFormula>SUM(C56:C57)</totalsRowFormula>
    </tableColumn>
    <tableColumn id="4" xr3:uid="{E4DF54CF-C15D-4523-9C4E-A68D9805D1F8}" name="%" totalsRowFunction="custom" dataDxfId="4052" totalsRowDxfId="4051">
      <totalsRowFormula>Таблица1633465973871011151221341461581701902238547086102118134150166182254157738910512113715355156758359761162564165767368970672323[[#Totals],[Профит ]]/Таблица1633465973871011151221341461581701902238547086102118134150166182254157738910512113715355156758359761162564165767368970672323[[#Totals],[Оборот]]</totalsRowFormula>
    </tableColumn>
    <tableColumn id="5" xr3:uid="{5C5768A0-E43D-42F0-B8D9-80564C412E48}" name="Менеджер" dataDxfId="4050" totalsRowDxfId="4049"/>
    <tableColumn id="6" xr3:uid="{592B0B48-9BD0-4BD6-BACA-76311504856C}" name="Комментарий" dataDxfId="4048" totalsRowDxfId="4047" dataCellStyle="Финансовый"/>
  </tableColumns>
  <tableStyleInfo name="TableStyleLight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20146BD-A604-4515-B1AD-84E89F3C1847}" name="Таблица4211720344148556269768390978390111118125132139146153160167174181188195613202734414855626976839097104111118125132139146153160167175183198206214123135147159171191233955718710311913515116718326425874901061221381545525685845986126266426586746907077224" displayName="Таблица4211720344148556269768390978390111118125132139146153160167174181188195613202734414855626976839097104111118125132139146153160167175183198206214123135147159171191233955718710311913515116718326425874901061221381545525685845986126266426586746907077224" ref="A70:H73" totalsRowShown="0" headerRowDxfId="4046" dataDxfId="4045">
  <autoFilter ref="A70:H73" xr:uid="{4ACBF2F4-2982-4E59-8F46-ECCA5C6BC7F5}"/>
  <sortState xmlns:xlrd2="http://schemas.microsoft.com/office/spreadsheetml/2017/richdata2" ref="A70:H73">
    <sortCondition descending="1" ref="G70:G73"/>
  </sortState>
  <tableColumns count="8">
    <tableColumn id="1" xr3:uid="{EF264B5E-53F2-4A0F-871F-9851E1C8A2E2}" name="Номер" dataDxfId="4044" dataCellStyle="Обычный 2"/>
    <tableColumn id="3" xr3:uid="{B81AE670-9565-4800-BA61-6A60A1C53471}" name="Клиент" dataDxfId="4043" dataCellStyle="Обычный 2"/>
    <tableColumn id="4" xr3:uid="{1A51BCAF-4B6A-483A-89F6-D24FCCB8BAE5}" name="Менеджер" dataDxfId="4042" dataCellStyle="Обычный 2"/>
    <tableColumn id="5" xr3:uid="{EE5ACB66-D424-43C2-A2A7-49A6654DEAE7}" name="Проект" dataDxfId="4041" dataCellStyle="Обычный 2"/>
    <tableColumn id="6" xr3:uid="{C53CA0B3-36C1-42A9-8682-4E63EA9E89C2}" name="Краткое описание проекта" dataDxfId="4040" dataCellStyle="Обычный 2"/>
    <tableColumn id="7" xr3:uid="{D3BB9BC4-EB92-4E58-9BB5-D572F6B7E12B}" name="Дата завершения сделки" dataDxfId="4039" dataCellStyle="Обычный 2"/>
    <tableColumn id="8" xr3:uid="{6567DA97-4231-47C5-AAF5-F1D93EC3FF62}" name="Сумма, тыс. руб." dataDxfId="4038" dataCellStyle="Обычный"/>
    <tableColumn id="2" xr3:uid="{A8BD4D76-280F-4859-BAE4-08BF9799472D}" name="Статус" dataDxfId="4037"/>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93A7B35-B325-4FEE-B65D-1938C049F3C5}" name="Таблица9132738193340475461687582899682891101171241311381451521591661731801871945121926334047546168758289961031101171241311381451521591661741821902052131191251371491611731932541567288104120136152168184274359759110712313915555356958559961362764365967569726" displayName="Таблица9132738193340475461687582899682891101171241311381451521591661731801871945121926334047546168758289961031101171241311381451521591661741821902052131191251371491611731932541567288104120136152168184274359759110712313915555356958559961362764365967569726" ref="A64:H65" headerRowCount="0" totalsRowShown="0" headerRowDxfId="4036" dataDxfId="4035">
  <tableColumns count="8">
    <tableColumn id="1" xr3:uid="{91155568-7B2B-475C-A8E2-171C0BB39C3E}" name="Февраль 2015" headerRowDxfId="4034" dataDxfId="4033" dataCellStyle="Название"/>
    <tableColumn id="2" xr3:uid="{3A43C292-125C-4F66-8186-3F3406A598AA}" name="Столбец1" headerRowDxfId="4032" dataDxfId="4031"/>
    <tableColumn id="3" xr3:uid="{786DF46E-7577-4B0D-94AF-3326568687EB}" name="Столбец2" headerRowDxfId="4030" dataDxfId="4029"/>
    <tableColumn id="4" xr3:uid="{1C04AD75-D886-4615-A328-8BF0672BF202}" name="Столбец3" headerRowDxfId="4028" dataDxfId="4027"/>
    <tableColumn id="5" xr3:uid="{A673565E-6152-443C-A13D-A5F2D70EE4E2}" name="Столбец4" headerRowDxfId="4026" dataDxfId="4025"/>
    <tableColumn id="6" xr3:uid="{40531791-B5E5-4968-B463-059031A143ED}" name="Столбец5" headerRowDxfId="4024" dataDxfId="4023"/>
    <tableColumn id="7" xr3:uid="{04413D6C-566F-4E3E-B114-E96B9C0FFE24}" name="Столбец6" headerRowDxfId="4022" dataDxfId="4021"/>
    <tableColumn id="8" xr3:uid="{987E25C8-8362-4A1F-AB8B-D2A16854DC25}" name="Столбец7" headerRowDxfId="4020" dataDxfId="4019"/>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E0F4537-78F1-47ED-A7C7-9E785E83D6C1}" name="Таблица1251381501621741942642577389105121137153169185284460769210812414015655457058660061462864466067669270972626" displayName="Таблица1251381501621741942642577389105121137153169185284460769210812414015655457058660061462864466067669270972626" ref="A77:H82" totalsRowShown="0" headerRowDxfId="4018" dataDxfId="4017">
  <autoFilter ref="A77:H82" xr:uid="{0F3DFAA2-5FF8-417D-8496-A5C766071E19}"/>
  <sortState xmlns:xlrd2="http://schemas.microsoft.com/office/spreadsheetml/2017/richdata2" ref="A78:H82">
    <sortCondition descending="1" ref="G77:G82"/>
  </sortState>
  <tableColumns count="8">
    <tableColumn id="1" xr3:uid="{6175E891-D0E9-47C9-B637-28254405E0CD}" name="Номер" dataDxfId="4016"/>
    <tableColumn id="2" xr3:uid="{4DD390BC-41F1-4366-AB90-BC28D78CEBA7}" name="Клиент" dataDxfId="4015"/>
    <tableColumn id="3" xr3:uid="{772CDF23-B708-4ED7-89C4-7B298C4A989F}" name="Менеджер" dataDxfId="4014" dataCellStyle="Обычный 2"/>
    <tableColumn id="4" xr3:uid="{A95EFECA-FCA6-496D-A45F-0E9DAE9640F3}" name="Проект" dataDxfId="4013"/>
    <tableColumn id="5" xr3:uid="{EC17DD31-139D-490C-A7C8-663EBDB003AE}" name="Краткое описание проекта" dataDxfId="4012"/>
    <tableColumn id="6" xr3:uid="{A9D1AAF9-6B65-4A3F-93D2-7B58063FCAC5}" name="Дата завершения сделки" dataDxfId="4011"/>
    <tableColumn id="7" xr3:uid="{AD728B6A-A831-4B12-B571-28482E37F775}" name="Сумма" dataDxfId="4010"/>
    <tableColumn id="8" xr3:uid="{1F624576-88CD-4F59-A320-AC189D8B9DAC}" name="Статус" dataDxfId="4009"/>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C155285-3634-4D31-99E0-8C3022053DC7}" name="Таблица1751952743587490106122138154170186294561779310912514115755557158760161562964566167769371072727" displayName="Таблица1751952743587490106122138154170186294561779310912514115755557158760161562964566167769371072727" ref="A11:E12" totalsRowShown="0" headerRowDxfId="4008" dataDxfId="4007" tableBorderDxfId="4006">
  <tableColumns count="5">
    <tableColumn id="1" xr3:uid="{2DF1E17B-104D-424D-BB7B-2CE274712D98}" name="Менеджер" dataDxfId="4005"/>
    <tableColumn id="2" xr3:uid="{A12F6F30-E63C-48DB-AACA-DB1746EB227E}" name="План с НАЧАЛА ФГ, руб." dataDxfId="4004">
      <calculatedColumnFormula>SUM(C22:C30)</calculatedColumnFormula>
    </tableColumn>
    <tableColumn id="3" xr3:uid="{5B806E60-7872-4361-958D-5DEFF2E8F06D}" name="Факт с НАЧАЛА ФГ, руб." dataDxfId="4003">
      <calculatedColumnFormula>B34</calculatedColumnFormula>
    </tableColumn>
    <tableColumn id="4" xr3:uid="{857C4D98-F2C1-4A39-B065-5BC2D141C132}" name="Отклонение, %" dataDxfId="4002">
      <calculatedColumnFormula>C12/B12-100%</calculatedColumnFormula>
    </tableColumn>
    <tableColumn id="5" xr3:uid="{1EB7E077-9F92-44D8-9BDD-275F5877FCD3}" name="Отклонение, РУБ" dataDxfId="4001">
      <calculatedColumnFormula>C12-B12</calculatedColumnFormula>
    </tableColumn>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BCB98F7-8262-47F8-86A1-A4DFF7F1DC7D}" name="Таблица2944597591107123139155171187304662789411012614215855657258860261663064666267869471172828" displayName="Таблица2944597591107123139155171187304662789411012614215855657258860261663064666267869471172828" ref="A39:E40" totalsRowShown="0" headerRowDxfId="4000" dataDxfId="3999">
  <autoFilter ref="A39:E40" xr:uid="{A123EA08-D8D4-4987-8146-FF08418E565C}"/>
  <tableColumns count="5">
    <tableColumn id="2" xr3:uid="{F429ABE3-644E-4C50-8F8B-966569342053}" name="Факт" dataDxfId="3998">
      <calculatedColumnFormula>B30</calculatedColumnFormula>
    </tableColumn>
    <tableColumn id="9" xr3:uid="{40CA7B77-27F2-4BD3-BF47-907EB869761A}" name="Оклад" dataDxfId="3997" dataCellStyle="Процентный">
      <calculatedColumnFormula>50000</calculatedColumnFormula>
    </tableColumn>
    <tableColumn id="4" xr3:uid="{691E05AE-3759-4F56-9FD4-E6D4CE7A38EB}" name="Премия" dataDxfId="3996">
      <calculatedColumnFormula>A40*0.06</calculatedColumnFormula>
    </tableColumn>
    <tableColumn id="7" xr3:uid="{677EC672-3EEB-4B45-A2D9-182AB449BF18}" name="Доплата за Задачи" dataDxfId="3995">
      <calculatedColumnFormula>SUM(Таблица193144577185991131201321441561681882036526884100116132148164180233955718710311913515154956558159560962363965567168770472121[К оплате])</calculatedColumnFormula>
    </tableColumn>
    <tableColumn id="6" xr3:uid="{C9C4EC12-10FD-47F1-894D-9C97859A0124}" name="Штрафы" dataDxfId="3994"/>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7B5983AA-EF2A-4A2F-8C02-D854E7BD1ED5}" name="Таблица9132738193340475461687582899682891101171241311381451521591661731801871945121926334047546168758289961031101171241311381451521591661741821902052131241361481601721922440627894110126142158174190334965819711312914516155957559160361763164766367969571730" displayName="Таблица9132738193340475461687582899682891101171241311381451521591661731801871945121926334047546168758289961031101171241311381451521591661741821902052131241361481601721922440627894110126142158174190334965819711312914516155957559160361763164766367969571730" ref="A61:H63" headerRowCount="0" totalsRowShown="0" headerRowDxfId="3993" dataDxfId="3992">
  <tableColumns count="8">
    <tableColumn id="1" xr3:uid="{B25F6A8C-0B19-4B3B-A4EA-CEFBF3D708CE}" name="Февраль 2015" headerRowDxfId="3991" dataDxfId="3990" dataCellStyle="Название"/>
    <tableColumn id="2" xr3:uid="{46A998C4-058B-4184-AD9A-AA8BB74D5A70}" name="Столбец1" headerRowDxfId="3989" dataDxfId="3988"/>
    <tableColumn id="3" xr3:uid="{FC5D8EC5-9C3D-4150-8B8C-14C194BE78C5}" name="Столбец2" headerRowDxfId="3987" dataDxfId="3986"/>
    <tableColumn id="4" xr3:uid="{EDCC50C5-3852-4EAB-A6B6-84936660F292}" name="Столбец3" headerRowDxfId="3985" dataDxfId="3984"/>
    <tableColumn id="5" xr3:uid="{CCDC1F07-B1D9-4DAA-88AC-AB5067AF569C}" name="Столбец4" headerRowDxfId="3983" dataDxfId="3982"/>
    <tableColumn id="6" xr3:uid="{846A326B-31B1-49CD-80E7-E4EC0CD00A4E}" name="Столбец5" headerRowDxfId="3981" dataDxfId="3980"/>
    <tableColumn id="7" xr3:uid="{08736DDD-0E2E-4DF3-AD96-E6A012440751}" name="Столбец6" headerRowDxfId="3979" dataDxfId="3978"/>
    <tableColumn id="8" xr3:uid="{6A776187-3A5C-4039-B5C6-3B6297B083FC}" name="Столбец7" headerRowDxfId="3977" dataDxfId="3976"/>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DE53A8D-0A82-4B7A-AED9-FDD825F1A3C4}" name="Таблица15294255698397111116130142154166186183450668298114130146162178213753698510111713314956057659260461863264866468069671373030" displayName="Таблица15294255698397111116130142154166186183450668298114130146162178213753698510111713314956057659260461863264866468069671373030" ref="A87:G89" totalsRowShown="0" headerRowDxfId="3975" dataDxfId="3974" tableBorderDxfId="3973">
  <autoFilter ref="A87:G89" xr:uid="{BD66A881-30D1-4979-8390-5888D14E5877}"/>
  <tableColumns count="7">
    <tableColumn id="1" xr3:uid="{84A62E47-0009-408E-96C7-BB737D08556E}" name="Дата" dataDxfId="3972"/>
    <tableColumn id="2" xr3:uid="{30D2A408-4495-4A67-9ECA-970838EB3C40}" name="Клиент" dataDxfId="3971"/>
    <tableColumn id="3" xr3:uid="{9AB6A52A-F57C-4126-BA6F-AFE4DB66BC01}" name="Менеджер" dataDxfId="3970" dataCellStyle="Обычный 2"/>
    <tableColumn id="4" xr3:uid="{74E1331B-EECC-4BA1-9BDC-E3B516475E0A}" name="Контакт в 1С" dataDxfId="3969"/>
    <tableColumn id="5" xr3:uid="{863A149D-FA60-4171-8412-3975A56216CF}" name="№ сделки" dataDxfId="3968"/>
    <tableColumn id="6" xr3:uid="{7C6C3F32-2E48-418D-9CF3-7D899CC4B6AC}" name="Цель" dataDxfId="3967"/>
    <tableColumn id="7" xr3:uid="{6020DBF7-C6E3-414D-B97F-7836422D2E13}" name="Результат" dataDxfId="3966"/>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A82615E-5068-4594-A368-97545F90BA13}" name="Таблица49369971673331" displayName="Таблица49369971673331" ref="A21:D33" totalsRowShown="0" headerRowDxfId="3965" headerRowBorderDxfId="3964" tableBorderDxfId="3963" totalsRowBorderDxfId="3962">
  <autoFilter ref="A21:D33" xr:uid="{8999CE3E-52FF-4AF3-AA18-1DA9A764C519}"/>
  <tableColumns count="4">
    <tableColumn id="1" xr3:uid="{C05CC4A2-494D-4090-9D18-D623AB564ED1}" name="Месяц" dataDxfId="3961"/>
    <tableColumn id="2" xr3:uid="{DE5C9315-9322-4270-9050-76B5E7D93710}" name="Профит" dataDxfId="3960"/>
    <tableColumn id="3" xr3:uid="{7C17B15C-D4CE-4D13-8E60-4E2555347A57}" name="План" dataDxfId="3959"/>
    <tableColumn id="4" xr3:uid="{6D77C602-9437-4FA5-9387-4C60B201BA9D}" name="Выполнение" dataDxfId="3958"/>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BB9FE9B-485C-4B65-9679-2D68249CCBE2}" name="Таблица110291630374451586572233037445158657279869310092235486276901041071271391511631831529476379951111271431591751834506682981141301465455615775896056196356516676837007171632" displayName="Таблица110291630374451586572233037445158657279869310092235486276901041071271391511631831529476379951111271431591751834506682981141301465455615775896056196356516676837007171632" ref="A6:F7" totalsRowShown="0" headerRowDxfId="3957" dataDxfId="3956">
  <tableColumns count="6">
    <tableColumn id="1" xr3:uid="{A6502FAC-DFB2-4F5B-9FE9-BE3BE4DBD73A}" name="Менеджер" dataDxfId="3955"/>
    <tableColumn id="2" xr3:uid="{2FD2FFFB-DFFC-48E1-B09B-9ABAD1B38E1C}" name="План, руб." dataDxfId="3954"/>
    <tableColumn id="3" xr3:uid="{94CCDAD6-5E2D-405D-8DDD-BB9CDA5D0365}" name="Факт, руб." dataDxfId="3953"/>
    <tableColumn id="4" xr3:uid="{66605A85-1AE4-466F-8467-40B7D322093F}" name="Отклонение, %" dataDxfId="3952" dataCellStyle="Процентный">
      <calculatedColumnFormula>Таблица110291630374451586572233037445158657279869310092235486276901041071271391511631831529476379951111271431591751834506682981141301465455615775896056196356516676837007171632[Факт, руб.]/Таблица110291630374451586572233037445158657279869310092235486276901041071271391511631831529476379951111271431591751834506682981141301465455615775896056196356516676837007171632[План, руб.]-100%</calculatedColumnFormula>
    </tableColumn>
    <tableColumn id="7" xr3:uid="{4FAC901F-272A-4DDC-B7A0-9CC21BEC40EB}" name="Отклонение, РУБ" dataDxfId="3951" dataCellStyle="Процентный">
      <calculatedColumnFormula>Таблица110291630374451586572233037445158657279869310092235486276901041071271391511631831529476379951111271431591751834506682981141301465455615775896056196356516676837007171632[Факт, руб.]-Таблица110291630374451586572233037445158657279869310092235486276901041071271391511631831529476379951111271431591751834506682981141301465455615775896056196356516676837007171632[План, руб.]</calculatedColumnFormula>
    </tableColumn>
    <tableColumn id="5" xr3:uid="{1F13075D-28E2-4965-86DB-70CDFAF27FBE}" name="Предыд месяц" dataDxfId="3950" dataCellStyle="Процентный">
      <calculatedColumnFormula>B30</calculatedColumnFormula>
    </tableColumn>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B23B786-A489-4E22-8CF4-7AB5F940B906}" name="Таблица2113017313845525966732431384552596673808794101102336496377911051091281401521641841632486480961121281441601761935516783991151311475465625785906066206366526686847017181733" displayName="Таблица2113017313845525966732431384552596673808794101102336496377911051091281401521641841632486480961121281441601761935516783991151311475465625785906066206366526686847017181733" ref="A16:E17" totalsRowShown="0" headerRowDxfId="3949" dataDxfId="3948">
  <tableColumns count="5">
    <tableColumn id="1" xr3:uid="{213F4C9D-5138-41BC-8B19-BBF4CCAD3971}" name="Менеджер" dataDxfId="3947"/>
    <tableColumn id="2" xr3:uid="{5C113FA9-D033-4C27-9FF3-AB5A39ECAE52}" name="Профит ФГ 22-23" dataDxfId="3946"/>
    <tableColumn id="3" xr3:uid="{72B5FAC8-E312-4B05-A38C-495303972ACE}" name="Профит ФГ 23-24" dataDxfId="3945"/>
    <tableColumn id="4" xr3:uid="{99D214D6-6730-4C09-A5F5-5FB431042386}" name="Профит ФГ 24-25" dataDxfId="3944" dataCellStyle="Процентный">
      <calculatedColumnFormula>B34</calculatedColumnFormula>
    </tableColumn>
    <tableColumn id="5" xr3:uid="{66A214A3-459E-4053-A895-3C7E8DCC542A}" name="Рост накопительно, % " dataDxfId="3943">
      <calculatedColumnFormula>Таблица2113017313845525966732431384552596673808794101102336496377911051091281401521641841632486480961121281441601761935516783991151311475465625785906066206366526686847017181733[Профит ФГ 24-25]/Таблица2113017313845525966732431384552596673808794101102336496377911051091281401521641841632486480961121281441601761935516783991151311475465625785906066206366526686847017181733[Профит ФГ 23-24]</calculatedColumnFormula>
    </tableColumn>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6C22356-E035-4245-B6FE-5F3F5C49BEDE}" name="Таблица5462433183239465360677425323946536067748188951021124375064789210611012914115316518517334965819711312914516117720365268841001161321485475635795936076216376536696857027191934" displayName="Таблица5462433183239465360677425323946536067748188951021124375064789210611012914115316518517334965819711312914516117720365268841001161321485475635795936076216376536696857027191934" ref="A45:D49" totalsRowShown="0" headerRowDxfId="3942" dataDxfId="3941">
  <autoFilter ref="A45:D49" xr:uid="{3EADDA2E-FD58-4130-8A1C-8C20137591BB}"/>
  <tableColumns count="4">
    <tableColumn id="2" xr3:uid="{A7DB2987-E363-45E3-B3EF-FFB4BFF699D4}" name="Холдинг" dataDxfId="3940"/>
    <tableColumn id="3" xr3:uid="{359FBAF9-442B-4920-8C27-14CCE96D18C7}" name="Сумма просроченного долга" dataDxfId="3939" dataCellStyle="Денежный"/>
    <tableColumn id="4" xr3:uid="{071AD805-2391-4FD4-A334-00742564A99E}" name="Общая сумма долга" dataDxfId="3938" dataCellStyle="Денежный"/>
    <tableColumn id="5" xr3:uid="{DCA23C0E-DA20-4F0F-9FF0-751E10184A47}" name="% просрочки" dataDxfId="3937" dataCellStyle="Процентный"/>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B331761-9633-4306-AC5B-EA21FC4F3123}" name="Таблица1730435670849811211713114315516718719355167839911513114716317922385470861021181341505485645805946086226386546706867037202035" displayName="Таблица1730435670849811211713114315516718719355167839911513114716317922385470861021181341505485645805946086226386546706867037202035" ref="A95:G131" totalsRowShown="0" headerRowDxfId="3936" dataDxfId="3935" tableBorderDxfId="3934">
  <autoFilter ref="A95:G131" xr:uid="{5F2E2A5D-7666-4FD4-A50A-70ADD98392B4}"/>
  <sortState xmlns:xlrd2="http://schemas.microsoft.com/office/spreadsheetml/2017/richdata2" ref="A96:E131">
    <sortCondition ref="A95:A131"/>
  </sortState>
  <tableColumns count="7">
    <tableColumn id="1" xr3:uid="{63B03081-34E8-4A52-8902-78D33275E99B}" name="Дата" dataDxfId="3933"/>
    <tableColumn id="2" xr3:uid="{F7296F08-F9A8-4202-908C-7AA86504536F}" name="Клиент" dataDxfId="3932"/>
    <tableColumn id="3" xr3:uid="{B5D097AF-F4FD-42E7-92E4-59702C0DA968}" name="Менеджер" dataDxfId="3931" dataCellStyle="Обычный 2"/>
    <tableColumn id="4" xr3:uid="{1F030673-72FE-437F-A979-387BCBA9587C}" name="Контакт в 1С" dataDxfId="3930"/>
    <tableColumn id="5" xr3:uid="{1F890EB2-F386-4C3B-90AF-B90D23D80800}" name="№ сделки" dataDxfId="3929"/>
    <tableColumn id="6" xr3:uid="{E6746F83-5BE1-4981-A52D-442E56C26757}" name="Цель" dataDxfId="3928"/>
    <tableColumn id="7" xr3:uid="{6C55A742-4C4F-4848-BA74-439C99D12E73}" name="Результат" dataDxfId="3927"/>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190A4A-8260-4402-83EC-80D8BB1C9F53}" name="Таблица19314457718599113120132144156168188203652688410011613214816418023395571871031191351515495655815956096236396556716877047212136" displayName="Таблица19314457718599113120132144156168188203652688410011613214816418023395571871031191351515495655815956096236396556716877047212136" ref="A134:G137" totalsRowShown="0" headerRowDxfId="3926" dataDxfId="3925" tableBorderDxfId="3924">
  <autoFilter ref="A134:G137" xr:uid="{CC17A23E-B8E4-4CBF-BC3B-16FF0249D515}"/>
  <tableColumns count="7">
    <tableColumn id="1" xr3:uid="{03CF774B-2CEE-40B2-92CE-6FD13F89930A}" name="Цель" dataDxfId="3923" dataCellStyle="Обычный 2"/>
    <tableColumn id="2" xr3:uid="{58A68674-E5AE-4BBA-8F2F-8108F1BE3C0A}" name="Необходимый результат" dataDxfId="3922" dataCellStyle="Обычный 2"/>
    <tableColumn id="3" xr3:uid="{6165590F-5C6A-440E-95D2-7CA962A52308}" name="Выполнено да/нет" dataDxfId="3921" dataCellStyle="Обычный"/>
    <tableColumn id="4" xr3:uid="{17AC34A5-8C09-42BD-8BC2-20A99A15D4D9}" name="Комментарий по выполненной задаче" dataDxfId="3920" dataCellStyle="Обычный 2"/>
    <tableColumn id="5" xr3:uid="{BB5D1CD9-A012-47A3-8590-9F62C6E26221}" name="Мотивация" dataDxfId="3919"/>
    <tableColumn id="6" xr3:uid="{96C038E7-4612-422E-B269-DCF6C78DB64B}" name="Менеджер" dataDxfId="3918"/>
    <tableColumn id="7" xr3:uid="{08F10BF1-43A3-4ABF-BB1E-D3744E99A25E}" name="К оплате" dataDxfId="3917"/>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89E6A748-8F0E-49A8-8F09-5846E8EDF197}" name="Таблица203245587286100114121133145157169189213753698510111713314916518124405672881041201361525505665825966106246406566726887057222237" displayName="Таблица203245587286100114121133145157169189213753698510111713314916518124405672881041201361525505665825966106246406566726887057222237" ref="A141:G143" totalsRowShown="0" headerRowDxfId="3916" dataDxfId="3915" tableBorderDxfId="3914">
  <autoFilter ref="A141:G143" xr:uid="{16803243-7F25-4AF5-AE4A-7C5E11F25A09}"/>
  <tableColumns count="7">
    <tableColumn id="1" xr3:uid="{027371B8-0FE6-437A-B915-B744F95BE36E}" name="Цель" dataDxfId="3913"/>
    <tableColumn id="2" xr3:uid="{3BCEDC4D-5D79-4F4F-82EF-026DD615900F}" name="Необходимый результат" dataDxfId="3912"/>
    <tableColumn id="3" xr3:uid="{A208096F-F678-4311-B4F6-6257552E8C14}" name="Выполнено да/нет" dataDxfId="3911"/>
    <tableColumn id="4" xr3:uid="{D724804E-E78C-4066-AE01-74F8CF6C0B7A}" name="Комментарий по выполненной задаче" dataDxfId="3910"/>
    <tableColumn id="5" xr3:uid="{E3AEF13F-B187-4DB3-AE2D-1B6B39090CB4}" name="Мотивация" dataDxfId="3909"/>
    <tableColumn id="6" xr3:uid="{5B8BAF5D-73D4-49AB-8AB1-AA2AF95925E1}" name="Менеджер" dataDxfId="3908"/>
    <tableColumn id="7" xr3:uid="{6B43F646-FA09-4491-84D3-612B8B300252}" name="К оплате" dataDxfId="3907"/>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C5A3CF7-7D20-4F38-B422-6A718EDDECD9}" name="Таблица163346597387101115122134146158170190223854708610211813415016618225415773891051211371535515675835976116256416576736897067232338" displayName="Таблица163346597387101115122134146158170190223854708610211813415016618225415773891051211371535515675835976116256416576736897067232338" ref="A55:F58" totalsRowCount="1" headerRowDxfId="3906" dataDxfId="3905" totalsRowDxfId="3903" tableBorderDxfId="3904" totalsRowBorderDxfId="3902">
  <autoFilter ref="A55:F57" xr:uid="{9246B9BD-73A5-4351-9AA2-07EE59ED4E9D}"/>
  <sortState xmlns:xlrd2="http://schemas.microsoft.com/office/spreadsheetml/2017/richdata2" ref="A56:F56">
    <sortCondition descending="1" ref="B55:B56"/>
  </sortState>
  <tableColumns count="6">
    <tableColumn id="1" xr3:uid="{51434D97-02E3-4F42-839B-0233CA554808}" name="Клиент" dataDxfId="3901" totalsRowDxfId="3900"/>
    <tableColumn id="2" xr3:uid="{EDEFEE7D-8E21-4174-95FC-690D29C0A11A}" name="Оборот" totalsRowFunction="custom" dataDxfId="3899" totalsRowDxfId="3898">
      <totalsRowFormula>SUM(Таблица163346597387101115122134146158170190223854708610211813415016618225415773891051211371535515675835976116256416576736897067232338[Оборот])</totalsRowFormula>
    </tableColumn>
    <tableColumn id="3" xr3:uid="{DDEDCFD1-5EC5-4CB9-A0C8-A1A4E9543308}" name="Профит " totalsRowFunction="custom" dataDxfId="3897" totalsRowDxfId="3896">
      <totalsRowFormula>SUM(C56:C57)</totalsRowFormula>
    </tableColumn>
    <tableColumn id="4" xr3:uid="{C818986E-0927-4877-AE19-AE5A798E5D40}" name="%" totalsRowFunction="custom" dataDxfId="3895" totalsRowDxfId="3894">
      <totalsRowFormula>Таблица163346597387101115122134146158170190223854708610211813415016618225415773891051211371535515675835976116256416576736897067232338[[#Totals],[Профит ]]/Таблица163346597387101115122134146158170190223854708610211813415016618225415773891051211371535515675835976116256416576736897067232338[[#Totals],[Оборот]]</totalsRowFormula>
    </tableColumn>
    <tableColumn id="5" xr3:uid="{B65084DB-5F70-4A27-8749-792BD85F78D0}" name="Менеджер" dataDxfId="3893" totalsRowDxfId="3892"/>
    <tableColumn id="6" xr3:uid="{8A1028D8-B43C-4B2A-864A-B29946B8B38E}" name="Комментарий" dataDxfId="3891" totalsRowDxfId="3890" dataCellStyle="Финансовый"/>
  </tableColumns>
  <tableStyleInfo name="TableStyleLight9"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7321949-6B5F-4698-96E5-51E7A49BD9AB}" name="Таблица4211720344148556269768390978390111118125132139146153160167174181188195613202734414855626976839097104111118125132139146153160167175183198206214123135147159171191233955718710311913515116718326425874901061221381545525685845986126266426586746907077239" displayName="Таблица4211720344148556269768390978390111118125132139146153160167174181188195613202734414855626976839097104111118125132139146153160167175183198206214123135147159171191233955718710311913515116718326425874901061221381545525685845986126266426586746907077239" ref="A70:H73" totalsRowShown="0" headerRowDxfId="3889" dataDxfId="3888">
  <autoFilter ref="A70:H73" xr:uid="{4ACBF2F4-2982-4E59-8F46-ECCA5C6BC7F5}"/>
  <sortState xmlns:xlrd2="http://schemas.microsoft.com/office/spreadsheetml/2017/richdata2" ref="A71:H73">
    <sortCondition descending="1" ref="G70:G73"/>
  </sortState>
  <tableColumns count="8">
    <tableColumn id="1" xr3:uid="{427A3BFC-39C4-448D-AA14-68D81506A25B}" name="Номер" dataDxfId="3887" dataCellStyle="Обычный 2"/>
    <tableColumn id="3" xr3:uid="{A0C38EB5-565E-4D35-B9FA-E0E826C65D9E}" name="Клиент" dataDxfId="3886" dataCellStyle="Обычный 2"/>
    <tableColumn id="4" xr3:uid="{BD9CEE1F-A731-494D-9E65-EBCD095181F9}" name="Менеджер" dataDxfId="3885" dataCellStyle="Обычный 2"/>
    <tableColumn id="5" xr3:uid="{5BD9E569-488B-4DB6-92A2-8585F6A83C53}" name="Проект" dataDxfId="3884" dataCellStyle="Обычный 2"/>
    <tableColumn id="6" xr3:uid="{BED3088F-1D9B-4A04-9B54-A3EEEA29A028}" name="Краткое описание проекта" dataDxfId="3883" dataCellStyle="Обычный 2"/>
    <tableColumn id="7" xr3:uid="{D0D8CDF7-66E6-4149-BACC-522E598AA524}" name="Дата завершения сделки" dataDxfId="3882" dataCellStyle="Обычный 2"/>
    <tableColumn id="8" xr3:uid="{1080F45F-529C-49AE-BBF4-2E5158A2D1DC}" name="Сумма, тыс. руб." dataDxfId="3881" dataCellStyle="Обычный"/>
    <tableColumn id="2" xr3:uid="{5F623AD4-469A-40EA-9E46-66D56C537D62}" name="Статус" dataDxfId="3880"/>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F170B44D-FDB9-44BB-BBE3-CF16389B4EDE}" name="Таблица9132738193340475461687582899682891101171241311381451521591661731801871945121926334047546168758289961031101171241311381451521591661741821902052131191251371491611731932541567288104120136152168184274359759110712313915555356958559961362764365967569740" displayName="Таблица9132738193340475461687582899682891101171241311381451521591661731801871945121926334047546168758289961031101171241311381451521591661741821902052131191251371491611731932541567288104120136152168184274359759110712313915555356958559961362764365967569740" ref="A64:H65" headerRowCount="0" totalsRowShown="0" headerRowDxfId="3879" dataDxfId="3878">
  <tableColumns count="8">
    <tableColumn id="1" xr3:uid="{BF34FC80-43F1-4774-AD28-71F6D5F35E98}" name="Февраль 2015" headerRowDxfId="3877" dataDxfId="3876" dataCellStyle="Название"/>
    <tableColumn id="2" xr3:uid="{AAE690C6-5CD9-4A76-9817-361FF44B7208}" name="Столбец1" headerRowDxfId="3875" dataDxfId="3874"/>
    <tableColumn id="3" xr3:uid="{A288CD0C-6FA1-4BD4-B8E3-46F5672398E4}" name="Столбец2" headerRowDxfId="3873" dataDxfId="3872"/>
    <tableColumn id="4" xr3:uid="{90E73303-E987-415E-912F-A78283F715FC}" name="Столбец3" headerRowDxfId="3871" dataDxfId="3870"/>
    <tableColumn id="5" xr3:uid="{F6132C61-CB14-41F9-9361-59E3F9C5C7AC}" name="Столбец4" headerRowDxfId="3869" dataDxfId="3868"/>
    <tableColumn id="6" xr3:uid="{5899EB93-7301-4413-A752-C0D4E0F41EA9}" name="Столбец5" headerRowDxfId="3867" dataDxfId="3866"/>
    <tableColumn id="7" xr3:uid="{DA7B5506-BDC3-48B0-9DB0-B8C7723AF8EB}" name="Столбец6" headerRowDxfId="3865" dataDxfId="3864"/>
    <tableColumn id="8" xr3:uid="{D1DA6E34-98F7-44E3-984B-AC68666CD9D7}" name="Столбец7" headerRowDxfId="3863" dataDxfId="3862"/>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F8FC7E8E-64EB-4E56-A82E-BA8FBE3B383A}" name="Таблица125138150162174194264257738910512113715316918528446076921081241401565545705866006146286446606766927097262641" displayName="Таблица125138150162174194264257738910512113715316918528446076921081241401565545705866006146286446606766927097262641" ref="A77:H83" totalsRowShown="0" headerRowDxfId="3861" dataDxfId="3860">
  <autoFilter ref="A77:H83" xr:uid="{0F3DFAA2-5FF8-417D-8496-A5C766071E19}"/>
  <sortState xmlns:xlrd2="http://schemas.microsoft.com/office/spreadsheetml/2017/richdata2" ref="A78:H83">
    <sortCondition descending="1" ref="G77:G83"/>
  </sortState>
  <tableColumns count="8">
    <tableColumn id="1" xr3:uid="{471870BF-E3B1-4FB3-8194-7C04A070889A}" name="Номер" dataDxfId="3859"/>
    <tableColumn id="2" xr3:uid="{70B2CF9E-FB5A-43A8-8103-F44BA45CE1BD}" name="Клиент" dataDxfId="3858"/>
    <tableColumn id="3" xr3:uid="{CAA3C5F6-79F1-4DC5-9BBF-BBFFFA5E75C2}" name="Менеджер" dataDxfId="3857" dataCellStyle="Обычный 2"/>
    <tableColumn id="4" xr3:uid="{15008F28-0B34-4807-AFD9-B3FBAF2ED708}" name="Проект" dataDxfId="3856"/>
    <tableColumn id="5" xr3:uid="{E80D230A-CEBC-47D6-B677-EC5B958917B3}" name="Краткое описание проекта" dataDxfId="3855"/>
    <tableColumn id="6" xr3:uid="{11ECEE48-EADA-4744-9290-1FB400909371}" name="Дата завершения сделки" dataDxfId="3854"/>
    <tableColumn id="7" xr3:uid="{3ED0B198-D4BF-45EE-B570-0CD3DE6E30C5}" name="Сумма" dataDxfId="3853"/>
    <tableColumn id="8" xr3:uid="{29E35202-2EDA-4256-A44B-059EBEBBF656}" name="Статус" dataDxfId="3852"/>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B37F862-D314-48CD-81AD-C5446BEDE07C}" name="Таблица175195274358749010612213815417018629456177931091251411575555715876016156296456616776937107272742" displayName="Таблица175195274358749010612213815417018629456177931091251411575555715876016156296456616776937107272742" ref="A11:E12" totalsRowShown="0" headerRowDxfId="3851" dataDxfId="3850" tableBorderDxfId="3849">
  <tableColumns count="5">
    <tableColumn id="1" xr3:uid="{0A03F24A-7661-4B47-B0CF-D58A1ABD1A64}" name="Менеджер" dataDxfId="3848"/>
    <tableColumn id="2" xr3:uid="{A2059F7A-7D8B-4C5A-80C2-6EA96C4E78F6}" name="План с НАЧАЛА ФГ, руб." dataDxfId="3847">
      <calculatedColumnFormula>SUM(C22:C31)</calculatedColumnFormula>
    </tableColumn>
    <tableColumn id="3" xr3:uid="{22164D3B-D42E-43A2-BF5E-DFFC01A5A64D}" name="Факт с НАЧАЛА ФГ, руб." dataDxfId="3846">
      <calculatedColumnFormula>B34</calculatedColumnFormula>
    </tableColumn>
    <tableColumn id="4" xr3:uid="{E37ED127-13A7-4294-A44F-A9F1BD26805E}" name="Отклонение, %" dataDxfId="3845">
      <calculatedColumnFormula>C12/B12-100%</calculatedColumnFormula>
    </tableColumn>
    <tableColumn id="5" xr3:uid="{EA2C5943-1196-4B47-8BDD-7F31018843E4}" name="Отклонение, РУБ" dataDxfId="3844">
      <calculatedColumnFormula>C12-B12</calculatedColumnFormula>
    </tableColumn>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2A320F9-3675-4953-9763-40698164AC8A}" name="Таблица294459759110712313915517118730466278941101261421585565725886026166306466626786947117282843" displayName="Таблица294459759110712313915517118730466278941101261421585565725886026166306466626786947117282843" ref="A39:E40" totalsRowShown="0" headerRowDxfId="3843" dataDxfId="3842">
  <autoFilter ref="A39:E40" xr:uid="{A123EA08-D8D4-4987-8146-FF08418E565C}"/>
  <tableColumns count="5">
    <tableColumn id="2" xr3:uid="{303CBF8E-CEAE-4929-8CB8-946DCDAA20CA}" name="Факт" dataDxfId="3841">
      <calculatedColumnFormula>B31</calculatedColumnFormula>
    </tableColumn>
    <tableColumn id="9" xr3:uid="{77A7E06B-2157-4973-8E60-0618BD3A0BF3}" name="Оклад" dataDxfId="3840" dataCellStyle="Процентный">
      <calculatedColumnFormula>50000</calculatedColumnFormula>
    </tableColumn>
    <tableColumn id="4" xr3:uid="{97F4AE10-93D4-4778-9A65-8F3C2F47DD84}" name="Премия" dataDxfId="3839">
      <calculatedColumnFormula>A40*0.06</calculatedColumnFormula>
    </tableColumn>
    <tableColumn id="7" xr3:uid="{26921E44-CBF1-4596-BA5A-03864DB2DBCF}" name="Доплата за Задачи" dataDxfId="3838">
      <calculatedColumnFormula>SUM(G135:G137)</calculatedColumnFormula>
    </tableColumn>
    <tableColumn id="6" xr3:uid="{87C6D0B4-9D5C-4E78-8A30-2F2FC2E5C2FE}" name="Штрафы" dataDxfId="3837"/>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EE7F229-20FD-4B4A-A10C-495BEF176BDA}" name="Таблица9132738193340475461687582899682891101171241311381451521591661731801871945121926334047546168758289961031101171241311381451521591661741821902052131241361481601721922440627894110126142158174190334965819711312914516155957559160361763164766367969571744" displayName="Таблица9132738193340475461687582899682891101171241311381451521591661731801871945121926334047546168758289961031101171241311381451521591661741821902052131241361481601721922440627894110126142158174190334965819711312914516155957559160361763164766367969571744" ref="A61:H63" headerRowCount="0" totalsRowShown="0" headerRowDxfId="3836" dataDxfId="3835">
  <tableColumns count="8">
    <tableColumn id="1" xr3:uid="{D25EE232-6946-4CC0-A9B1-68746304EFDB}" name="Февраль 2015" headerRowDxfId="3834" dataDxfId="3833" dataCellStyle="Название"/>
    <tableColumn id="2" xr3:uid="{4EF5390B-0A3E-469A-B00A-D3D55774482A}" name="Столбец1" headerRowDxfId="3832" dataDxfId="3831"/>
    <tableColumn id="3" xr3:uid="{660D8D93-2AF7-4518-BEB5-BD8081276548}" name="Столбец2" headerRowDxfId="3830" dataDxfId="3829"/>
    <tableColumn id="4" xr3:uid="{8D9960F0-9A54-4CE3-8845-37F647DCBE79}" name="Столбец3" headerRowDxfId="3828" dataDxfId="3827"/>
    <tableColumn id="5" xr3:uid="{67585B86-B3FD-4B82-8FF8-197651769DE8}" name="Столбец4" headerRowDxfId="3826" dataDxfId="3825"/>
    <tableColumn id="6" xr3:uid="{31DD4D8C-4F6A-46D5-9BCE-C51783C6E262}" name="Столбец5" headerRowDxfId="3824" dataDxfId="3823"/>
    <tableColumn id="7" xr3:uid="{8921CE6F-54BC-42BE-B559-F05CC7D6F6C9}" name="Столбец6" headerRowDxfId="3822" dataDxfId="3821"/>
    <tableColumn id="8" xr3:uid="{3C8BEC11-7BD9-4BDD-B8A7-489C9095D16F}" name="Столбец7" headerRowDxfId="3820" dataDxfId="38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B1ABCF38-BC11-4FE6-9718-9EF133C7E1A1}" name="Таблица1529425569839711111613014215416618618345066829811413014616217821375369851011171331495605765926046186326486646806967137303045" displayName="Таблица1529425569839711111613014215416618618345066829811413014616217821375369851011171331495605765926046186326486646806967137303045" ref="A88:G91" totalsRowShown="0" headerRowDxfId="3818" dataDxfId="3817" tableBorderDxfId="3816">
  <autoFilter ref="A88:G91" xr:uid="{BD66A881-30D1-4979-8390-5888D14E5877}"/>
  <tableColumns count="7">
    <tableColumn id="1" xr3:uid="{6F59DD75-885D-4219-9DD1-1C988D214555}" name="Дата" dataDxfId="3815"/>
    <tableColumn id="2" xr3:uid="{83BCC87C-2F2C-4340-BD46-8473AD775937}" name="Клиент" dataDxfId="3814"/>
    <tableColumn id="3" xr3:uid="{27930E83-51A0-4C52-830E-ACAF77E1B58D}" name="Менеджер" dataDxfId="3813" dataCellStyle="Обычный 2"/>
    <tableColumn id="4" xr3:uid="{566B2439-9564-4AA9-98A2-B33930A96A77}" name="Контакт в 1С" dataDxfId="3812"/>
    <tableColumn id="5" xr3:uid="{5FE796BB-F703-49E3-99AD-18F5435B9C74}" name="№ сделки" dataDxfId="3811"/>
    <tableColumn id="6" xr3:uid="{692E3048-0517-460D-B006-A71F4DB091D5}" name="Цель" dataDxfId="3810"/>
    <tableColumn id="7" xr3:uid="{C80A3F53-E971-431E-9FDB-486849A8AA59}" name="Результат" dataDxfId="3809"/>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2989F4F9-C39E-4631-9A1F-19FDA915DDBB}" name="Таблица4936997167333146" displayName="Таблица4936997167333146" ref="A21:D33" totalsRowShown="0" headerRowDxfId="3808" headerRowBorderDxfId="3807" tableBorderDxfId="3806" totalsRowBorderDxfId="3805">
  <autoFilter ref="A21:D33" xr:uid="{8999CE3E-52FF-4AF3-AA18-1DA9A764C519}"/>
  <tableColumns count="4">
    <tableColumn id="1" xr3:uid="{74EF8B89-9CDA-4A87-ACBF-25BF59483DDB}" name="Месяц" dataDxfId="3804"/>
    <tableColumn id="2" xr3:uid="{B898FCAD-BDAC-4BE0-91C0-C88C58D58674}" name="Профит" dataDxfId="3803"/>
    <tableColumn id="3" xr3:uid="{1558E0A0-4F6A-41C9-ABCC-4F85411F8F39}" name="План" dataDxfId="3802"/>
    <tableColumn id="4" xr3:uid="{5654A2A9-846F-4E92-97E0-27EF16BC0092}" name="Выполнение" dataDxfId="3801"/>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1BA9B0F3-0E2D-4EB5-A9F1-49C581A5A14E}" name="Таблица11029163037445158657223303744515865727986931009223548627690104107127139151163183152947637995111127143159175183450668298114130146545561577589605619635651667683700717163247" displayName="Таблица11029163037445158657223303744515865727986931009223548627690104107127139151163183152947637995111127143159175183450668298114130146545561577589605619635651667683700717163247" ref="A6:F7" totalsRowShown="0" headerRowDxfId="3800" dataDxfId="3799">
  <tableColumns count="6">
    <tableColumn id="1" xr3:uid="{8E75CA0A-F0A3-4C47-8469-0AF9CEBF2FBC}" name="Менеджер" dataDxfId="3798"/>
    <tableColumn id="2" xr3:uid="{F285237E-F6A1-4534-8659-1211AA79B460}" name="План, руб." dataDxfId="3797"/>
    <tableColumn id="3" xr3:uid="{57EB1388-E2F7-4359-B04C-0B094466ECEA}" name="Факт, руб." dataDxfId="3796"/>
    <tableColumn id="4" xr3:uid="{646CE638-6EC5-4507-8606-CED6A8EAC41A}" name="Отклонение, %" dataDxfId="3795" dataCellStyle="Процентный">
      <calculatedColumnFormula>Таблица11029163037445158657223303744515865727986931009223548627690104107127139151163183152947637995111127143159175183450668298114130146545561577589605619635651667683700717163247[Факт, руб.]/Таблица11029163037445158657223303744515865727986931009223548627690104107127139151163183152947637995111127143159175183450668298114130146545561577589605619635651667683700717163247[План, руб.]-100%</calculatedColumnFormula>
    </tableColumn>
    <tableColumn id="7" xr3:uid="{4CD089AD-021F-48E6-ACAC-A5E38188788D}" name="Отклонение, РУБ" dataDxfId="3794" dataCellStyle="Процентный">
      <calculatedColumnFormula>Таблица11029163037445158657223303744515865727986931009223548627690104107127139151163183152947637995111127143159175183450668298114130146545561577589605619635651667683700717163247[Факт, руб.]-Таблица11029163037445158657223303744515865727986931009223548627690104107127139151163183152947637995111127143159175183450668298114130146545561577589605619635651667683700717163247[План, руб.]</calculatedColumnFormula>
    </tableColumn>
    <tableColumn id="5" xr3:uid="{092D04B5-9D6F-4084-865A-FD4409798A31}" name="Предыд месяц" dataDxfId="3793" dataCellStyle="Процентный">
      <calculatedColumnFormula>B31</calculatedColumnFormula>
    </tableColum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EE9BE99-0497-4A11-B7F5-69BC15DF90D7}" name="Таблица211301731384552596673243138455259667380879410110233649637791105109128140152164184163248648096112128144160176193551678399115131147546562578590606620636652668684701718173348" displayName="Таблица211301731384552596673243138455259667380879410110233649637791105109128140152164184163248648096112128144160176193551678399115131147546562578590606620636652668684701718173348" ref="A16:E17" totalsRowShown="0" headerRowDxfId="3792" dataDxfId="3791">
  <tableColumns count="5">
    <tableColumn id="1" xr3:uid="{D6A9DF8F-78BD-4EC6-80BA-AD2A3E06EE49}" name="Менеджер" dataDxfId="3790"/>
    <tableColumn id="2" xr3:uid="{207F3D97-26DD-4226-A9D5-721FCE677EF0}" name="Профит ФГ 22-23" dataDxfId="3789"/>
    <tableColumn id="3" xr3:uid="{1EFB1B6E-9BDB-4616-9C8F-C6BD6F73DFAA}" name="Профит ФГ 23-24" dataDxfId="3788"/>
    <tableColumn id="4" xr3:uid="{8C3D8DF3-48ED-4C1D-930C-881BBA9912A7}" name="Профит ФГ 24-25" dataDxfId="3787" dataCellStyle="Процентный">
      <calculatedColumnFormula>B34</calculatedColumnFormula>
    </tableColumn>
    <tableColumn id="5" xr3:uid="{5A7A83A2-7410-4DA0-B851-CE730A17DAF0}" name="Рост накопительно, % " dataDxfId="3786">
      <calculatedColumnFormula>Таблица211301731384552596673243138455259667380879410110233649637791105109128140152164184163248648096112128144160176193551678399115131147546562578590606620636652668684701718173348[Профит ФГ 24-25]/Таблица211301731384552596673243138455259667380879410110233649637791105109128140152164184163248648096112128144160176193551678399115131147546562578590606620636652668684701718173348[Профит ФГ 23-24]</calculatedColumnFormula>
    </tableColumn>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941187D2-F074-4E76-B0EA-15429B312DC4}" name="Таблица546243318323946536067742532394653606774818895102112437506478921061101291411531651851733496581971131291451611772036526884100116132148547563579593607621637653669685702719193449" displayName="Таблица546243318323946536067742532394653606774818895102112437506478921061101291411531651851733496581971131291451611772036526884100116132148547563579593607621637653669685702719193449" ref="A45:D49" totalsRowShown="0" headerRowDxfId="3785" dataDxfId="3784">
  <autoFilter ref="A45:D49" xr:uid="{3EADDA2E-FD58-4130-8A1C-8C20137591BB}"/>
  <tableColumns count="4">
    <tableColumn id="2" xr3:uid="{4E7EC58B-8D40-4345-8994-9962FA045EBF}" name="Холдинг" dataDxfId="3783"/>
    <tableColumn id="3" xr3:uid="{97E70AC4-8BD4-4FE4-A9E1-C39120F7EFF6}" name="Сумма просроченного долга" dataDxfId="3782" dataCellStyle="Денежный"/>
    <tableColumn id="4" xr3:uid="{7E85F35B-D672-4DE6-8953-0F10DCFB3C95}" name="Общая сумма долга" dataDxfId="3781" dataCellStyle="Денежный"/>
    <tableColumn id="5" xr3:uid="{1BEF2F52-EA3C-4148-A0E4-78D232F490D5}" name="% просрочки" dataDxfId="3780" dataCellStyle="Процентный"/>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5D9D8710-FCE6-4B99-8561-ABBD0DFA1FA9}" name="Таблица173043567084981121171311431551671871935516783991151311471631792238547086102118134150548564580594608622638654670686703720203550" displayName="Таблица173043567084981121171311431551671871935516783991151311471631792238547086102118134150548564580594608622638654670686703720203550" ref="A94:G179" totalsRowShown="0" headerRowDxfId="3779" dataDxfId="3778" tableBorderDxfId="3777">
  <autoFilter ref="A94:G179" xr:uid="{5F2E2A5D-7666-4FD4-A50A-70ADD98392B4}"/>
  <sortState xmlns:xlrd2="http://schemas.microsoft.com/office/spreadsheetml/2017/richdata2" ref="A95:E179">
    <sortCondition ref="A94:A179"/>
  </sortState>
  <tableColumns count="7">
    <tableColumn id="1" xr3:uid="{F44FC02B-AB97-4B2C-B82F-BC26D1948B8C}" name="Дата" dataDxfId="3776"/>
    <tableColumn id="2" xr3:uid="{0212C940-E5A0-4BFB-A297-E3E39CFE0E66}" name="Клиент" dataDxfId="3775"/>
    <tableColumn id="3" xr3:uid="{592D3077-DA9A-411B-9604-529FC1078F3F}" name="Менеджер" dataDxfId="3774" dataCellStyle="Обычный 2"/>
    <tableColumn id="4" xr3:uid="{69E2F5D0-0154-46E2-966B-0B0FA2FA8B6F}" name="Контакт в 1С" dataDxfId="3773"/>
    <tableColumn id="5" xr3:uid="{C763CCBD-B05A-4C17-AF13-6D0A3346F3D1}" name="№ сделки" dataDxfId="3772"/>
    <tableColumn id="6" xr3:uid="{1D43AE52-B67B-4525-AA2A-CA2B9D36FA6B}" name="Цель" dataDxfId="3771"/>
    <tableColumn id="7" xr3:uid="{2E0DC92E-B72A-4A3A-8D7E-3C65CFD13145}" name="Результат" dataDxfId="3770"/>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87171343-547F-400B-83F1-47056CBC344F}" name="Таблица1931445771859911312013214415616818820365268841001161321481641802339557187103119135151549565581595609623639655671687704721213651" displayName="Таблица1931445771859911312013214415616818820365268841001161321481641802339557187103119135151549565581595609623639655671687704721213651" ref="A184:G188" totalsRowShown="0" headerRowDxfId="3769" dataDxfId="3768" tableBorderDxfId="3767">
  <autoFilter ref="A184:G188" xr:uid="{CC17A23E-B8E4-4CBF-BC3B-16FF0249D515}"/>
  <tableColumns count="7">
    <tableColumn id="1" xr3:uid="{0402B883-EC37-4FA7-9814-1699D4F1651F}" name="Цель" dataDxfId="3766" dataCellStyle="Обычный 2"/>
    <tableColumn id="2" xr3:uid="{010D3620-62B4-44AB-96C5-47F0017C0CD7}" name="Необходимый результат" dataDxfId="3765" dataCellStyle="Обычный 2"/>
    <tableColumn id="3" xr3:uid="{D754C0E8-E829-4699-8859-49E4CC3EDA28}" name="Выполнено да/нет" dataDxfId="3764" dataCellStyle="Обычный"/>
    <tableColumn id="4" xr3:uid="{5109A0FB-8F42-49C9-A7AE-8F55E4D2EB90}" name="Комментарий по выполненной задаче" dataDxfId="3763" dataCellStyle="Обычный 2"/>
    <tableColumn id="5" xr3:uid="{57D25A7F-7487-4C43-B618-2F9C90FB8339}" name="Мотивация" dataDxfId="3762"/>
    <tableColumn id="6" xr3:uid="{EEAE5822-3B14-4C94-9378-AB10B975180F}" name="Менеджер" dataDxfId="3761"/>
    <tableColumn id="7" xr3:uid="{B73FA3DD-0C39-46DC-AB54-411BC9310F23}" name="К оплате" dataDxfId="3760"/>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79E9CAC-9F23-4D90-B812-01FB4C749B91}" name="Таблица20324558728610011412113314515716918921375369851011171331491651812440567288104120136152550566582596610624640656672688705722223752" displayName="Таблица20324558728610011412113314515716918921375369851011171331491651812440567288104120136152550566582596610624640656672688705722223752" ref="A192:G194" totalsRowShown="0" headerRowDxfId="3759" dataDxfId="3758" tableBorderDxfId="3757">
  <autoFilter ref="A192:G194" xr:uid="{16803243-7F25-4AF5-AE4A-7C5E11F25A09}"/>
  <tableColumns count="7">
    <tableColumn id="1" xr3:uid="{907C10EC-517B-4E80-B8E3-6F365E73234B}" name="Цель" dataDxfId="3756"/>
    <tableColumn id="2" xr3:uid="{591D0078-D791-47F0-8756-F54E57D00B74}" name="Необходимый результат" dataDxfId="3755"/>
    <tableColumn id="3" xr3:uid="{816E3867-E32E-4E48-A577-8E5F5A731EE2}" name="Выполнено да/нет" dataDxfId="3754"/>
    <tableColumn id="4" xr3:uid="{B1C4EF30-1BB9-41AE-90C6-7BE69AAD3D92}" name="Комментарий по выполненной задаче" dataDxfId="3753"/>
    <tableColumn id="5" xr3:uid="{57B41726-5C9F-43FA-87F6-DE58B3745F46}" name="Мотивация" dataDxfId="3752"/>
    <tableColumn id="6" xr3:uid="{0EADFB20-AE9A-45A6-85EB-2CF709DA78D0}" name="Менеджер" dataDxfId="3751"/>
    <tableColumn id="7" xr3:uid="{3C8CDAD2-B831-4AB2-807A-F657D216001F}" name="К оплате" dataDxfId="3750"/>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67D80503-C939-431B-84BA-A67406D9ACE2}" name="Таблица16334659738710111512213414615817019022385470861021181341501661822541577389105121137153551567583597611625641657673689706723233853" displayName="Таблица16334659738710111512213414615817019022385470861021181341501661822541577389105121137153551567583597611625641657673689706723233853" ref="A55:F58" totalsRowCount="1" headerRowDxfId="3749" dataDxfId="3748" totalsRowDxfId="3746" tableBorderDxfId="3747" totalsRowBorderDxfId="3745">
  <autoFilter ref="A55:F57" xr:uid="{9246B9BD-73A5-4351-9AA2-07EE59ED4E9D}"/>
  <sortState xmlns:xlrd2="http://schemas.microsoft.com/office/spreadsheetml/2017/richdata2" ref="A55:F56">
    <sortCondition descending="1" ref="B55"/>
  </sortState>
  <tableColumns count="6">
    <tableColumn id="1" xr3:uid="{FFB598CB-CBEE-4D82-9AB5-531BBBF7AD60}" name="Клиент" dataDxfId="3744" totalsRowDxfId="3743"/>
    <tableColumn id="2" xr3:uid="{F5146D4D-AB0D-435D-8E7B-324610B494E2}" name="Оборот" totalsRowFunction="custom" dataDxfId="3742" totalsRowDxfId="3741">
      <totalsRowFormula>SUM(Таблица16334659738710111512213414615817019022385470861021181341501661822541577389105121137153551567583597611625641657673689706723233853[Оборот])</totalsRowFormula>
    </tableColumn>
    <tableColumn id="3" xr3:uid="{C91CEF14-EBE3-4A38-8A0A-2F92538D9386}" name="Профит " totalsRowFunction="custom" dataDxfId="3740" totalsRowDxfId="3739">
      <totalsRowFormula>SUM(C56:C57)</totalsRowFormula>
    </tableColumn>
    <tableColumn id="4" xr3:uid="{52EC980C-AB9D-4B9D-8CDA-9BC8F5C4567E}" name="%" totalsRowFunction="custom" dataDxfId="3738" totalsRowDxfId="3737">
      <totalsRowFormula>Таблица16334659738710111512213414615817019022385470861021181341501661822541577389105121137153551567583597611625641657673689706723233853[[#Totals],[Профит ]]/Таблица16334659738710111512213414615817019022385470861021181341501661822541577389105121137153551567583597611625641657673689706723233853[[#Totals],[Оборот]]</totalsRowFormula>
    </tableColumn>
    <tableColumn id="5" xr3:uid="{81F61252-89F9-4B7D-9E93-78F660029441}" name="Менеджер" dataDxfId="3736" totalsRowDxfId="3735"/>
    <tableColumn id="6" xr3:uid="{4069084E-7BF8-4F73-9625-CEE816DBDBBE}" name="Комментарий" dataDxfId="3734" totalsRowDxfId="3733" dataCellStyle="Финансовый"/>
  </tableColumns>
  <tableStyleInfo name="TableStyleLight9"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F3087513-E8E3-45C0-9507-F2DC238DBAD2}" name="Таблица4211720344148556269768390978390111118125132139146153160167174181188195613202734414855626976839097104111118125132139146153160167175183198206214123135147159171191233955718710311913515116718326425874901061221381545525685845986126266426586746907077254" displayName="Таблица4211720344148556269768390978390111118125132139146153160167174181188195613202734414855626976839097104111118125132139146153160167175183198206214123135147159171191233955718710311913515116718326425874901061221381545525685845986126266426586746907077254" ref="A70:H74" totalsRowShown="0" headerRowDxfId="3732" dataDxfId="3731">
  <autoFilter ref="A70:H74" xr:uid="{4ACBF2F4-2982-4E59-8F46-ECCA5C6BC7F5}"/>
  <sortState xmlns:xlrd2="http://schemas.microsoft.com/office/spreadsheetml/2017/richdata2" ref="A71:H74">
    <sortCondition descending="1" ref="G70:G74"/>
  </sortState>
  <tableColumns count="8">
    <tableColumn id="1" xr3:uid="{109B8911-FF06-4C19-B9EA-D4DDBE36E42D}" name="Номер" dataDxfId="3730" dataCellStyle="Обычный 2"/>
    <tableColumn id="3" xr3:uid="{0241D9D1-3B76-41B7-9123-1CE0B92472FD}" name="Клиент" dataDxfId="3729" dataCellStyle="Обычный 2"/>
    <tableColumn id="4" xr3:uid="{838F5BC4-9454-4700-80A4-FC7BAF29E4C5}" name="Менеджер" dataDxfId="3728" dataCellStyle="Обычный 2"/>
    <tableColumn id="5" xr3:uid="{88801590-2CFE-43CB-B397-4680E2F5E357}" name="Проект" dataDxfId="3727" dataCellStyle="Обычный 2"/>
    <tableColumn id="6" xr3:uid="{F87B8C87-3D3B-44C1-A68E-907FBD12041A}" name="Краткое описание проекта" dataDxfId="3726" dataCellStyle="Обычный 2"/>
    <tableColumn id="7" xr3:uid="{6D08A382-6ADF-4533-A196-583A5F310EF5}" name="Дата завершения сделки" dataDxfId="3725" dataCellStyle="Обычный 2"/>
    <tableColumn id="8" xr3:uid="{CF433840-A092-4A3C-9363-EAE5A21CAE41}" name="Сумма, тыс. руб." dataDxfId="3724" dataCellStyle="Обычный"/>
    <tableColumn id="2" xr3:uid="{665AF8C9-55A3-4D64-87E4-D54631D2E793}" name="Статус" dataDxfId="3723"/>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448C58F6-60DE-4A02-A169-5492B8566D86}" name="Таблица9132738193340475461687582899682891101171241311381451521591661731801871945121926334047546168758289961031101171241311381451521591661741821902052131191251371491611731932541567288104120136152168184274359759110712313915555356958559961362764365967569755" displayName="Таблица9132738193340475461687582899682891101171241311381451521591661731801871945121926334047546168758289961031101171241311381451521591661741821902052131191251371491611731932541567288104120136152168184274359759110712313915555356958559961362764365967569755" ref="A64:H65" headerRowCount="0" totalsRowShown="0" headerRowDxfId="3722" dataDxfId="3721">
  <tableColumns count="8">
    <tableColumn id="1" xr3:uid="{3FEC164C-D5DF-4771-A673-D344EA15EAA6}" name="Февраль 2015" headerRowDxfId="3720" dataDxfId="3719" dataCellStyle="Название"/>
    <tableColumn id="2" xr3:uid="{7AE62BF8-D431-4018-B898-8F2DDF68A501}" name="Столбец1" headerRowDxfId="3718" dataDxfId="3717"/>
    <tableColumn id="3" xr3:uid="{D507B6A8-C4D1-47FC-8482-F8215AD3C33F}" name="Столбец2" headerRowDxfId="3716" dataDxfId="3715"/>
    <tableColumn id="4" xr3:uid="{31B15EDE-2712-4AC2-9E44-5622F47D7902}" name="Столбец3" headerRowDxfId="3714" dataDxfId="3713"/>
    <tableColumn id="5" xr3:uid="{3E97D8F3-A4A6-498E-8E0C-CF475C090EAF}" name="Столбец4" headerRowDxfId="3712" dataDxfId="3711"/>
    <tableColumn id="6" xr3:uid="{59367EF1-6E5A-45DD-B518-D39A30811985}" name="Столбец5" headerRowDxfId="3710" dataDxfId="3709"/>
    <tableColumn id="7" xr3:uid="{7A6E739D-F8D7-4FC2-8F9D-26A565F964E5}" name="Столбец6" headerRowDxfId="3708" dataDxfId="3707"/>
    <tableColumn id="8" xr3:uid="{A3018FFD-DB99-4054-9CB7-B44C6817AD7E}" name="Столбец7" headerRowDxfId="3706" dataDxfId="3705"/>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35DABFF-770E-4250-AA44-C0CD36FF27DF}" name="Таблица12513815016217419426425773891051211371531691852844607692108124140156554570586600614628644660676692709726264156" displayName="Таблица12513815016217419426425773891051211371531691852844607692108124140156554570586600614628644660676692709726264156" ref="A78:H84" totalsRowShown="0" headerRowDxfId="3704" dataDxfId="3703">
  <autoFilter ref="A78:H84" xr:uid="{0F3DFAA2-5FF8-417D-8496-A5C766071E19}"/>
  <sortState xmlns:xlrd2="http://schemas.microsoft.com/office/spreadsheetml/2017/richdata2" ref="A79:H84">
    <sortCondition descending="1" ref="G78:G84"/>
  </sortState>
  <tableColumns count="8">
    <tableColumn id="1" xr3:uid="{4960879D-1748-4CCD-83F0-4E256A0EF2F8}" name="Номер" dataDxfId="3702"/>
    <tableColumn id="2" xr3:uid="{DA6A89A9-21D3-4F25-9AA6-2F17CD2767B7}" name="Клиент" dataDxfId="3701"/>
    <tableColumn id="3" xr3:uid="{8DC1D112-E9F9-46E7-8828-D37A4C69E092}" name="Менеджер" dataDxfId="3700" dataCellStyle="Обычный 2"/>
    <tableColumn id="4" xr3:uid="{5B23AF40-0FF2-4A67-99E6-83516B52FF25}" name="Проект" dataDxfId="3699"/>
    <tableColumn id="5" xr3:uid="{981E8622-5912-484B-87CB-1BDA1C5F2F65}" name="Краткое описание проекта" dataDxfId="3698"/>
    <tableColumn id="6" xr3:uid="{9A9E50BF-0919-4FA6-87F4-A0A55CCE8820}" name="Дата завершения сделки" dataDxfId="3697"/>
    <tableColumn id="7" xr3:uid="{A93A6C9C-B26E-4153-A466-D69988F354B3}" name="Сумма" dataDxfId="3696"/>
    <tableColumn id="8" xr3:uid="{288D9AAD-B9CC-4E3B-97B8-63D644EE5AD1}" name="Статус" dataDxfId="3695"/>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6CF8DB2B-8AA8-4351-ADA1-0E34F6D46E27}" name="Таблица17519527435874901061221381541701862945617793109125141157555571587601615629645661677693710727274257" displayName="Таблица17519527435874901061221381541701862945617793109125141157555571587601615629645661677693710727274257" ref="A11:E12" totalsRowShown="0" headerRowDxfId="3694" dataDxfId="3693" tableBorderDxfId="3692">
  <tableColumns count="5">
    <tableColumn id="1" xr3:uid="{7FAEFBCF-B523-4678-8268-145FE0A8DE2E}" name="Менеджер" dataDxfId="3691"/>
    <tableColumn id="2" xr3:uid="{67593378-0458-451E-9B48-E6F74ADDD15B}" name="План с НАЧАЛА ФГ, руб." dataDxfId="3690">
      <calculatedColumnFormula>SUM(C22:C32)</calculatedColumnFormula>
    </tableColumn>
    <tableColumn id="3" xr3:uid="{08F9148C-AAC0-414C-A6F4-8F3A65893870}" name="Факт с НАЧАЛА ФГ, руб." dataDxfId="3689">
      <calculatedColumnFormula>B34</calculatedColumnFormula>
    </tableColumn>
    <tableColumn id="4" xr3:uid="{78EA4B5C-B08C-4B80-9FCD-24B9A80179B0}" name="Отклонение, %" dataDxfId="3688">
      <calculatedColumnFormula>C12/B12-100%</calculatedColumnFormula>
    </tableColumn>
    <tableColumn id="5" xr3:uid="{B7499CA8-7A64-4C71-B650-70DBDCB15A83}" name="Отклонение, РУБ" dataDxfId="3687">
      <calculatedColumnFormula>C12-B12</calculatedColumnFormula>
    </tableColumn>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6380D8A9-0FD8-4BF4-BADA-050E15DEF91A}" name="Таблица29445975911071231391551711873046627894110126142158556572588602616630646662678694711728284358" displayName="Таблица29445975911071231391551711873046627894110126142158556572588602616630646662678694711728284358" ref="A39:E40" totalsRowShown="0" headerRowDxfId="3686" dataDxfId="3685">
  <autoFilter ref="A39:E40" xr:uid="{A123EA08-D8D4-4987-8146-FF08418E565C}"/>
  <tableColumns count="5">
    <tableColumn id="2" xr3:uid="{FFB6BC8E-6206-464D-87BA-570BA6B6D807}" name="Факт" dataDxfId="3684">
      <calculatedColumnFormula>B32</calculatedColumnFormula>
    </tableColumn>
    <tableColumn id="9" xr3:uid="{3575C28D-7E80-42FD-B021-7F4893F03EF5}" name="Оклад" dataDxfId="3683" dataCellStyle="Процентный">
      <calculatedColumnFormula>50000</calculatedColumnFormula>
    </tableColumn>
    <tableColumn id="4" xr3:uid="{37F08CA1-7536-4F9B-AA21-897DCCEA420A}" name="Премия" dataDxfId="3682">
      <calculatedColumnFormula>A40*0.06</calculatedColumnFormula>
    </tableColumn>
    <tableColumn id="7" xr3:uid="{D318413A-7CC3-4A1E-BAF7-2ADFD4FF27B9}" name="Доплата за Задачи" dataDxfId="3681">
      <calculatedColumnFormula>SUM(G185:G188)</calculatedColumnFormula>
    </tableColumn>
    <tableColumn id="6" xr3:uid="{E0601157-691B-4507-B693-69CEC9AF0F67}" name="Штрафы" dataDxfId="3680"/>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312BDCEE-A521-4DF5-9D2C-9F26B9BA2C8D}" name="Таблица9132738193340475461687582899682891101171241311381451521591661731801871945121926334047546168758289961031101171241311381451521591661741821902052131241361481601721922440627894110126142158174190334965819711312914516155957559160361763164766367969571759" displayName="Таблица9132738193340475461687582899682891101171241311381451521591661731801871945121926334047546168758289961031101171241311381451521591661741821902052131241361481601721922440627894110126142158174190334965819711312914516155957559160361763164766367969571759" ref="A61:H63" headerRowCount="0" totalsRowShown="0" headerRowDxfId="3679" dataDxfId="3678">
  <tableColumns count="8">
    <tableColumn id="1" xr3:uid="{1D894ED3-0E93-4C1D-BC1D-4062DDC4FE77}" name="Февраль 2015" headerRowDxfId="3677" dataDxfId="3676" dataCellStyle="Название"/>
    <tableColumn id="2" xr3:uid="{2770E759-40CF-4E1C-B0F3-8172E8344E37}" name="Столбец1" headerRowDxfId="3675" dataDxfId="3674"/>
    <tableColumn id="3" xr3:uid="{E282CD8B-3EC1-498F-9C04-4CC6CD4FB6E7}" name="Столбец2" headerRowDxfId="3673" dataDxfId="3672"/>
    <tableColumn id="4" xr3:uid="{D33D84A2-AE24-4C6E-B701-2195DDC9CB37}" name="Столбец3" headerRowDxfId="3671" dataDxfId="3670"/>
    <tableColumn id="5" xr3:uid="{FE8ED4FE-1E37-49BF-9EB4-1DDE34A8910A}" name="Столбец4" headerRowDxfId="3669" dataDxfId="3668"/>
    <tableColumn id="6" xr3:uid="{6BE1E518-7AE7-4E81-B24D-8A18619CC949}" name="Столбец5" headerRowDxfId="3667" dataDxfId="3666"/>
    <tableColumn id="7" xr3:uid="{774B412F-65B8-4ECA-AC54-DBF80C47B9CB}" name="Столбец6" headerRowDxfId="3665" dataDxfId="3664"/>
    <tableColumn id="8" xr3:uid="{72BD4764-7DB2-425E-A4FA-4547465A8635}" name="Столбец7" headerRowDxfId="3663" dataDxfId="3662"/>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94D7F8C0-9E0D-470E-90C7-CA8F7AE866E0}" name="Таблица152942556983971111161301421541661861834506682981141301461621782137536985101117133149560576592604618632648664680696713730304560" displayName="Таблица152942556983971111161301421541661861834506682981141301461621782137536985101117133149560576592604618632648664680696713730304560" ref="A89:G90" totalsRowShown="0" headerRowDxfId="3661" dataDxfId="3660" tableBorderDxfId="3659">
  <autoFilter ref="A89:G90" xr:uid="{BD66A881-30D1-4979-8390-5888D14E5877}"/>
  <tableColumns count="7">
    <tableColumn id="1" xr3:uid="{3C1E642C-8B2E-45E2-9527-6296A29D364D}" name="Дата" dataDxfId="3658"/>
    <tableColumn id="2" xr3:uid="{D0C21F9E-48E7-4D7D-9A45-EE9A14F56793}" name="Клиент" dataDxfId="3657"/>
    <tableColumn id="3" xr3:uid="{3B1B39D7-0A6A-424B-A457-C45286549447}" name="Менеджер" dataDxfId="3656" dataCellStyle="Обычный 2"/>
    <tableColumn id="4" xr3:uid="{03832D9D-3D67-4BBE-A9DF-157B56FBF204}" name="Контакт в 1С" dataDxfId="3655"/>
    <tableColumn id="5" xr3:uid="{3A75784B-447E-4F96-B70D-D33DA3C83DC4}" name="№ сделки" dataDxfId="3654"/>
    <tableColumn id="6" xr3:uid="{707B7F0F-E9B7-4570-9F31-9805C9EC38D4}" name="Цель" dataDxfId="3653"/>
    <tableColumn id="7" xr3:uid="{87060E55-4483-4826-B18A-F027635A7D2D}" name="Результат" dataDxfId="3652"/>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E91B7226-67DC-4998-90B8-A6A5BE8D2647}" name="Таблица493699716733314661" displayName="Таблица493699716733314661" ref="A21:D33" totalsRowShown="0" headerRowDxfId="3651" headerRowBorderDxfId="3650" tableBorderDxfId="3649" totalsRowBorderDxfId="3648">
  <autoFilter ref="A21:D33" xr:uid="{8999CE3E-52FF-4AF3-AA18-1DA9A764C519}"/>
  <tableColumns count="4">
    <tableColumn id="1" xr3:uid="{CD1D2221-11CE-4EB6-BD4A-8E70AB3B26BC}" name="Месяц" dataDxfId="3647"/>
    <tableColumn id="2" xr3:uid="{737B832F-FF4B-4711-A777-F07AA6C5F30B}" name="Профит" dataDxfId="3646"/>
    <tableColumn id="3" xr3:uid="{9A231B5F-115A-4945-B97B-2121946C9A12}" name="План" dataDxfId="3645"/>
    <tableColumn id="4" xr3:uid="{1CE2480B-D33F-4316-9381-1E82726FA093}" name="Выполнение" dataDxfId="3644"/>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253B8AA7-7D6C-419C-B62F-05F579116D75}" name="Таблица1102916303744515865722330374451586572798693100922354862769010410712713915116318315294763799511112714315917518345066829811413014654556157758960561963565166768370071716324762" displayName="Таблица1102916303744515865722330374451586572798693100922354862769010410712713915116318315294763799511112714315917518345066829811413014654556157758960561963565166768370071716324762" ref="A6:F7" totalsRowShown="0" headerRowDxfId="3643" dataDxfId="3642">
  <tableColumns count="6">
    <tableColumn id="1" xr3:uid="{48446C27-D8AC-4EE1-838A-4077226E3E2E}" name="Менеджер" dataDxfId="3641"/>
    <tableColumn id="2" xr3:uid="{0CD61673-7197-4D90-993B-D489F4F1C622}" name="План, руб." dataDxfId="3640">
      <calculatedColumnFormula>C33</calculatedColumnFormula>
    </tableColumn>
    <tableColumn id="3" xr3:uid="{71208A18-DFF5-48CE-9193-6F70F2BD572D}" name="Факт, руб." dataDxfId="3639">
      <calculatedColumnFormula>B33</calculatedColumnFormula>
    </tableColumn>
    <tableColumn id="4" xr3:uid="{63283B8A-EEF4-4781-AC52-E1A923302DA7}" name="Отклонение, %" dataDxfId="3638" dataCellStyle="Процентный">
      <calculatedColumnFormula>Таблица1102916303744515865722330374451586572798693100922354862769010410712713915116318315294763799511112714315917518345066829811413014654556157758960561963565166768370071716324762[Факт, руб.]/Таблица1102916303744515865722330374451586572798693100922354862769010410712713915116318315294763799511112714315917518345066829811413014654556157758960561963565166768370071716324762[План, руб.]-100%</calculatedColumnFormula>
    </tableColumn>
    <tableColumn id="7" xr3:uid="{0A170CFA-A1AF-4CFC-BFC8-B805C5309765}" name="Отклонение, РУБ" dataDxfId="3637" dataCellStyle="Процентный">
      <calculatedColumnFormula>Таблица1102916303744515865722330374451586572798693100922354862769010410712713915116318315294763799511112714315917518345066829811413014654556157758960561963565166768370071716324762[Факт, руб.]-Таблица1102916303744515865722330374451586572798693100922354862769010410712713915116318315294763799511112714315917518345066829811413014654556157758960561963565166768370071716324762[План, руб.]</calculatedColumnFormula>
    </tableColumn>
    <tableColumn id="5" xr3:uid="{7D22676C-03F2-4CB8-AD3A-90FE491192CE}" name="Предыд месяц" dataDxfId="3636" dataCellStyle="Процентный">
      <calculatedColumnFormula>B32</calculatedColumnFormula>
    </tableColumn>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87C063F9-1907-4137-B6DE-114E012C344B}" name="Таблица21130173138455259667324313845525966738087941011023364963779110510912814015216418416324864809611212814416017619355167839911513114754656257859060662063665266868470171817334863" displayName="Таблица21130173138455259667324313845525966738087941011023364963779110510912814015216418416324864809611212814416017619355167839911513114754656257859060662063665266868470171817334863" ref="A16:E17" totalsRowShown="0" headerRowDxfId="3635" dataDxfId="3634">
  <tableColumns count="5">
    <tableColumn id="1" xr3:uid="{2A6E79BF-D67C-4D7A-9015-E07E591576F0}" name="Менеджер" dataDxfId="3633"/>
    <tableColumn id="2" xr3:uid="{43DC23D1-6821-491E-A748-BEEE8FBB96AF}" name="Профит ФГ 22-23" dataDxfId="3632"/>
    <tableColumn id="3" xr3:uid="{BD0BDBF2-3F84-490F-8EA0-78780F0353FF}" name="Профит ФГ 23-24" dataDxfId="3631"/>
    <tableColumn id="4" xr3:uid="{2155F2E8-18B1-4470-9C26-AE9188D7591E}" name="Профит ФГ 24-25" dataDxfId="3630" dataCellStyle="Процентный">
      <calculatedColumnFormula>B34</calculatedColumnFormula>
    </tableColumn>
    <tableColumn id="5" xr3:uid="{E0197621-8BC1-4C80-B618-F74E506F508B}" name="Рост накопительно, % " dataDxfId="3629">
      <calculatedColumnFormula>Таблица21130173138455259667324313845525966738087941011023364963779110510912814015216418416324864809611212814416017619355167839911513114754656257859060662063665266868470171817334863[Профит ФГ 24-25]/Таблица21130173138455259667324313845525966738087941011023364963779110510912814015216418416324864809611212814416017619355167839911513114754656257859060662063665266868470171817334863[Профит ФГ 23-24]</calculatedColumnFormula>
    </tableColumn>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1B832F81-EB5D-44D3-9EFF-D62B529060AE}" name="Таблица54624331832394653606774253239465360677481889510211243750647892106110129141153165185173349658197113129145161177203652688410011613214854756357959360762163765366968570271919344964" displayName="Таблица54624331832394653606774253239465360677481889510211243750647892106110129141153165185173349658197113129145161177203652688410011613214854756357959360762163765366968570271919344964" ref="A45:D49" totalsRowShown="0" headerRowDxfId="3628" dataDxfId="3627">
  <autoFilter ref="A45:D49" xr:uid="{3EADDA2E-FD58-4130-8A1C-8C20137591BB}"/>
  <tableColumns count="4">
    <tableColumn id="2" xr3:uid="{C61565A1-72E0-4BED-AC0B-DA663D1DC836}" name="Холдинг" dataDxfId="3626"/>
    <tableColumn id="3" xr3:uid="{8D8F8B61-A3F8-470F-9501-DF3A94BDE04C}" name="Сумма просроченного долга" dataDxfId="3625" dataCellStyle="Денежный"/>
    <tableColumn id="4" xr3:uid="{82B9EE9D-9C0F-47DE-A88C-4249A6C85711}" name="Общая сумма долга" dataDxfId="3624" dataCellStyle="Денежный"/>
    <tableColumn id="5" xr3:uid="{1707E8BB-DD13-4222-8D0B-E21BC63195BF}" name="% просрочки" dataDxfId="3623" dataCellStyle="Процентный">
      <calculatedColumnFormula>Таблица54624331832394653606774253239465360677481889510211243750647892106110129141153165185173349658197113129145161177203652688410011613214854756357959360762163765366968570271919344964[[#This Row],[Сумма просроченного долга]]/Таблица54624331832394653606774253239465360677481889510211243750647892106110129141153165185173349658197113129145161177203652688410011613214854756357959360762163765366968570271919344964[[#This Row],[Общая сумма долга]]</calculatedColumnFormula>
    </tableColumn>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B4AB62BF-506E-4DD5-B62B-B56E06E6436B}" name="Таблица17304356708498112117131143155167187193551678399115131147163179223854708610211813415054856458059460862263865467068670372020355065" displayName="Таблица17304356708498112117131143155167187193551678399115131147163179223854708610211813415054856458059460862263865467068670372020355065" ref="A98:G155" totalsRowShown="0" headerRowDxfId="3622" dataDxfId="3621" tableBorderDxfId="3620">
  <autoFilter ref="A98:G155" xr:uid="{5F2E2A5D-7666-4FD4-A50A-70ADD98392B4}"/>
  <sortState xmlns:xlrd2="http://schemas.microsoft.com/office/spreadsheetml/2017/richdata2" ref="A99:E155">
    <sortCondition ref="A98:A155"/>
  </sortState>
  <tableColumns count="7">
    <tableColumn id="1" xr3:uid="{AFD19449-17EC-45DA-942C-CAD158395D45}" name="Дата" dataDxfId="3619"/>
    <tableColumn id="2" xr3:uid="{5FBBB981-22D1-4B2A-ABB3-655E841663C3}" name="Клиент" dataDxfId="3618"/>
    <tableColumn id="3" xr3:uid="{B0FE0398-13C4-4B52-8F11-9D8CADCEEABE}" name="Менеджер" dataDxfId="3617" dataCellStyle="Обычный 2"/>
    <tableColumn id="4" xr3:uid="{936D9BD0-B236-49C4-A6E4-17897DDBFC3B}" name="Контакт в 1С" dataDxfId="3616"/>
    <tableColumn id="5" xr3:uid="{F0F1F973-D04E-4331-BAC0-CDCC67433651}" name="№ сделки" dataDxfId="3615"/>
    <tableColumn id="6" xr3:uid="{94D08889-E067-4D3C-BB00-CCC63C1ACE85}" name="Цель" dataDxfId="3614"/>
    <tableColumn id="7" xr3:uid="{C1993904-741F-4568-989C-2BA4597CAF8E}" name="Результат" dataDxfId="3613"/>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6EC6E5CA-098F-473C-B9B6-86268EBACBE7}" name="Таблица193144577185991131201321441561681882036526884100116132148164180233955718710311913515154956558159560962363965567168770472121365166" displayName="Таблица193144577185991131201321441561681882036526884100116132148164180233955718710311913515154956558159560962363965567168770472121365166" ref="A160:G165" totalsRowShown="0" headerRowDxfId="3612" dataDxfId="3611" tableBorderDxfId="3610">
  <autoFilter ref="A160:G165" xr:uid="{CC17A23E-B8E4-4CBF-BC3B-16FF0249D515}"/>
  <tableColumns count="7">
    <tableColumn id="1" xr3:uid="{0F9552F3-639A-4CB9-9C52-ADF93DC34E6D}" name="Цель" dataDxfId="3609" dataCellStyle="Обычный 2"/>
    <tableColumn id="2" xr3:uid="{871B4F55-D7B0-4397-85DF-9E8D2DB77DB8}" name="Необходимый результат" dataDxfId="3608" dataCellStyle="Обычный 2"/>
    <tableColumn id="3" xr3:uid="{27E397E6-9782-4BC5-8131-85C04B378153}" name="Выполнено да/нет" dataDxfId="3607" dataCellStyle="Обычный"/>
    <tableColumn id="4" xr3:uid="{4B84646A-456D-4024-A8A6-A4300605DEE2}" name="Комментарий по выполненной задаче" dataDxfId="3606" dataCellStyle="Обычный 2"/>
    <tableColumn id="5" xr3:uid="{A6FB8C48-824C-474E-B07F-3B86409C5DB1}" name="Мотивация" dataDxfId="3605"/>
    <tableColumn id="6" xr3:uid="{9390C52C-BC32-4D63-9EE5-25C21F903361}" name="Менеджер" dataDxfId="3604"/>
    <tableColumn id="7" xr3:uid="{CE8B6358-CC14-4F52-84E1-1A6CF15BB50C}" name="К оплате" dataDxfId="3603"/>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BFC60280-50BB-45F7-B9BF-F52CA18642BA}" name="Таблица2032455872861001141211331451571691892137536985101117133149165181244056728810412013615255056658259661062464065667268870572222375267" displayName="Таблица2032455872861001141211331451571691892137536985101117133149165181244056728810412013615255056658259661062464065667268870572222375267" ref="A169:G171" totalsRowShown="0" headerRowDxfId="3602" dataDxfId="3601" tableBorderDxfId="3600">
  <autoFilter ref="A169:G171" xr:uid="{16803243-7F25-4AF5-AE4A-7C5E11F25A09}"/>
  <tableColumns count="7">
    <tableColumn id="1" xr3:uid="{D212A642-35E0-4235-90BC-1754B7C1A10C}" name="Цель" dataDxfId="3599"/>
    <tableColumn id="2" xr3:uid="{74F61D78-64D4-4461-81D6-2728387D8828}" name="Необходимый результат" dataDxfId="3598"/>
    <tableColumn id="3" xr3:uid="{7725C319-5F29-4D0F-975E-832A5BB56E7E}" name="Выполнено да/нет" dataDxfId="3597"/>
    <tableColumn id="4" xr3:uid="{2201EB34-3BF5-49EF-8F0A-657639AFC80E}" name="Комментарий по выполненной задаче" dataDxfId="3596"/>
    <tableColumn id="5" xr3:uid="{8FD9967F-537A-486E-9F20-6553BCFDAC32}" name="Мотивация" dataDxfId="3595"/>
    <tableColumn id="6" xr3:uid="{A90DBE8E-44CF-4AA0-9958-E3D047941C1B}" name="Менеджер" dataDxfId="3594"/>
    <tableColumn id="7" xr3:uid="{7A47B373-97B7-48C0-A9BD-6237FA0D4210}" name="К оплате" dataDxfId="3593"/>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2FCBE899-5A96-49F8-BF2B-8AB148EFE5D8}" name="Таблица1633465973871011151221341461581701902238547086102118134150166182254157738910512113715355156758359761162564165767368970672323385368" displayName="Таблица1633465973871011151221341461581701902238547086102118134150166182254157738910512113715355156758359761162564165767368970672323385368" ref="A55:F59" totalsRowCount="1" headerRowDxfId="3592" dataDxfId="3591" totalsRowDxfId="3589" tableBorderDxfId="3590" totalsRowBorderDxfId="3588">
  <autoFilter ref="A55:F58" xr:uid="{9246B9BD-73A5-4351-9AA2-07EE59ED4E9D}"/>
  <sortState xmlns:xlrd2="http://schemas.microsoft.com/office/spreadsheetml/2017/richdata2" ref="A56:F58">
    <sortCondition descending="1" ref="B55"/>
  </sortState>
  <tableColumns count="6">
    <tableColumn id="1" xr3:uid="{B1728D68-D8FE-4708-93B6-F3B7E766ACC8}" name="Клиент" dataDxfId="3587" totalsRowDxfId="3586"/>
    <tableColumn id="2" xr3:uid="{8761245C-EB12-4049-8F99-097B8DA18FD9}" name="Оборот" totalsRowFunction="custom" dataDxfId="3585" totalsRowDxfId="3584">
      <totalsRowFormula>SUM(Таблица1633465973871011151221341461581701902238547086102118134150166182254157738910512113715355156758359761162564165767368970672323385368[Оборот])</totalsRowFormula>
    </tableColumn>
    <tableColumn id="3" xr3:uid="{B0815FAF-2BFE-4ABE-A5F1-817C415B866F}" name="Профит " totalsRowFunction="custom" dataDxfId="3583" totalsRowDxfId="3582">
      <totalsRowFormula>SUM(C57:C58)</totalsRowFormula>
    </tableColumn>
    <tableColumn id="4" xr3:uid="{6B11B950-BC3D-4FAA-9D22-9C5A1041BC27}" name="%" totalsRowFunction="custom" dataDxfId="3581" totalsRowDxfId="3580">
      <totalsRowFormula>Таблица1633465973871011151221341461581701902238547086102118134150166182254157738910512113715355156758359761162564165767368970672323385368[[#Totals],[Профит ]]/Таблица1633465973871011151221341461581701902238547086102118134150166182254157738910512113715355156758359761162564165767368970672323385368[[#Totals],[Оборот]]</totalsRowFormula>
    </tableColumn>
    <tableColumn id="5" xr3:uid="{321EE432-BCB7-417F-80A8-D01B10239904}" name="Менеджер" dataDxfId="3579" totalsRowDxfId="3578"/>
    <tableColumn id="6" xr3:uid="{09F49152-7CD2-45B7-B7D7-679FDCE8ABCD}" name="Комментарий" dataDxfId="3577" totalsRowDxfId="3576" dataCellStyle="Финансовый"/>
  </tableColumns>
  <tableStyleInfo name="TableStyleLight9"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5A2E05BD-968E-47A4-89E5-1F9B2CCE585E}" name="Таблица4211720344148556269768390978390111118125132139146153160167174181188195613202734414855626976839097104111118125132139146153160167175183198206214123135147159171191233955718710311913515116718326425874901061221381545525685845986126266426586746907077269" displayName="Таблица4211720344148556269768390978390111118125132139146153160167174181188195613202734414855626976839097104111118125132139146153160167175183198206214123135147159171191233955718710311913515116718326425874901061221381545525685845986126266426586746907077269" ref="A71:H75" totalsRowShown="0" headerRowDxfId="3575" dataDxfId="3574">
  <autoFilter ref="A71:H75" xr:uid="{4ACBF2F4-2982-4E59-8F46-ECCA5C6BC7F5}"/>
  <sortState xmlns:xlrd2="http://schemas.microsoft.com/office/spreadsheetml/2017/richdata2" ref="A72:H75">
    <sortCondition descending="1" ref="G71:G75"/>
  </sortState>
  <tableColumns count="8">
    <tableColumn id="1" xr3:uid="{84A44964-C086-4F03-B01D-9B13608E1181}" name="Номер" dataDxfId="3573" dataCellStyle="Обычный 2"/>
    <tableColumn id="3" xr3:uid="{74C43FB2-EF59-42D9-8372-E17395929D71}" name="Клиент" dataDxfId="3572" dataCellStyle="Обычный 2"/>
    <tableColumn id="4" xr3:uid="{4E9CE682-3716-40C9-9308-04C5FA1C444C}" name="Менеджер" dataDxfId="3571" dataCellStyle="Обычный 2"/>
    <tableColumn id="5" xr3:uid="{2E76DFF4-4D9B-431D-B7B7-D40D3E4D8254}" name="Проект" dataDxfId="3570" dataCellStyle="Обычный 2"/>
    <tableColumn id="6" xr3:uid="{285A85FD-ACCC-4BA1-8A4C-7C0425E9D18B}" name="Краткое описание проекта" dataDxfId="3569" dataCellStyle="Обычный 2"/>
    <tableColumn id="7" xr3:uid="{302C1FF9-36D7-4416-BF0F-CCE436F64EF1}" name="Дата завершения сделки" dataDxfId="3568" dataCellStyle="Обычный 2"/>
    <tableColumn id="8" xr3:uid="{B4C9125D-181E-4DE9-A33E-3F209167ED1A}" name="Сумма, тыс. руб." dataDxfId="3567" dataCellStyle="Обычный"/>
    <tableColumn id="2" xr3:uid="{13DBB96A-D0E3-4D64-9DE4-7194234D729C}" name="Статус" dataDxfId="3566"/>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21449EC8-0F49-48E5-91D9-C323D5E1EDDD}" name="Таблица9132738193340475461687582899682891101171241311381451521591661731801871945121926334047546168758289961031101171241311381451521591661741821902052131191251371491611731932541567288104120136152168184274359759110712313915555356958559961362764365967569770" displayName="Таблица9132738193340475461687582899682891101171241311381451521591661731801871945121926334047546168758289961031101171241311381451521591661741821902052131191251371491611731932541567288104120136152168184274359759110712313915555356958559961362764365967569770" ref="A65:H66" headerRowCount="0" totalsRowShown="0" headerRowDxfId="3565" dataDxfId="3564">
  <tableColumns count="8">
    <tableColumn id="1" xr3:uid="{53ABE3C2-BE60-4042-9B82-0D30862CBD15}" name="Февраль 2015" headerRowDxfId="3563" dataDxfId="3562" dataCellStyle="Название"/>
    <tableColumn id="2" xr3:uid="{60896E33-F95E-49C8-B6DE-C3261F8839B6}" name="Столбец1" headerRowDxfId="3561" dataDxfId="3560"/>
    <tableColumn id="3" xr3:uid="{6E249798-6B67-44F0-9F5F-6F5FA18B22D7}" name="Столбец2" headerRowDxfId="3559" dataDxfId="3558"/>
    <tableColumn id="4" xr3:uid="{4E7925D6-4200-4FB7-B079-17DD94DAE8DB}" name="Столбец3" headerRowDxfId="3557" dataDxfId="3556"/>
    <tableColumn id="5" xr3:uid="{6A1DEF6A-CC14-478C-968C-51BDCE36186E}" name="Столбец4" headerRowDxfId="3555" dataDxfId="3554"/>
    <tableColumn id="6" xr3:uid="{B3B3B943-8987-41F7-817E-734C6A98689D}" name="Столбец5" headerRowDxfId="3553" dataDxfId="3552"/>
    <tableColumn id="7" xr3:uid="{1894814A-BCA9-403D-96E1-C6CC91217224}" name="Столбец6" headerRowDxfId="3551" dataDxfId="3550"/>
    <tableColumn id="8" xr3:uid="{F3E7E779-6391-45D1-86C1-420814413443}" name="Столбец7" headerRowDxfId="3549" dataDxfId="3548"/>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CC47550-44B8-4AE7-A82C-A20614D1DA39}" name="Таблица1251381501621741942642577389105121137153169185284460769210812414015655457058660061462864466067669270972626415671" displayName="Таблица1251381501621741942642577389105121137153169185284460769210812414015655457058660061462864466067669270972626415671" ref="A79:H88" totalsRowShown="0" headerRowDxfId="3547" dataDxfId="3546">
  <autoFilter ref="A79:H88" xr:uid="{0F3DFAA2-5FF8-417D-8496-A5C766071E19}"/>
  <sortState xmlns:xlrd2="http://schemas.microsoft.com/office/spreadsheetml/2017/richdata2" ref="A80:H88">
    <sortCondition descending="1" ref="G79:G88"/>
  </sortState>
  <tableColumns count="8">
    <tableColumn id="1" xr3:uid="{CBF80C0A-E02B-4185-9D14-23F92054387D}" name="Номер" dataDxfId="3545"/>
    <tableColumn id="2" xr3:uid="{C57B085B-4A15-45BB-AD86-EA7B34F58889}" name="Клиент" dataDxfId="3544"/>
    <tableColumn id="3" xr3:uid="{EDFA2647-DCAF-49E3-80EB-67DB43FF0D74}" name="Менеджер" dataDxfId="3543" dataCellStyle="Обычный 2"/>
    <tableColumn id="4" xr3:uid="{C9930770-5419-45EB-87A7-0A05D7B4AF79}" name="Проект" dataDxfId="3542"/>
    <tableColumn id="5" xr3:uid="{68FEAE55-52AD-434B-9D07-B99C2B4FB008}" name="Краткое описание проекта" dataDxfId="3541"/>
    <tableColumn id="6" xr3:uid="{84260606-A4A6-44DB-9A26-0C54A1AAC407}" name="Дата завершения сделки" dataDxfId="3540"/>
    <tableColumn id="7" xr3:uid="{420BF784-2880-44F0-A06E-9F64A4ECB387}" name="Сумма" dataDxfId="3539"/>
    <tableColumn id="8" xr3:uid="{04BDBDA3-DE76-47FE-AB19-A94213940A41}" name="Статус" dataDxfId="3538"/>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9532BC4C-04BD-4DB0-8AD5-15EBAEBA21C6}" name="Таблица1751952743587490106122138154170186294561779310912514115755557158760161562964566167769371072727425772" displayName="Таблица1751952743587490106122138154170186294561779310912514115755557158760161562964566167769371072727425772" ref="A11:E12" totalsRowShown="0" headerRowDxfId="3537" dataDxfId="3536" tableBorderDxfId="3535">
  <tableColumns count="5">
    <tableColumn id="1" xr3:uid="{59850194-E471-4F78-8D15-EEEB9A9F5C57}" name="Менеджер" dataDxfId="3534"/>
    <tableColumn id="2" xr3:uid="{30B44A91-7E34-4C19-9D24-88164BB4BCF4}" name="План с НАЧАЛА ФГ, руб." dataDxfId="3533">
      <calculatedColumnFormula>SUM(C22:C33)</calculatedColumnFormula>
    </tableColumn>
    <tableColumn id="3" xr3:uid="{A05A5017-9863-41DB-BE53-4A07B728FE88}" name="Факт с НАЧАЛА ФГ, руб." dataDxfId="3532">
      <calculatedColumnFormula>B34</calculatedColumnFormula>
    </tableColumn>
    <tableColumn id="4" xr3:uid="{F6712E2B-C078-4F84-A137-CA87951C1DF8}" name="Отклонение, %" dataDxfId="3531">
      <calculatedColumnFormula>C12/B12-100%</calculatedColumnFormula>
    </tableColumn>
    <tableColumn id="5" xr3:uid="{87BB5EC8-3F30-4C28-BDB3-291B25A8C13B}" name="Отклонение, РУБ" dataDxfId="3530">
      <calculatedColumnFormula>C12-B12</calculatedColumnFormula>
    </tableColumn>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BDBC8713-4B6A-4903-9970-71D5F72CF359}" name="Таблица2944597591107123139155171187304662789411012614215855657258860261663064666267869471172828435873" displayName="Таблица2944597591107123139155171187304662789411012614215855657258860261663064666267869471172828435873" ref="A39:E40" totalsRowShown="0" headerRowDxfId="3529" dataDxfId="3528">
  <autoFilter ref="A39:E40" xr:uid="{A123EA08-D8D4-4987-8146-FF08418E565C}"/>
  <tableColumns count="5">
    <tableColumn id="2" xr3:uid="{15D015F5-813E-4285-9C54-DB9C1B10E362}" name="Факт" dataDxfId="3527">
      <calculatedColumnFormula>Таблица1102916303744515865722330374451586572798693100922354862769010410712713915116318315294763799511112714315917518345066829811413014654556157758960561963565166768370071716324762[Факт, руб.]</calculatedColumnFormula>
    </tableColumn>
    <tableColumn id="9" xr3:uid="{5629EC84-753B-4538-99F9-C6147E276B58}" name="Оклад" dataDxfId="3526" dataCellStyle="Процентный">
      <calculatedColumnFormula>50000</calculatedColumnFormula>
    </tableColumn>
    <tableColumn id="4" xr3:uid="{6D6588A2-45CD-4C38-B24F-DE5118C8C51B}" name="Премия" dataDxfId="3525">
      <calculatedColumnFormula>A40*0.06</calculatedColumnFormula>
    </tableColumn>
    <tableColumn id="7" xr3:uid="{7D23D47D-283C-4A6C-8ADD-A5C145F79AB9}" name="Доплата за Задачи" dataDxfId="3524">
      <calculatedColumnFormula>SUM(G161:G165)</calculatedColumnFormula>
    </tableColumn>
    <tableColumn id="6" xr3:uid="{4E5F2824-726D-46C8-8C18-B60D0E727F6C}" name="Штрафы" dataDxfId="3523"/>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C2784766-143C-4E13-8E3E-79C59C8CD854}" name="Таблица9132738193340475461687582899682891101171241311381451521591661731801871945121926334047546168758289961031101171241311381451521591661741821902052131241361481601721922440627894110126142158174190334965819711312914516155957559160361763164766367969571774" displayName="Таблица9132738193340475461687582899682891101171241311381451521591661731801871945121926334047546168758289961031101171241311381451521591661741821902052131241361481601721922440627894110126142158174190334965819711312914516155957559160361763164766367969571774" ref="A62:H64" headerRowCount="0" totalsRowShown="0" headerRowDxfId="3522" dataDxfId="3521">
  <tableColumns count="8">
    <tableColumn id="1" xr3:uid="{30D52160-9DEE-41CD-A7D8-B47DD186E05D}" name="Февраль 2015" headerRowDxfId="3520" dataDxfId="3519" dataCellStyle="Название"/>
    <tableColumn id="2" xr3:uid="{11E62BD1-5B4B-4ACB-B321-8D3DDF87BEDA}" name="Столбец1" headerRowDxfId="3518" dataDxfId="3517"/>
    <tableColumn id="3" xr3:uid="{ABB0FE52-6286-46F2-A4D3-19D5E9243E32}" name="Столбец2" headerRowDxfId="3516" dataDxfId="3515"/>
    <tableColumn id="4" xr3:uid="{4073EE90-7E69-4905-A650-2FD19DBDC00E}" name="Столбец3" headerRowDxfId="3514" dataDxfId="3513"/>
    <tableColumn id="5" xr3:uid="{BE1EEED9-FCB3-4FA1-B9F0-E8DABD636699}" name="Столбец4" headerRowDxfId="3512" dataDxfId="3511"/>
    <tableColumn id="6" xr3:uid="{630BD034-1C71-49A8-99AB-37CD192D0F07}" name="Столбец5" headerRowDxfId="3510" dataDxfId="3509"/>
    <tableColumn id="7" xr3:uid="{7394D275-6098-4E7D-9D02-44A2C3711E4F}" name="Столбец6" headerRowDxfId="3508" dataDxfId="3507"/>
    <tableColumn id="8" xr3:uid="{8B15558B-36A6-4E6F-92A5-B37211AB4FC8}" name="Столбец7" headerRowDxfId="3506" dataDxfId="3505"/>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E148BB02-6235-4B86-9A55-5DD75AD489E5}" name="Таблица15294255698397111116130142154166186183450668298114130146162178213753698510111713314956057659260461863264866468069671373030456075" displayName="Таблица15294255698397111116130142154166186183450668298114130146162178213753698510111713314956057659260461863264866468069671373030456075" ref="A93:G94" totalsRowShown="0" headerRowDxfId="3504" dataDxfId="3503" tableBorderDxfId="3502">
  <autoFilter ref="A93:G94" xr:uid="{BD66A881-30D1-4979-8390-5888D14E5877}"/>
  <tableColumns count="7">
    <tableColumn id="1" xr3:uid="{2F8946CF-3EA4-4B3F-BF6C-795F4148CB33}" name="Дата" dataDxfId="3501"/>
    <tableColumn id="2" xr3:uid="{C95B53D7-4218-4E89-BEAD-674ECBDC7501}" name="Клиент" dataDxfId="3500"/>
    <tableColumn id="3" xr3:uid="{EAE82518-495E-44F2-A248-E5CEAFB1D308}" name="Менеджер" dataDxfId="3499" dataCellStyle="Обычный 2"/>
    <tableColumn id="4" xr3:uid="{661FDC0B-0979-45C2-9C90-8E59EBFDE290}" name="Контакт в 1С" dataDxfId="3498"/>
    <tableColumn id="5" xr3:uid="{ECCBB4F0-093C-44D7-BA41-16E21766AF35}" name="№ сделки" dataDxfId="3497"/>
    <tableColumn id="6" xr3:uid="{8315C800-1909-48C5-A665-AAA999C404D1}" name="Цель" dataDxfId="3496"/>
    <tableColumn id="7" xr3:uid="{5BC43D99-7319-40CC-B5B6-2E4E99A72CE6}" name="Результат" dataDxfId="3495"/>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27E044FD-C1B4-4ECA-B113-B1C43B0B0EC4}" name="Таблица49369971673331466176" displayName="Таблица49369971673331466176" ref="A21:D33" totalsRowShown="0" headerRowDxfId="3494" headerRowBorderDxfId="3493" tableBorderDxfId="3492" totalsRowBorderDxfId="3491">
  <autoFilter ref="A21:D33" xr:uid="{8999CE3E-52FF-4AF3-AA18-1DA9A764C519}"/>
  <tableColumns count="4">
    <tableColumn id="1" xr3:uid="{4711EE9A-B927-4696-A6F0-09C51D6FF0D5}" name="Месяц" dataDxfId="3490"/>
    <tableColumn id="2" xr3:uid="{87831666-83E5-46BE-BFFF-30BE3A0CCE61}" name="Профит" dataDxfId="3489"/>
    <tableColumn id="3" xr3:uid="{2DF58429-656F-4EAC-B1F6-61CFEE0EAC1B}" name="План" dataDxfId="3488"/>
    <tableColumn id="4" xr3:uid="{EFA1D3F9-07CD-4009-8E64-39058282D7AB}" name="Выполнение" dataDxfId="3487"/>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A2B8D1BD-0BB7-4C35-AE4E-460F7BA3A628}" name="Таблица110291630374451586572233037445158657279869310092235486276901041071271391511631831529476379951111271431591751834506682981141301465455615775896056196356516676837007171632476277" displayName="Таблица110291630374451586572233037445158657279869310092235486276901041071271391511631831529476379951111271431591751834506682981141301465455615775896056196356516676837007171632476277" ref="A6:F7" totalsRowShown="0" headerRowDxfId="3486" dataDxfId="3485">
  <tableColumns count="6">
    <tableColumn id="1" xr3:uid="{50CBC1C4-7463-49B9-ACDB-0A0CB7157660}" name="Менеджер" dataDxfId="3484"/>
    <tableColumn id="2" xr3:uid="{359F3BFB-EEB8-42A9-A3A3-B84A5FE744AA}" name="План, руб." dataDxfId="3483">
      <calculatedColumnFormula>C22</calculatedColumnFormula>
    </tableColumn>
    <tableColumn id="3" xr3:uid="{2FB9A57D-AA10-4D30-807B-3E58EC2849C7}" name="Факт, руб." dataDxfId="3482">
      <calculatedColumnFormula>B22</calculatedColumnFormula>
    </tableColumn>
    <tableColumn id="4" xr3:uid="{5CB0DA3D-05B0-4256-8E54-3143C54CF9F9}" name="Отклонение, %" dataDxfId="3481" dataCellStyle="Процентный">
      <calculatedColumnFormula>Таблица110291630374451586572233037445158657279869310092235486276901041071271391511631831529476379951111271431591751834506682981141301465455615775896056196356516676837007171632476277[Факт, руб.]/Таблица110291630374451586572233037445158657279869310092235486276901041071271391511631831529476379951111271431591751834506682981141301465455615775896056196356516676837007171632476277[План, руб.]-100%</calculatedColumnFormula>
    </tableColumn>
    <tableColumn id="7" xr3:uid="{60CA41C8-8C13-4807-9D7E-CB9DB728E7AB}" name="Отклонение, РУБ" dataDxfId="3480" dataCellStyle="Процентный">
      <calculatedColumnFormula>Таблица110291630374451586572233037445158657279869310092235486276901041071271391511631831529476379951111271431591751834506682981141301465455615775896056196356516676837007171632476277[Факт, руб.]-Таблица110291630374451586572233037445158657279869310092235486276901041071271391511631831529476379951111271431591751834506682981141301465455615775896056196356516676837007171632476277[План, руб.]</calculatedColumnFormula>
    </tableColumn>
    <tableColumn id="5" xr3:uid="{1F41A6D0-9C66-4591-8D48-ADA7E9884354}" name="Предыд месяц" dataDxfId="3479" dataCellStyle="Процентный"/>
  </tableColumns>
  <tableStyleInfo name="TableStyleMedium2"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2A1F173-A20D-4F57-B4AC-399C19EEDFAB}" name="Таблица2113017313845525966732431384552596673808794101102336496377911051091281401521641841632486480961121281441601761935516783991151311475465625785906066206366526686847017181733486378" displayName="Таблица2113017313845525966732431384552596673808794101102336496377911051091281401521641841632486480961121281441601761935516783991151311475465625785906066206366526686847017181733486378" ref="A16:E17" totalsRowShown="0" headerRowDxfId="3478" dataDxfId="3477">
  <tableColumns count="5">
    <tableColumn id="1" xr3:uid="{1CCEC3A6-F276-4682-86D7-5A6630D4F7BE}" name="Менеджер" dataDxfId="3476"/>
    <tableColumn id="2" xr3:uid="{3153909D-13A1-4BD8-B45E-3CF1FA046EBC}" name="Профит ФГ 23-24" dataDxfId="3475"/>
    <tableColumn id="3" xr3:uid="{8B9513CE-0DCD-4E05-916A-1A62D80832B5}" name="Профит ФГ 24-25" dataDxfId="3474"/>
    <tableColumn id="4" xr3:uid="{78937BD5-5573-4FD8-B780-AF7D88A73215}" name="Профит ФГ 25-26" dataDxfId="3473" dataCellStyle="Процентный">
      <calculatedColumnFormula>B34</calculatedColumnFormula>
    </tableColumn>
    <tableColumn id="5" xr3:uid="{70A9DC46-0BBB-49B1-9049-4DAE4E4C1E94}" name="Рост накопительно, % " dataDxfId="3472">
      <calculatedColumnFormula>Таблица2113017313845525966732431384552596673808794101102336496377911051091281401521641841632486480961121281441601761935516783991151311475465625785906066206366526686847017181733486378[Профит ФГ 25-26]/Таблица2113017313845525966732431384552596673808794101102336496377911051091281401521641841632486480961121281441601761935516783991151311475465625785906066206366526686847017181733486378[Профит ФГ 24-25]</calculatedColumnFormula>
    </tableColumn>
  </tableColumns>
  <tableStyleInfo name="TableStyleMedium2"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064EE59-8001-4834-B005-77A30E2B9DE5}" name="Таблица5462433183239465360677425323946536067748188951021124375064789210611012914115316518517334965819711312914516117720365268841001161321485475635795936076216376536696857027191934496479" displayName="Таблица5462433183239465360677425323946536067748188951021124375064789210611012914115316518517334965819711312914516117720365268841001161321485475635795936076216376536696857027191934496479" ref="A45:D48" totalsRowShown="0" headerRowDxfId="3471" dataDxfId="3470">
  <autoFilter ref="A45:D48" xr:uid="{3EADDA2E-FD58-4130-8A1C-8C20137591BB}"/>
  <tableColumns count="4">
    <tableColumn id="2" xr3:uid="{47F082F2-9321-4264-9B2F-D551E8EB4A93}" name="Холдинг" dataDxfId="3469"/>
    <tableColumn id="3" xr3:uid="{39DF4975-9C07-4E25-BDDB-F36DF2717BD1}" name="Сумма просроченного долга" dataDxfId="3468" dataCellStyle="Денежный"/>
    <tableColumn id="4" xr3:uid="{07789024-4A43-4BDB-A7B6-8C67500C69FB}" name="Общая сумма долга" dataDxfId="3467" dataCellStyle="Денежный"/>
    <tableColumn id="5" xr3:uid="{54B44FC2-17D1-4748-859D-F075E63C0D5B}" name="% просрочки" dataDxfId="3466" dataCellStyle="Процентный">
      <calculatedColumnFormula>Таблица5462433183239465360677425323946536067748188951021124375064789210611012914115316518517334965819711312914516117720365268841001161321485475635795936076216376536696857027191934496479[[#This Row],[Сумма просроченного долга]]/Таблица5462433183239465360677425323946536067748188951021124375064789210611012914115316518517334965819711312914516117720365268841001161321485475635795936076216376536696857027191934496479[[#This Row],[Общая сумма долга]]</calculatedColumnFormula>
    </tableColumn>
  </tableColumns>
  <tableStyleInfo name="TableStyleMedium2"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66727785-5122-45A1-8B61-2A4EBF56ADA4}" name="Таблица1730435670849811211713114315516718719355167839911513114716317922385470861021181341505485645805946086226386546706867037202035506580" displayName="Таблица1730435670849811211713114315516718719355167839911513114716317922385470861021181341505485645805946086226386546706867037202035506580" ref="A117:G163" totalsRowShown="0" headerRowDxfId="3465" dataDxfId="3464" tableBorderDxfId="3463">
  <autoFilter ref="A117:G163" xr:uid="{5F2E2A5D-7666-4FD4-A50A-70ADD98392B4}"/>
  <sortState xmlns:xlrd2="http://schemas.microsoft.com/office/spreadsheetml/2017/richdata2" ref="A118:E163">
    <sortCondition ref="A117:A163"/>
  </sortState>
  <tableColumns count="7">
    <tableColumn id="1" xr3:uid="{C7F71DCD-A504-45B4-8208-79B45EE469ED}" name="Дата" dataDxfId="3462"/>
    <tableColumn id="2" xr3:uid="{F173227D-F64A-438C-9630-1CCAD5C9347A}" name="Клиент" dataDxfId="3461"/>
    <tableColumn id="3" xr3:uid="{C1F4A0F8-9AD0-456B-8D77-BA9CDBCDDEED}" name="Менеджер" dataDxfId="3460" dataCellStyle="Обычный 2"/>
    <tableColumn id="4" xr3:uid="{7AD7FC23-45F1-4EB4-A0FC-0FFA4890AEF6}" name="Контакт в 1С" dataDxfId="3459"/>
    <tableColumn id="5" xr3:uid="{705E4F8E-CBCA-490C-91BD-71A6FBED41E6}" name="№ сделки" dataDxfId="3458"/>
    <tableColumn id="6" xr3:uid="{20D681E9-C370-4569-84BD-500304AB7CD7}" name="Цель" dataDxfId="3457"/>
    <tableColumn id="7" xr3:uid="{0F0128C3-8454-4EF1-A1CD-E1C4EA69A4B3}" name="Результат" dataDxfId="3456"/>
  </tableColumns>
  <tableStyleInfo name="TableStyleMedium2"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4B159687-6D15-4823-825A-ED7A084FDB58}" name="Таблица19314457718599113120132144156168188203652688410011613214816418023395571871031191351515495655815956096236396556716877047212136516681" displayName="Таблица19314457718599113120132144156168188203652688410011613214816418023395571871031191351515495655815956096236396556716877047212136516681" ref="A168:G171" totalsRowShown="0" headerRowDxfId="3455" dataDxfId="3454" tableBorderDxfId="3453">
  <autoFilter ref="A168:G171" xr:uid="{CC17A23E-B8E4-4CBF-BC3B-16FF0249D515}"/>
  <tableColumns count="7">
    <tableColumn id="1" xr3:uid="{089F4483-E20E-4742-94B9-8813D76702FA}" name="Цель" dataDxfId="3452" dataCellStyle="Обычный 2"/>
    <tableColumn id="2" xr3:uid="{36DCCC34-0DA2-4412-AE11-D3A9FFCA942D}" name="Необходимый результат" dataDxfId="3451" dataCellStyle="Обычный 2"/>
    <tableColumn id="3" xr3:uid="{C1FAEC4D-4AAB-4D64-8D31-597124E871E7}" name="Выполнено да/нет" dataDxfId="3450" dataCellStyle="Обычный"/>
    <tableColumn id="4" xr3:uid="{24D3747E-26A0-4DC1-A32C-30ECFC6AE3F9}" name="Комментарий по выполненной задаче" dataDxfId="3449" dataCellStyle="Обычный 2"/>
    <tableColumn id="5" xr3:uid="{6EC07C6D-8A8C-4FE6-B2E0-D30D108BB98B}" name="Мотивация" dataDxfId="3448"/>
    <tableColumn id="6" xr3:uid="{DF030FBA-B293-4681-BB4F-09E0A812AE1E}" name="Менеджер" dataDxfId="3447"/>
    <tableColumn id="7" xr3:uid="{6534D1A5-AF5B-4B33-9406-384E82F8A9BE}" name="К оплате" dataDxfId="3446">
      <calculatedColumnFormula>12000*0.7</calculatedColumnFormula>
    </tableColumn>
  </tableColumns>
  <tableStyleInfo name="TableStyleMedium2"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75150F2D-F0FB-4D61-B7DE-A65A44B5ADBE}" name="Таблица203245587286100114121133145157169189213753698510111713314916518124405672881041201361525505665825966106246406566726887057222237526782" displayName="Таблица203245587286100114121133145157169189213753698510111713314916518124405672881041201361525505665825966106246406566726887057222237526782" ref="A175:G177" totalsRowShown="0" headerRowDxfId="3445" dataDxfId="3444" tableBorderDxfId="3443">
  <autoFilter ref="A175:G177" xr:uid="{16803243-7F25-4AF5-AE4A-7C5E11F25A09}"/>
  <tableColumns count="7">
    <tableColumn id="1" xr3:uid="{BB11B0F7-D028-44B7-A42A-65CDBA0F4BB2}" name="Цель" dataDxfId="3442"/>
    <tableColumn id="2" xr3:uid="{945A51FA-F5DF-4900-950F-9EB7864E22FB}" name="Необходимый результат" dataDxfId="3441"/>
    <tableColumn id="3" xr3:uid="{321EC4A2-5EF4-4592-8C38-1C4F85E4155E}" name="Выполнено да/нет" dataDxfId="3440"/>
    <tableColumn id="4" xr3:uid="{DECEBA3E-C59B-4D0C-A863-29B799EA8723}" name="Комментарий по выполненной задаче" dataDxfId="3439"/>
    <tableColumn id="5" xr3:uid="{32FDFABF-178F-469C-AFC0-576B791A8CDF}" name="Мотивация" dataDxfId="3438"/>
    <tableColumn id="6" xr3:uid="{2C05AC12-6B37-41D0-962C-D7BB09199E78}" name="Менеджер" dataDxfId="3437"/>
    <tableColumn id="7" xr3:uid="{3E0F21A7-AC65-46C8-93BB-1DAF6939BE08}" name="К оплате" dataDxfId="3436"/>
  </tableColumns>
  <tableStyleInfo name="TableStyleMedium2"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FC004AEC-AB55-471E-A4CE-9F185016C948}" name="Таблица163346597387101115122134146158170190223854708610211813415016618225415773891051211371535515675835976116256416576736897067232338536883" displayName="Таблица163346597387101115122134146158170190223854708610211813415016618225415773891051211371535515675835976116256416576736897067232338536883" ref="A54:F62" totalsRowShown="0" headerRowDxfId="3435" dataDxfId="3434" totalsRowDxfId="3432" tableBorderDxfId="3433" totalsRowBorderDxfId="3431">
  <autoFilter ref="A54:F62" xr:uid="{9246B9BD-73A5-4351-9AA2-07EE59ED4E9D}"/>
  <sortState xmlns:xlrd2="http://schemas.microsoft.com/office/spreadsheetml/2017/richdata2" ref="A55:F62">
    <sortCondition descending="1" ref="C54:C62"/>
  </sortState>
  <tableColumns count="6">
    <tableColumn id="1" xr3:uid="{05DC6717-5554-4477-9C9F-9915DFF60054}" name="Клиент" dataDxfId="3430" totalsRowDxfId="3429"/>
    <tableColumn id="2" xr3:uid="{B700EFEB-F55A-4F37-8156-653A2A6D7A20}" name="Оборот" dataDxfId="3428" totalsRowDxfId="3427"/>
    <tableColumn id="3" xr3:uid="{6C7CE630-5162-42CD-AD96-2AFB76B998EE}" name="Профит " dataDxfId="3426" totalsRowDxfId="3425"/>
    <tableColumn id="4" xr3:uid="{874E8E64-577B-408B-A8DC-7C7133F74CB8}" name="%" dataDxfId="3424" totalsRowDxfId="3423"/>
    <tableColumn id="5" xr3:uid="{A673A48D-5927-4324-BAA3-FA071EA32B25}" name="Менеджер" dataDxfId="3422" totalsRowDxfId="3421"/>
    <tableColumn id="6" xr3:uid="{B1C19FEF-D823-4497-B05C-CDB4234B02FD}" name="Комментарий" dataDxfId="3420" totalsRowDxfId="3419" dataCellStyle="Финансовый"/>
  </tableColumns>
  <tableStyleInfo name="TableStyleLight9"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634AF1DE-5E61-4E00-A9C9-ACE59F9ACD2E}" name="Таблица4211720344148556269768390978390111118125132139146153160167174181188195613202734414855626976839097104111118125132139146153160167175183198206214123135147159171191233955718710311913515116718326425874901061221381545525685845986126266426586746907077284" displayName="Таблица4211720344148556269768390978390111118125132139146153160167174181188195613202734414855626976839097104111118125132139146153160167175183198206214123135147159171191233955718710311913515116718326425874901061221381545525685845986126266426586746907077284" ref="A74:H84" totalsRowShown="0" headerRowDxfId="3418" dataDxfId="3417" dataCellStyle="Обычный 2">
  <autoFilter ref="A74:H84" xr:uid="{4ACBF2F4-2982-4E59-8F46-ECCA5C6BC7F5}"/>
  <sortState xmlns:xlrd2="http://schemas.microsoft.com/office/spreadsheetml/2017/richdata2" ref="A75:H84">
    <sortCondition descending="1" ref="G74:G84"/>
  </sortState>
  <tableColumns count="8">
    <tableColumn id="1" xr3:uid="{F6507B64-8AAA-4B5B-A371-F4922C991AAD}" name="Номер" dataDxfId="3416" dataCellStyle="Обычный 2"/>
    <tableColumn id="3" xr3:uid="{07F04660-636B-4273-ACD1-110A463C1F63}" name="Клиент" dataDxfId="3415" dataCellStyle="Обычный 2"/>
    <tableColumn id="4" xr3:uid="{D5F9DF77-ED02-4EDB-9FDB-14ECDD85D511}" name="Менеджер" dataDxfId="3414" dataCellStyle="Обычный 2"/>
    <tableColumn id="5" xr3:uid="{A6E39A0E-27E6-49E3-AA2B-7FF43B7FBFBD}" name="Проект" dataDxfId="3413" dataCellStyle="Обычный 2"/>
    <tableColumn id="6" xr3:uid="{68A60D40-94AA-4936-B93C-E8C9FAF788B3}" name="Краткое описание проекта" dataDxfId="3412" dataCellStyle="Обычный 2"/>
    <tableColumn id="7" xr3:uid="{6C5E4A56-962D-43EF-806D-C5ADA2D1AF8B}" name="Дата завершения сделки" dataDxfId="3411" dataCellStyle="Обычный 2"/>
    <tableColumn id="8" xr3:uid="{3E033502-49DB-4577-AA97-8264528BC365}" name="Сумма, тыс. руб." dataDxfId="3410" dataCellStyle="Обычный"/>
    <tableColumn id="2" xr3:uid="{66960515-BFA3-414D-9A6A-722F55437126}" name="Статус" dataDxfId="3409"/>
  </tableColumns>
  <tableStyleInfo name="TableStyleMedium2"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5D84F6AD-E243-49AF-B540-3305E4D33DC0}" name="Таблица9132738193340475461687582899682891101171241311381451521591661731801871945121926334047546168758289961031101171241311381451521591661741821902052131191251371491611731932541567288104120136152168184274359759110712313915555356958559961362764365967569785" displayName="Таблица9132738193340475461687582899682891101171241311381451521591661731801871945121926334047546168758289961031101171241311381451521591661741821902052131191251371491611731932541567288104120136152168184274359759110712313915555356958559961362764365967569785" ref="A68:H69" headerRowCount="0" totalsRowShown="0" headerRowDxfId="3408" dataDxfId="3407">
  <tableColumns count="8">
    <tableColumn id="1" xr3:uid="{6B85E6D9-8CB3-41E0-BC7A-C3AF2BF6FC19}" name="Февраль 2015" headerRowDxfId="3406" dataDxfId="3405" dataCellStyle="Название"/>
    <tableColumn id="2" xr3:uid="{D85CA8CD-EC72-475F-BA86-617FF96446CD}" name="Столбец1" headerRowDxfId="3404" dataDxfId="3403"/>
    <tableColumn id="3" xr3:uid="{0755219B-3FAA-44EA-A4CA-68DE13B4DD71}" name="Столбец2" headerRowDxfId="3402" dataDxfId="3401"/>
    <tableColumn id="4" xr3:uid="{40D98D01-3C3B-49B8-B0C3-B62C936A572D}" name="Столбец3" headerRowDxfId="3400" dataDxfId="3399"/>
    <tableColumn id="5" xr3:uid="{CD0D6E70-C7D7-4B8F-AC25-D15EA4E4F22D}" name="Столбец4" headerRowDxfId="3398" dataDxfId="3397"/>
    <tableColumn id="6" xr3:uid="{0C362ACD-E6CD-43FF-8877-711460F8CCD6}" name="Столбец5" headerRowDxfId="3396" dataDxfId="3395"/>
    <tableColumn id="7" xr3:uid="{FFEF2E1B-A8AE-4B0A-BE7B-5CCD04C3620D}" name="Столбец6" headerRowDxfId="3394" dataDxfId="3393"/>
    <tableColumn id="8" xr3:uid="{52275C69-2358-4FD6-B2A1-C6C3774A5ACF}" name="Столбец7" headerRowDxfId="3392" dataDxfId="3391"/>
  </tableColumns>
  <tableStyleInfo name="TableStyleMedium2"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C954DC54-C0F7-4B5C-939D-8D77CF51A5AB}" name="Таблица125138150162174194264257738910512113715316918528446076921081241401565545705866006146286446606766927097262641567186" displayName="Таблица125138150162174194264257738910512113715316918528446076921081241401565545705866006146286446606766927097262641567186" ref="A88:H103" totalsRowShown="0" headerRowDxfId="3390" dataDxfId="3389">
  <autoFilter ref="A88:H103" xr:uid="{0F3DFAA2-5FF8-417D-8496-A5C766071E19}"/>
  <sortState xmlns:xlrd2="http://schemas.microsoft.com/office/spreadsheetml/2017/richdata2" ref="A89:H103">
    <sortCondition descending="1" ref="G88:G103"/>
  </sortState>
  <tableColumns count="8">
    <tableColumn id="1" xr3:uid="{C77B0BC5-1DDF-4F1C-8DD0-BB7203AC4A0D}" name="Номер" dataDxfId="3388"/>
    <tableColumn id="2" xr3:uid="{471D2528-F4D3-4F59-99D6-BEA34FE072DE}" name="Клиент" dataDxfId="3387"/>
    <tableColumn id="3" xr3:uid="{1C061F08-A707-4E52-9637-950FA0817435}" name="Менеджер" dataDxfId="3386" dataCellStyle="Обычный 2"/>
    <tableColumn id="4" xr3:uid="{A740DCDB-6A19-4CE1-9B2D-CD81DE66C174}" name="Проект" dataDxfId="3385"/>
    <tableColumn id="5" xr3:uid="{CE446E8A-FDC7-4F85-A676-1C5EC9722840}" name="Краткое описание проекта" dataDxfId="3384"/>
    <tableColumn id="6" xr3:uid="{B97551C6-4228-4103-96FA-9BF20BB0BC6E}" name="Дата завершения сделки" dataDxfId="3383"/>
    <tableColumn id="7" xr3:uid="{6749A80F-5078-4598-B87A-1B752D3B4646}" name="Сумма" dataDxfId="3382"/>
    <tableColumn id="8" xr3:uid="{D437A501-8E41-459B-9EC2-C0D6A568D119}" name="Статус" dataDxfId="3381"/>
  </tableColumns>
  <tableStyleInfo name="TableStyleMedium2"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78CAE8CD-0BA1-47C3-8DD7-645CA4D180D2}" name="Таблица175195274358749010612213815417018629456177931091251411575555715876016156296456616776937107272742577287" displayName="Таблица175195274358749010612213815417018629456177931091251411575555715876016156296456616776937107272742577287" ref="A11:E12" totalsRowShown="0" headerRowDxfId="3380" dataDxfId="3379" tableBorderDxfId="3378">
  <tableColumns count="5">
    <tableColumn id="1" xr3:uid="{A866C352-D9B2-4819-A1AD-D8802B2B6E74}" name="Менеджер" dataDxfId="3377"/>
    <tableColumn id="2" xr3:uid="{3791FE9E-E673-4A7C-A0EB-841CE87D3F13}" name="План с НАЧАЛА ФГ, руб." dataDxfId="3376">
      <calculatedColumnFormula>SUM(C22)</calculatedColumnFormula>
    </tableColumn>
    <tableColumn id="3" xr3:uid="{E892404E-4887-4237-846D-9D364D2A8CD9}" name="Факт с НАЧАЛА ФГ, руб." dataDxfId="3375">
      <calculatedColumnFormula>B34</calculatedColumnFormula>
    </tableColumn>
    <tableColumn id="4" xr3:uid="{8108A193-B806-4CEE-9935-B7B31729FC86}" name="Отклонение, %" dataDxfId="3374">
      <calculatedColumnFormula>C12/B12-100%</calculatedColumnFormula>
    </tableColumn>
    <tableColumn id="5" xr3:uid="{FB80E61C-26BB-4282-9E32-68603C929C10}" name="Отклонение, РУБ" dataDxfId="3373">
      <calculatedColumnFormula>C12-B12</calculatedColumnFormula>
    </tableColumn>
  </tableColumns>
  <tableStyleInfo name="TableStyleMedium2"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D6FC29B9-0308-4FC0-9D79-FD597597BC00}" name="Таблица294459759110712313915517118730466278941101261421585565725886026166306466626786947117282843587388" displayName="Таблица294459759110712313915517118730466278941101261421585565725886026166306466626786947117282843587388" ref="A39:E40" totalsRowShown="0" headerRowDxfId="3372" dataDxfId="3371">
  <autoFilter ref="A39:E40" xr:uid="{A123EA08-D8D4-4987-8146-FF08418E565C}"/>
  <tableColumns count="5">
    <tableColumn id="2" xr3:uid="{A5A249C3-0794-4747-8CEA-078463AC8749}" name="Факт" dataDxfId="3370">
      <calculatedColumnFormula>B22</calculatedColumnFormula>
    </tableColumn>
    <tableColumn id="9" xr3:uid="{7AFE66C3-6081-46C2-A215-979F9414EE39}" name="Оклад" dataDxfId="3369" dataCellStyle="Процентный">
      <calculatedColumnFormula>50000</calculatedColumnFormula>
    </tableColumn>
    <tableColumn id="4" xr3:uid="{FCB0C718-6D5B-459F-813C-B9C4558476FC}" name="Премия" dataDxfId="3368">
      <calculatedColumnFormula>A40*0.06</calculatedColumnFormula>
    </tableColumn>
    <tableColumn id="7" xr3:uid="{7E2E39AD-D916-4478-826C-CDDAF6B7CBD1}" name="Доплата за Задачи" dataDxfId="3367">
      <calculatedColumnFormula>SUM(G169:G171)</calculatedColumnFormula>
    </tableColumn>
    <tableColumn id="6" xr3:uid="{24A1CD5B-1DFD-4980-9864-693694D16C0A}" name="Штрафы" dataDxfId="3366"/>
  </tableColumns>
  <tableStyleInfo name="TableStyleMedium2"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F168FF88-F066-4584-98BD-2E00E28B6ADF}" name="Таблица9132738193340475461687582899682891101171241311381451521591661731801871945121926334047546168758289961031101171241311381451521591661741821902052131241361481601721922440627894110126142158174190334965819711312914516155957559160361763164766367969571789" displayName="Таблица9132738193340475461687582899682891101171241311381451521591661731801871945121926334047546168758289961031101171241311381451521591661741821902052131241361481601721922440627894110126142158174190334965819711312914516155957559160361763164766367969571789" ref="A65:H67" headerRowCount="0" totalsRowShown="0" headerRowDxfId="3365" dataDxfId="3364">
  <tableColumns count="8">
    <tableColumn id="1" xr3:uid="{D4EACC81-1035-4A0E-8F9A-322BAA8B8E65}" name="Февраль 2015" headerRowDxfId="3363" dataDxfId="3362" dataCellStyle="Название"/>
    <tableColumn id="2" xr3:uid="{B9E00A12-95AE-4A8E-B0FB-781451024253}" name="Столбец1" headerRowDxfId="3361" dataDxfId="3360"/>
    <tableColumn id="3" xr3:uid="{9C848DFA-9641-498E-B45D-37EF06324794}" name="Столбец2" headerRowDxfId="3359" dataDxfId="3358"/>
    <tableColumn id="4" xr3:uid="{1095F878-E4DD-4370-B33D-C778F022775B}" name="Столбец3" headerRowDxfId="3357" dataDxfId="3356"/>
    <tableColumn id="5" xr3:uid="{C4627A3E-22BD-4174-823E-F57A73DB23D6}" name="Столбец4" headerRowDxfId="3355" dataDxfId="3354"/>
    <tableColumn id="6" xr3:uid="{FF598499-D0D7-42E5-B395-3397DAA191A4}" name="Столбец5" headerRowDxfId="3353" dataDxfId="3352"/>
    <tableColumn id="7" xr3:uid="{6008D7EC-6C3F-44EC-8591-7662C8630C97}" name="Столбец6" headerRowDxfId="3351" dataDxfId="3350"/>
    <tableColumn id="8" xr3:uid="{AC57994A-B878-44C3-A943-A2D89DBA1D32}" name="Столбец7" headerRowDxfId="3349" dataDxfId="3348"/>
  </tableColumns>
  <tableStyleInfo name="TableStyleMedium2"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9B11B00A-9D4A-43C4-AB22-AD27CF71D92F}" name="Таблица1529425569839711111613014215416618618345066829811413014616217821375369851011171331495605765926046186326486646806967137303045607590" displayName="Таблица1529425569839711111613014215416618618345066829811413014616217821375369851011171331495605765926046186326486646806967137303045607590" ref="A108:G113" totalsRowShown="0" headerRowDxfId="3347" dataDxfId="3346" tableBorderDxfId="3345">
  <autoFilter ref="A108:G113" xr:uid="{BD66A881-30D1-4979-8390-5888D14E5877}"/>
  <tableColumns count="7">
    <tableColumn id="1" xr3:uid="{E95BB024-C65D-4A8B-AC37-587A31D61CCC}" name="Дата" dataDxfId="3344"/>
    <tableColumn id="2" xr3:uid="{2D2116BF-FC26-4E0E-9CF3-77F72E18AD00}" name="Клиент" dataDxfId="3343"/>
    <tableColumn id="3" xr3:uid="{4F25CDA9-351E-4E8A-8297-B5037A5F6B46}" name="Менеджер" dataDxfId="3342" dataCellStyle="Обычный 2"/>
    <tableColumn id="4" xr3:uid="{51CC2565-39B2-4D0A-8FDB-CBC68F562708}" name="Контакт в 1С" dataDxfId="3341"/>
    <tableColumn id="5" xr3:uid="{96A923F0-1D39-498B-946D-5968B14734AD}" name="№ сделки" dataDxfId="3340"/>
    <tableColumn id="6" xr3:uid="{797B7E09-F444-4629-A019-800256058AA1}" name="Цель" dataDxfId="3339"/>
    <tableColumn id="7" xr3:uid="{CDCCBA94-043F-4179-9AA8-F39346FD26D1}" name="Результат" dataDxfId="3338"/>
  </tableColumns>
  <tableStyleInfo name="TableStyleMedium2"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ACFB4D9B-DCB4-4ABF-971A-23CA375694D0}" name="Таблица4936997167333146617691" displayName="Таблица4936997167333146617691" ref="A21:D33" totalsRowShown="0" headerRowDxfId="3337" dataDxfId="3335" headerRowBorderDxfId="3336" tableBorderDxfId="3334" totalsRowBorderDxfId="3333">
  <autoFilter ref="A21:D33" xr:uid="{8999CE3E-52FF-4AF3-AA18-1DA9A764C519}"/>
  <tableColumns count="4">
    <tableColumn id="1" xr3:uid="{51FC72AF-0256-447D-97BF-CE845554C082}" name="Месяц" dataDxfId="3332"/>
    <tableColumn id="2" xr3:uid="{730EA790-AD7E-4F62-8550-627EA43E6A7F}" name="Профит" dataDxfId="3331"/>
    <tableColumn id="3" xr3:uid="{D71156BE-632A-449D-9B46-6B9C8D82BF70}" name="План" dataDxfId="3330"/>
    <tableColumn id="4" xr3:uid="{818969C2-705C-4E03-AADC-94749D825BF8}" name="Выполнение" dataDxfId="3329">
      <calculatedColumnFormula>Таблица4936997167333146617691[[#This Row],[Профит]]/Таблица4936997167333146617691[[#This Row],[План]]</calculatedColumnFormula>
    </tableColumn>
  </tableColumns>
  <tableStyleInfo name="TableStyleMedium2"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9131BF97-67BE-4701-8819-502401E095B3}" name="Таблица11029163037445158657223303744515865727986931009223548627690104107127139151163183152947637995111127143159175183450668298114130146545561577589605619635651667683700717163247627792" displayName="Таблица11029163037445158657223303744515865727986931009223548627690104107127139151163183152947637995111127143159175183450668298114130146545561577589605619635651667683700717163247627792" ref="A6:F7" totalsRowShown="0" headerRowDxfId="3328" dataDxfId="3327">
  <tableColumns count="6">
    <tableColumn id="1" xr3:uid="{11D3C47D-BDDC-4A23-8BC4-019B9C068C5F}" name="Менеджер" dataDxfId="3326"/>
    <tableColumn id="2" xr3:uid="{D13A97EC-F8FA-4B3E-B09D-E13970F923B5}" name="План, руб." dataDxfId="3325"/>
    <tableColumn id="3" xr3:uid="{52DFB21C-C3BD-4C6B-80E6-520285A8DD58}" name="Факт, руб." dataDxfId="3324">
      <calculatedColumnFormula>B23</calculatedColumnFormula>
    </tableColumn>
    <tableColumn id="4" xr3:uid="{FF4C84F5-35EA-4001-B957-E654B762D662}" name="Отклонение, %" dataDxfId="3323" dataCellStyle="Процентный">
      <calculatedColumnFormula>Таблица11029163037445158657223303744515865727986931009223548627690104107127139151163183152947637995111127143159175183450668298114130146545561577589605619635651667683700717163247627792[Факт, руб.]/Таблица11029163037445158657223303744515865727986931009223548627690104107127139151163183152947637995111127143159175183450668298114130146545561577589605619635651667683700717163247627792[План, руб.]-100%</calculatedColumnFormula>
    </tableColumn>
    <tableColumn id="7" xr3:uid="{5332717D-E5BA-4A61-BDB9-F651AAAADF04}" name="Отклонение, РУБ" dataDxfId="3322" dataCellStyle="Процентный">
      <calculatedColumnFormula>Таблица11029163037445158657223303744515865727986931009223548627690104107127139151163183152947637995111127143159175183450668298114130146545561577589605619635651667683700717163247627792[Факт, руб.]-Таблица11029163037445158657223303744515865727986931009223548627690104107127139151163183152947637995111127143159175183450668298114130146545561577589605619635651667683700717163247627792[План, руб.]</calculatedColumnFormula>
    </tableColumn>
    <tableColumn id="5" xr3:uid="{BAE021AB-8E48-4036-AC45-15055134098F}" name="Предыд месяц" dataDxfId="3321" dataCellStyle="Процентный">
      <calculatedColumnFormula>B22</calculatedColumnFormula>
    </tableColumn>
  </tableColumns>
  <tableStyleInfo name="TableStyleMedium2"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A8B77EAE-9D10-4BD4-9491-09C0E46DF73B}" name="Таблица211301731384552596673243138455259667380879410110233649637791105109128140152164184163248648096112128144160176193551678399115131147546562578590606620636652668684701718173348637893" displayName="Таблица211301731384552596673243138455259667380879410110233649637791105109128140152164184163248648096112128144160176193551678399115131147546562578590606620636652668684701718173348637893" ref="A16:E17" totalsRowShown="0" headerRowDxfId="3320" dataDxfId="3319">
  <tableColumns count="5">
    <tableColumn id="1" xr3:uid="{40941391-DE77-4B0D-AB36-383DD565661F}" name="Менеджер" dataDxfId="3318"/>
    <tableColumn id="2" xr3:uid="{A2D1B6BE-B9C3-4969-A318-F1F46B3DFF05}" name="Профит ФГ 23-24" dataDxfId="3317"/>
    <tableColumn id="3" xr3:uid="{800C3BC8-50B0-476F-9E05-1DFFA2002022}" name="Профит ФГ 24-25" dataDxfId="3316"/>
    <tableColumn id="4" xr3:uid="{1386F374-9136-4547-9602-5B71AA16A226}" name="Профит ФГ 25-26" dataDxfId="3315" dataCellStyle="Процентный">
      <calculatedColumnFormula>B34</calculatedColumnFormula>
    </tableColumn>
    <tableColumn id="5" xr3:uid="{946CC391-683D-4266-8F9F-AF3B635F6ADE}" name="Рост накопительно, % " dataDxfId="3314">
      <calculatedColumnFormula>Таблица211301731384552596673243138455259667380879410110233649637791105109128140152164184163248648096112128144160176193551678399115131147546562578590606620636652668684701718173348637893[Профит ФГ 25-26]/Таблица211301731384552596673243138455259667380879410110233649637791105109128140152164184163248648096112128144160176193551678399115131147546562578590606620636652668684701718173348637893[Профит ФГ 24-25]</calculatedColumnFormula>
    </tableColumn>
  </tableColumns>
  <tableStyleInfo name="TableStyleMedium2"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F026830D-5E49-4F0E-8E5C-1EBD53B18974}" name="Таблица546243318323946536067742532394653606774818895102112437506478921061101291411531651851733496581971131291451611772036526884100116132148547563579593607621637653669685702719193449647994" displayName="Таблица546243318323946536067742532394653606774818895102112437506478921061101291411531651851733496581971131291451611772036526884100116132148547563579593607621637653669685702719193449647994" ref="A45:D47" totalsRowShown="0" headerRowDxfId="3313" dataDxfId="3312">
  <autoFilter ref="A45:D47" xr:uid="{3EADDA2E-FD58-4130-8A1C-8C20137591BB}"/>
  <tableColumns count="4">
    <tableColumn id="2" xr3:uid="{6ECBEC7E-A3A6-4F73-B4ED-3017826D197C}" name="Холдинг" dataDxfId="3311"/>
    <tableColumn id="3" xr3:uid="{0E4693C5-A6D1-4631-8C16-304DC588CBC5}" name="Сумма просроченного долга" dataDxfId="3310" dataCellStyle="Денежный"/>
    <tableColumn id="4" xr3:uid="{7A866A13-26D1-464D-ABFC-F75BA1B4FB65}" name="Общая сумма долга" dataDxfId="3309" dataCellStyle="Денежный"/>
    <tableColumn id="5" xr3:uid="{919465C2-170B-4EC0-BFEF-CD9A2D0532CA}" name="% просрочки" dataDxfId="3308" dataCellStyle="Процентный">
      <calculatedColumnFormula>Таблица546243318323946536067742532394653606774818895102112437506478921061101291411531651851733496581971131291451611772036526884100116132148547563579593607621637653669685702719193449647994[[#This Row],[Сумма просроченного долга]]/Таблица546243318323946536067742532394653606774818895102112437506478921061101291411531651851733496581971131291451611772036526884100116132148547563579593607621637653669685702719193449647994[[#This Row],[Общая сумма долга]]</calculatedColumnFormula>
    </tableColumn>
  </tableColumns>
  <tableStyleInfo name="TableStyleMedium2"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7A710AC8-63CE-4879-82B4-7E27B63DD53E}" name="Таблица173043567084981121171311431551671871935516783991151311471631792238547086102118134150548564580594608622638654670686703720203550658095" displayName="Таблица173043567084981121171311431551671871935516783991151311471631792238547086102118134150548564580594608622638654670686703720203550658095" ref="A103:G144" totalsRowShown="0" headerRowDxfId="3307" dataDxfId="3306" tableBorderDxfId="3305">
  <autoFilter ref="A103:G144" xr:uid="{5F2E2A5D-7666-4FD4-A50A-70ADD98392B4}"/>
  <sortState xmlns:xlrd2="http://schemas.microsoft.com/office/spreadsheetml/2017/richdata2" ref="A104:G144">
    <sortCondition ref="D103:D144"/>
  </sortState>
  <tableColumns count="7">
    <tableColumn id="1" xr3:uid="{4A6DB83C-D8B5-4EE7-8482-5F21137D7BA2}" name="Дата" dataDxfId="3304"/>
    <tableColumn id="2" xr3:uid="{E7B04544-2CE9-4837-B1F7-3C5FA6110DD8}" name="Клиент" dataDxfId="3303"/>
    <tableColumn id="3" xr3:uid="{7027AA1B-3517-4DD8-AF4C-901F452F300D}" name="Менеджер" dataDxfId="3302" dataCellStyle="Обычный 2"/>
    <tableColumn id="4" xr3:uid="{E6A15E41-9E80-4518-8E61-2D84E816E175}" name="Контакт в 1С" dataDxfId="3301"/>
    <tableColumn id="5" xr3:uid="{65032433-EEB4-4EEE-A798-AF07916A8AA5}" name="№ сделки" dataDxfId="3300"/>
    <tableColumn id="6" xr3:uid="{E3590825-F8CB-448E-A97D-D0F7074CFE14}" name="Цель" dataDxfId="3299"/>
    <tableColumn id="7" xr3:uid="{D2E8927B-858D-4D77-A045-DE4DBDE9CA0C}" name="Результат" dataDxfId="3298"/>
  </tableColumns>
  <tableStyleInfo name="TableStyleMedium2"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02B9335F-C34F-453C-BBA1-74ABAC7E7DDD}" name="Таблица1931445771859911312013214415616818820365268841001161321481641802339557187103119135151549565581595609623639655671687704721213651668196" displayName="Таблица1931445771859911312013214415616818820365268841001161321481641802339557187103119135151549565581595609623639655671687704721213651668196" ref="A149:G153" totalsRowShown="0" headerRowDxfId="3297" dataDxfId="3296" tableBorderDxfId="3295">
  <autoFilter ref="A149:G153" xr:uid="{CC17A23E-B8E4-4CBF-BC3B-16FF0249D515}"/>
  <tableColumns count="7">
    <tableColumn id="1" xr3:uid="{822A63E2-DBB4-4F09-9DBD-CA6AF3831DDF}" name="Цель" dataDxfId="3294" dataCellStyle="Обычный 2"/>
    <tableColumn id="2" xr3:uid="{7A87CEF1-2397-44F0-95A8-F88ADCE04F13}" name="Необходимый результат" dataDxfId="3293" dataCellStyle="Обычный 2"/>
    <tableColumn id="3" xr3:uid="{F037BEF7-0CAC-437E-ACC2-A8246E758377}" name="Выполнено да/нет" dataDxfId="3292" dataCellStyle="Обычный"/>
    <tableColumn id="4" xr3:uid="{4F56331E-CC96-466C-8CB4-13FFF16395BE}" name="Комментарий по выполненной задаче" dataDxfId="3291" dataCellStyle="Обычный 2"/>
    <tableColumn id="5" xr3:uid="{39ECECAB-C1C2-433B-838A-AB139EF1B4CD}" name="Мотивация" dataDxfId="3290"/>
    <tableColumn id="6" xr3:uid="{B9D41DA1-9CDD-46C0-954C-C4D47D74B652}" name="Менеджер" dataDxfId="3289"/>
    <tableColumn id="7" xr3:uid="{39A96176-FBFD-4422-BFA4-647910EC9CF3}" name="К оплате" dataDxfId="3288">
      <calculatedColumnFormula>12000*0.7</calculatedColumnFormula>
    </tableColumn>
  </tableColumns>
  <tableStyleInfo name="TableStyleMedium2"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11B08AEF-4B8A-4C49-8108-A13B45F2637D}" name="Таблица20324558728610011412113314515716918921375369851011171331491651812440567288104120136152550566582596610624640656672688705722223752678297" displayName="Таблица20324558728610011412113314515716918921375369851011171331491651812440567288104120136152550566582596610624640656672688705722223752678297" ref="A157:G159" totalsRowShown="0" headerRowDxfId="3287" dataDxfId="3286" tableBorderDxfId="3285">
  <autoFilter ref="A157:G159" xr:uid="{16803243-7F25-4AF5-AE4A-7C5E11F25A09}"/>
  <tableColumns count="7">
    <tableColumn id="1" xr3:uid="{EF06F598-BA74-4F01-960C-B76B8C41792E}" name="Цель" dataDxfId="3284"/>
    <tableColumn id="2" xr3:uid="{080BB412-19FC-4456-94A5-BC5127E24813}" name="Необходимый результат" dataDxfId="3283"/>
    <tableColumn id="3" xr3:uid="{12209E7B-3071-4E38-B51D-B325DF5F977F}" name="Выполнено да/нет" dataDxfId="3282"/>
    <tableColumn id="4" xr3:uid="{3EEBB860-6D61-438E-9CDA-CFB92A62D337}" name="Комментарий по выполненной задаче" dataDxfId="3281"/>
    <tableColumn id="5" xr3:uid="{53071DD0-E282-4BAE-B5F2-6E28FB22DF2E}" name="Мотивация" dataDxfId="3280"/>
    <tableColumn id="6" xr3:uid="{E529404F-AFF2-4596-88FD-FC4B46ECF679}" name="Менеджер" dataDxfId="3279"/>
    <tableColumn id="7" xr3:uid="{B97F3E58-7B3C-4528-B36F-15F0C0063EDA}" name="К оплате" dataDxfId="3278"/>
  </tableColumns>
  <tableStyleInfo name="TableStyleMedium2"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B5764AC4-526D-45ED-BC31-A505BF8CAFB8}" name="Таблица16334659738710111512213414615817019022385470861021181341501661822541577389105121137153551567583597611625641657673689706723233853688398" displayName="Таблица16334659738710111512213414615817019022385470861021181341501661822541577389105121137153551567583597611625641657673689706723233853688398" ref="A53:F58" totalsRowShown="0" headerRowDxfId="3277" dataDxfId="3276" totalsRowDxfId="3274" tableBorderDxfId="3275" totalsRowBorderDxfId="3273">
  <autoFilter ref="A53:F58" xr:uid="{9246B9BD-73A5-4351-9AA2-07EE59ED4E9D}"/>
  <sortState xmlns:xlrd2="http://schemas.microsoft.com/office/spreadsheetml/2017/richdata2" ref="A54:F58">
    <sortCondition descending="1" ref="C53:C58"/>
  </sortState>
  <tableColumns count="6">
    <tableColumn id="1" xr3:uid="{05738343-CC6C-4F8E-87BF-5D59F3D506C1}" name="Клиент" dataDxfId="3272" totalsRowDxfId="3271"/>
    <tableColumn id="2" xr3:uid="{EBA88DEE-685A-4760-A4B9-E2A0BBFA7C3A}" name="Оборот" dataDxfId="3270" totalsRowDxfId="3269"/>
    <tableColumn id="3" xr3:uid="{5F6F24D7-615C-4475-BAA7-5B7BF478EFDB}" name="Профит " dataDxfId="3268" totalsRowDxfId="3267"/>
    <tableColumn id="4" xr3:uid="{B62CBAA0-1FCE-4719-9BEB-41C8315DCD27}" name="%" dataDxfId="3266" totalsRowDxfId="3265"/>
    <tableColumn id="5" xr3:uid="{A2E9433B-2955-4535-894C-C1BB7394F9EC}" name="Менеджер" dataDxfId="3264" totalsRowDxfId="3263"/>
    <tableColumn id="6" xr3:uid="{2ADA9258-5765-41F0-8A4E-68A43DE5027B}" name="Комментарий" dataDxfId="3262" totalsRowDxfId="3261" dataCellStyle="Финансовый"/>
  </tableColumns>
  <tableStyleInfo name="TableStyleLight9"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F8B9218-BCF1-46BD-9BFB-E92E6BEB7E44}" name="Таблица4211720344148556269768390978390111118125132139146153160167174181188195613202734414855626976839097104111118125132139146153160167175183198206214123135147159171191233955718710311913515116718326425874901061221381545525685845986126266426586746907077299" displayName="Таблица4211720344148556269768390978390111118125132139146153160167174181188195613202734414855626976839097104111118125132139146153160167175183198206214123135147159171191233955718710311913515116718326425874901061221381545525685845986126266426586746907077299" ref="A70:H81" totalsRowShown="0" headerRowDxfId="3260" dataDxfId="3259" dataCellStyle="Обычный 2">
  <autoFilter ref="A70:H81" xr:uid="{4ACBF2F4-2982-4E59-8F46-ECCA5C6BC7F5}"/>
  <sortState xmlns:xlrd2="http://schemas.microsoft.com/office/spreadsheetml/2017/richdata2" ref="A71:H81">
    <sortCondition descending="1" ref="G70:G81"/>
  </sortState>
  <tableColumns count="8">
    <tableColumn id="1" xr3:uid="{E70D4419-21A1-4188-882A-4B4FD1F49ACA}" name="Номер" dataDxfId="3258" dataCellStyle="Обычный 2"/>
    <tableColumn id="3" xr3:uid="{62E31AD9-B668-4F48-BBB7-CE5824CFA34F}" name="Клиент" dataDxfId="3257" dataCellStyle="Обычный 2"/>
    <tableColumn id="4" xr3:uid="{B1E2AA65-260A-48C2-82E2-1083045F94D7}" name="Менеджер" dataDxfId="3256" dataCellStyle="Обычный 2"/>
    <tableColumn id="5" xr3:uid="{8317F2F6-53EC-4BB2-ACD0-6F0E56E0B280}" name="Проект" dataDxfId="3255" dataCellStyle="Обычный 2"/>
    <tableColumn id="6" xr3:uid="{039F17C7-E5B7-4760-9827-9DF52256B705}" name="Краткое описание проекта" dataDxfId="3254" dataCellStyle="Обычный 2"/>
    <tableColumn id="7" xr3:uid="{DB31B32F-C67B-4F2F-9007-625AD3E8FAF0}" name="Дата завершения сделки" dataDxfId="3253" dataCellStyle="Обычный 2"/>
    <tableColumn id="8" xr3:uid="{92ACFF8A-1393-43A4-8903-12872E656C9F}" name="Сумма, тыс. руб." dataDxfId="3252" dataCellStyle="Обычный"/>
    <tableColumn id="2" xr3:uid="{CD444445-2A79-42EF-987E-1E0DF6D65837}" name="Статус" dataDxfId="3251"/>
  </tableColumns>
  <tableStyleInfo name="TableStyleMedium2"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D5C7C605-5597-4BBE-A5D7-E4BF9B115184}" name="Таблица9132738193340475461687582899682891101171241311381451521591661731801871945121926334047546168758289961031101171241311381451521591661741821902052131191251371491611731932541567288104120136152168184274359759110712313915555356958559961362764365967569100" displayName="Таблица9132738193340475461687582899682891101171241311381451521591661731801871945121926334047546168758289961031101171241311381451521591661741821902052131191251371491611731932541567288104120136152168184274359759110712313915555356958559961362764365967569100" ref="A64:H65" headerRowCount="0" totalsRowShown="0" headerRowDxfId="3250" dataDxfId="3249">
  <tableColumns count="8">
    <tableColumn id="1" xr3:uid="{4E92C47D-C124-430F-8334-F9C3731440BD}" name="Февраль 2015" headerRowDxfId="3248" dataDxfId="3247" dataCellStyle="Название"/>
    <tableColumn id="2" xr3:uid="{03A40D5E-25A8-4A94-8137-1D97278779A7}" name="Столбец1" headerRowDxfId="3246" dataDxfId="3245"/>
    <tableColumn id="3" xr3:uid="{A07A66A6-687B-4B0D-8667-C331263B2492}" name="Столбец2" headerRowDxfId="3244" dataDxfId="3243"/>
    <tableColumn id="4" xr3:uid="{45D9EA82-F676-47A6-847D-6A168BD54FD5}" name="Столбец3" headerRowDxfId="3242" dataDxfId="3241"/>
    <tableColumn id="5" xr3:uid="{CEEC1563-5470-42C9-98F0-D0561AC1B781}" name="Столбец4" headerRowDxfId="3240" dataDxfId="3239"/>
    <tableColumn id="6" xr3:uid="{F6BFBA1E-AAB3-4305-8FE8-5002204A75C7}" name="Столбец5" headerRowDxfId="3238" dataDxfId="3237"/>
    <tableColumn id="7" xr3:uid="{F2AFC6C1-1F09-4BDD-890C-5BAA6F18E5CE}" name="Столбец6" headerRowDxfId="3236" dataDxfId="3235"/>
    <tableColumn id="8" xr3:uid="{FD6DC30A-B631-4336-9023-2EA5B28CED06}" name="Столбец7" headerRowDxfId="3234" dataDxfId="3233"/>
  </tableColumns>
  <tableStyleInfo name="TableStyleMedium2"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F7D78EE3-D3B7-4233-A3BA-EAB430FB6596}" name="Таблица125138150162174194264257738910512113715316918528446076921081241401565545705866006146286446606766927097262641567186101" displayName="Таблица125138150162174194264257738910512113715316918528446076921081241401565545705866006146286446606766927097262641567186101" ref="A85:H93" totalsRowShown="0" headerRowDxfId="3232" dataDxfId="3231">
  <autoFilter ref="A85:H93" xr:uid="{0F3DFAA2-5FF8-417D-8496-A5C766071E19}"/>
  <sortState xmlns:xlrd2="http://schemas.microsoft.com/office/spreadsheetml/2017/richdata2" ref="A86:H93">
    <sortCondition descending="1" ref="G85:G93"/>
  </sortState>
  <tableColumns count="8">
    <tableColumn id="1" xr3:uid="{184C4F81-41FD-4515-AEF8-2B1551478AA9}" name="Номер" dataDxfId="3230"/>
    <tableColumn id="2" xr3:uid="{B3DFA35A-85F8-46AD-BBEB-AAA4134BB27F}" name="Клиент" dataDxfId="3229"/>
    <tableColumn id="3" xr3:uid="{D2ADB95E-A5D7-4FAD-AAD1-3AD0C3C78FB1}" name="Менеджер" dataDxfId="3228" dataCellStyle="Обычный 2"/>
    <tableColumn id="4" xr3:uid="{3C3DC151-CC22-47BF-A2E0-5CA083D32162}" name="Проект" dataDxfId="3227"/>
    <tableColumn id="5" xr3:uid="{55478AEC-F21A-4C10-AB0C-9CE7240D1A61}" name="Краткое описание проекта" dataDxfId="3226"/>
    <tableColumn id="6" xr3:uid="{59D79603-D21B-4E1E-91E5-E1CCE9BD2AD7}" name="Дата завершения сделки" dataDxfId="3225"/>
    <tableColumn id="7" xr3:uid="{AD8F1873-D1A5-4178-9C15-E141C4847355}" name="Сумма" dataDxfId="3224"/>
    <tableColumn id="8" xr3:uid="{75E5BEA2-12BC-4722-8DEE-8C8EEAF03403}" name="Статус" dataDxfId="3223"/>
  </tableColumns>
  <tableStyleInfo name="TableStyleMedium2"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08188222-773F-4E02-8D64-6DCB868A758A}" name="Таблица175195274358749010612213815417018629456177931091251411575555715876016156296456616776937107272742577287102" displayName="Таблица175195274358749010612213815417018629456177931091251411575555715876016156296456616776937107272742577287102" ref="A11:E12" totalsRowShown="0" headerRowDxfId="3222" dataDxfId="3221" tableBorderDxfId="3220">
  <tableColumns count="5">
    <tableColumn id="1" xr3:uid="{E02B5196-9260-40AB-97FC-CBF91DB3571D}" name="Менеджер" dataDxfId="3219"/>
    <tableColumn id="2" xr3:uid="{AEFA963E-C90A-4D2F-A88F-EFF18AC531FF}" name="План с НАЧАЛА ФГ, руб." dataDxfId="3218">
      <calculatedColumnFormula>SUM(C22:C23)</calculatedColumnFormula>
    </tableColumn>
    <tableColumn id="3" xr3:uid="{DA2F7F03-1649-4276-BE1A-768D91036B50}" name="Факт с НАЧАЛА ФГ, руб." dataDxfId="3217">
      <calculatedColumnFormula>B34</calculatedColumnFormula>
    </tableColumn>
    <tableColumn id="4" xr3:uid="{B3066719-1644-4C7B-8F3E-7861AFF1C286}" name="Отклонение, %" dataDxfId="3216">
      <calculatedColumnFormula>C12/B12-100%</calculatedColumnFormula>
    </tableColumn>
    <tableColumn id="5" xr3:uid="{A40CA083-44B1-4D94-82A8-4E62C914732D}" name="Отклонение, РУБ" dataDxfId="3215">
      <calculatedColumnFormula>C12-B12</calculatedColumnFormula>
    </tableColumn>
  </tableColumns>
  <tableStyleInfo name="TableStyleMedium2"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E3E044D0-2055-40B7-9991-B7315951EAB6}" name="Таблица294459759110712313915517118730466278941101261421585565725886026166306466626786947117282843587388103" displayName="Таблица294459759110712313915517118730466278941101261421585565725886026166306466626786947117282843587388103" ref="A39:E40" totalsRowShown="0" headerRowDxfId="3214" dataDxfId="3213">
  <autoFilter ref="A39:E40" xr:uid="{A123EA08-D8D4-4987-8146-FF08418E565C}"/>
  <tableColumns count="5">
    <tableColumn id="2" xr3:uid="{E638A181-10A7-496F-877F-F87BCF735B4D}" name="Факт" dataDxfId="3212">
      <calculatedColumnFormula>B23</calculatedColumnFormula>
    </tableColumn>
    <tableColumn id="9" xr3:uid="{CCCECF96-BB81-4E3D-845D-A2818AE9FF52}" name="Оклад" dataDxfId="3211" dataCellStyle="Процентный">
      <calculatedColumnFormula>50000</calculatedColumnFormula>
    </tableColumn>
    <tableColumn id="4" xr3:uid="{0AA9CBCE-C6B6-4846-B4FB-18F66B73D586}" name="Премия" dataDxfId="3210">
      <calculatedColumnFormula>A40*0.065*1.1</calculatedColumnFormula>
    </tableColumn>
    <tableColumn id="7" xr3:uid="{6C17BAB6-B7F5-4AFB-BE36-9CDCA57F22BC}" name="Доплата за Задачи" dataDxfId="3209">
      <calculatedColumnFormula>SUM(G150:G153)</calculatedColumnFormula>
    </tableColumn>
    <tableColumn id="6" xr3:uid="{1CF1564A-AECE-4D4B-988E-925B16396CA4}" name="Штрафы" dataDxfId="3208"/>
  </tableColumns>
  <tableStyleInfo name="TableStyleMedium2"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085E32E4-8639-461E-97A0-4B09CA4C401D}" name="Таблица9132738193340475461687582899682891101171241311381451521591661731801871945121926334047546168758289961031101171241311381451521591661741821902052131241361481601721922440627894110126142158174190334965819711312914516155957559160361763164766367969571104" displayName="Таблица9132738193340475461687582899682891101171241311381451521591661731801871945121926334047546168758289961031101171241311381451521591661741821902052131241361481601721922440627894110126142158174190334965819711312914516155957559160361763164766367969571104" ref="A61:H63" headerRowCount="0" totalsRowShown="0" headerRowDxfId="3207" dataDxfId="3206">
  <tableColumns count="8">
    <tableColumn id="1" xr3:uid="{2308BDEE-DB55-4104-9CEF-EE0472A32C88}" name="Февраль 2015" headerRowDxfId="3205" dataDxfId="3204" dataCellStyle="Название"/>
    <tableColumn id="2" xr3:uid="{01283914-0E0E-4D1E-ACE2-16DB8A3781F3}" name="Столбец1" headerRowDxfId="3203" dataDxfId="3202"/>
    <tableColumn id="3" xr3:uid="{10D8DE26-72B8-4EC3-8274-93E2DE96342B}" name="Столбец2" headerRowDxfId="3201" dataDxfId="3200"/>
    <tableColumn id="4" xr3:uid="{6691344F-57DA-4978-93A5-88781A4705DC}" name="Столбец3" headerRowDxfId="3199" dataDxfId="3198"/>
    <tableColumn id="5" xr3:uid="{01844F57-F130-4D63-B03C-30585C189A33}" name="Столбец4" headerRowDxfId="3197" dataDxfId="3196"/>
    <tableColumn id="6" xr3:uid="{D436D127-6D20-4754-8216-FD7419936791}" name="Столбец5" headerRowDxfId="3195" dataDxfId="3194"/>
    <tableColumn id="7" xr3:uid="{FD0478C7-A121-4BF0-A455-914C140782E5}" name="Столбец6" headerRowDxfId="3193" dataDxfId="3192"/>
    <tableColumn id="8" xr3:uid="{5940FB94-B9CF-466C-AF63-E744B9D1DFEB}" name="Столбец7" headerRowDxfId="3191" dataDxfId="3190"/>
  </tableColumns>
  <tableStyleInfo name="TableStyleMedium2"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19EC3A61-8816-413B-A95C-1EFBEF530AE3}" name="Таблица1529425569839711111613014215416618618345066829811413014616217821375369851011171331495605765926046186326486646806967137303045607590105" displayName="Таблица1529425569839711111613014215416618618345066829811413014616217821375369851011171331495605765926046186326486646806967137303045607590105" ref="A98:G99" totalsRowShown="0" headerRowDxfId="3189" dataDxfId="3188" tableBorderDxfId="3187">
  <autoFilter ref="A98:G99" xr:uid="{BD66A881-30D1-4979-8390-5888D14E5877}"/>
  <tableColumns count="7">
    <tableColumn id="1" xr3:uid="{B570A356-094E-4012-90CA-79EDB4645DAB}" name="Дата" dataDxfId="3186"/>
    <tableColumn id="2" xr3:uid="{CF98B677-2480-41B6-B002-0CA43B9492A5}" name="Клиент" dataDxfId="3185"/>
    <tableColumn id="3" xr3:uid="{58D59CE4-2798-4A0A-B99D-DE1367013CEC}" name="Менеджер" dataDxfId="3184" dataCellStyle="Обычный 2"/>
    <tableColumn id="4" xr3:uid="{8017C390-733C-4923-9B2C-02256A829EB4}" name="Контакт в 1С" dataDxfId="3183"/>
    <tableColumn id="5" xr3:uid="{23961F74-DAE1-4CBB-8ED1-DB4791B8C353}" name="№ сделки" dataDxfId="3182"/>
    <tableColumn id="6" xr3:uid="{9485B3E5-BEC4-480F-9617-02596FBDB316}" name="Цель" dataDxfId="3181"/>
    <tableColumn id="7" xr3:uid="{FA0E03EA-2D5F-445D-ADD2-A262358EE813}" name="Результат" dataDxfId="3180"/>
  </tableColumns>
  <tableStyleInfo name="TableStyleMedium2"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46022C90-5E5B-4BA5-8A1F-94B77DA7D5F6}" name="Таблица4936997167333146617691106" displayName="Таблица4936997167333146617691106" ref="A21:D33" totalsRowShown="0" headerRowDxfId="3179" dataDxfId="3177" headerRowBorderDxfId="3178" tableBorderDxfId="3176" totalsRowBorderDxfId="3175">
  <autoFilter ref="A21:D33" xr:uid="{8999CE3E-52FF-4AF3-AA18-1DA9A764C519}"/>
  <tableColumns count="4">
    <tableColumn id="1" xr3:uid="{B2123DCD-0A7B-4821-B7A4-2CC86195BD24}" name="Месяц" dataDxfId="3174"/>
    <tableColumn id="2" xr3:uid="{78131A5F-5F48-4E31-9080-3A2E5F84DC84}" name="Профит" dataDxfId="3173"/>
    <tableColumn id="3" xr3:uid="{DFAD6EB7-4A1A-4D85-8AC6-0C653DF7F82F}" name="План" dataDxfId="3172"/>
    <tableColumn id="4" xr3:uid="{A36DA693-9A7A-45BC-BC73-BC375E29081F}" name="Выполнение" dataDxfId="3171">
      <calculatedColumnFormula>Таблица4936997167333146617691106[[#This Row],[Профит]]/Таблица4936997167333146617691106[[#This Row],[План]]</calculatedColumnFormula>
    </tableColumn>
  </tableColumns>
  <tableStyleInfo name="TableStyleMedium2"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95EF6518-6FF6-45A5-B774-8373CFCD0991}" name="Таблица11029163037445158657223303744515865727986931009223548627690104107127139151163183152947637995111127143159175183450668298114130146545561577589605619635651667683700717163247627792107" displayName="Таблица11029163037445158657223303744515865727986931009223548627690104107127139151163183152947637995111127143159175183450668298114130146545561577589605619635651667683700717163247627792107" ref="A6:F7" totalsRowShown="0" headerRowDxfId="3170" dataDxfId="3169">
  <tableColumns count="6">
    <tableColumn id="1" xr3:uid="{0C7E9FA3-51AC-43BF-AC30-B4CE845CAFD6}" name="Менеджер" dataDxfId="3168"/>
    <tableColumn id="2" xr3:uid="{C82D4D40-302D-4BCF-8FBE-1530A74BD6B6}" name="План, руб." dataDxfId="3167">
      <calculatedColumnFormula>C24</calculatedColumnFormula>
    </tableColumn>
    <tableColumn id="3" xr3:uid="{346AA5BA-F8F5-4534-A6F8-7E760B51F870}" name="Факт, руб." dataDxfId="3166">
      <calculatedColumnFormula>B24</calculatedColumnFormula>
    </tableColumn>
    <tableColumn id="4" xr3:uid="{BB49A91A-DF97-4FC9-9614-2B1A31A748B0}" name="Отклонение, %" dataDxfId="3165" dataCellStyle="Процентный">
      <calculatedColumnFormula>Таблица11029163037445158657223303744515865727986931009223548627690104107127139151163183152947637995111127143159175183450668298114130146545561577589605619635651667683700717163247627792107[Факт, руб.]/Таблица11029163037445158657223303744515865727986931009223548627690104107127139151163183152947637995111127143159175183450668298114130146545561577589605619635651667683700717163247627792107[План, руб.]-100%</calculatedColumnFormula>
    </tableColumn>
    <tableColumn id="7" xr3:uid="{F68ACD2C-7DEB-4845-A4B0-CFCE4DBD2B88}" name="Отклонение, РУБ" dataDxfId="3164" dataCellStyle="Процентный">
      <calculatedColumnFormula>Таблица11029163037445158657223303744515865727986931009223548627690104107127139151163183152947637995111127143159175183450668298114130146545561577589605619635651667683700717163247627792107[Факт, руб.]-Таблица11029163037445158657223303744515865727986931009223548627690104107127139151163183152947637995111127143159175183450668298114130146545561577589605619635651667683700717163247627792107[План, руб.]</calculatedColumnFormula>
    </tableColumn>
    <tableColumn id="5" xr3:uid="{5BC1BAB3-1381-4253-AF98-989DD6FF6E25}" name="Предыд месяц" dataDxfId="3163" dataCellStyle="Процентный">
      <calculatedColumnFormula>B23</calculatedColumnFormula>
    </tableColumn>
  </tableColumns>
  <tableStyleInfo name="TableStyleMedium2"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74300A1B-6C3C-4A74-A6B1-310BA55E0DC5}" name="Таблица211301731384552596673243138455259667380879410110233649637791105109128140152164184163248648096112128144160176193551678399115131147546562578590606620636652668684701718173348637893108" displayName="Таблица211301731384552596673243138455259667380879410110233649637791105109128140152164184163248648096112128144160176193551678399115131147546562578590606620636652668684701718173348637893108" ref="A16:E17" totalsRowShown="0" headerRowDxfId="3162" dataDxfId="3161">
  <tableColumns count="5">
    <tableColumn id="1" xr3:uid="{9CEB02DC-93C7-49A7-BE1B-AE32B1AA7337}" name="Менеджер" dataDxfId="3160"/>
    <tableColumn id="2" xr3:uid="{53344D7F-7A2F-471B-96FF-721DBF59093F}" name="Профит ФГ 23-24" dataDxfId="3159"/>
    <tableColumn id="3" xr3:uid="{AAB2FF5E-3956-4DFB-A04A-03E63B8FD101}" name="Профит ФГ 24-25" dataDxfId="3158"/>
    <tableColumn id="4" xr3:uid="{73D4245C-1DDE-4A37-B373-7B11F19A29A3}" name="Профит ФГ 25-26" dataDxfId="3157" dataCellStyle="Процентный">
      <calculatedColumnFormula>B34</calculatedColumnFormula>
    </tableColumn>
    <tableColumn id="5" xr3:uid="{68DA6301-ACB8-4428-9757-926319A9C70E}" name="Рост накопительно, % " dataDxfId="3156">
      <calculatedColumnFormula>Таблица211301731384552596673243138455259667380879410110233649637791105109128140152164184163248648096112128144160176193551678399115131147546562578590606620636652668684701718173348637893108[Профит ФГ 25-26]/Таблица211301731384552596673243138455259667380879410110233649637791105109128140152164184163248648096112128144160176193551678399115131147546562578590606620636652668684701718173348637893108[Профит ФГ 24-25]</calculatedColumnFormula>
    </tableColumn>
  </tableColumns>
  <tableStyleInfo name="TableStyleMedium2"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C080F800-A679-4696-A8C4-4EFAE247FEB6}" name="Таблица546243318323946536067742532394653606774818895102112437506478921061101291411531651851733496581971131291451611772036526884100116132148547563579593607621637653669685702719193449647994109" displayName="Таблица546243318323946536067742532394653606774818895102112437506478921061101291411531651851733496581971131291451611772036526884100116132148547563579593607621637653669685702719193449647994109" ref="A45:D47" totalsRowShown="0" headerRowDxfId="3155" dataDxfId="3154">
  <autoFilter ref="A45:D47" xr:uid="{3EADDA2E-FD58-4130-8A1C-8C20137591BB}"/>
  <tableColumns count="4">
    <tableColumn id="2" xr3:uid="{22795C7B-53D2-4035-8962-CE37E52035F9}" name="Холдинг" dataDxfId="3153"/>
    <tableColumn id="3" xr3:uid="{891FBE3E-5B8A-4F6F-91E4-736E696E393A}" name="Сумма просроченного долга" dataDxfId="3152" dataCellStyle="Денежный"/>
    <tableColumn id="4" xr3:uid="{ADAE2FB1-ABAE-4F25-A4DA-E77BE9389D6F}" name="Общая сумма долга" dataDxfId="3151" dataCellStyle="Денежный"/>
    <tableColumn id="5" xr3:uid="{5644AFD3-1374-4E4A-BED0-0952832E612B}" name="% просрочки" dataDxfId="3150" dataCellStyle="Процентный">
      <calculatedColumnFormula>Таблица546243318323946536067742532394653606774818895102112437506478921061101291411531651851733496581971131291451611772036526884100116132148547563579593607621637653669685702719193449647994109[[#This Row],[Сумма просроченного долга]]/Таблица546243318323946536067742532394653606774818895102112437506478921061101291411531651851733496581971131291451611772036526884100116132148547563579593607621637653669685702719193449647994109[[#This Row],[Общая сумма долга]]</calculatedColumnFormula>
    </tableColumn>
  </tableColumns>
  <tableStyleInfo name="TableStyleMedium2"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938FD42E-CFD2-46D2-BFDC-F2E14300C3DB}" name="Таблица173043567084981121171311431551671871935516783991151311471631792238547086102118134150548564580594608622638654670686703720203550658095110" displayName="Таблица173043567084981121171311431551671871935516783991151311471631792238547086102118134150548564580594608622638654670686703720203550658095110" ref="A99:G115" totalsRowShown="0" headerRowDxfId="3149" dataDxfId="3148" tableBorderDxfId="3147">
  <autoFilter ref="A99:G115" xr:uid="{5F2E2A5D-7666-4FD4-A50A-70ADD98392B4}"/>
  <sortState xmlns:xlrd2="http://schemas.microsoft.com/office/spreadsheetml/2017/richdata2" ref="A100:G115">
    <sortCondition ref="D99:D115"/>
  </sortState>
  <tableColumns count="7">
    <tableColumn id="1" xr3:uid="{DCCA7FE7-925C-4BEF-8F40-73BC5D8A038D}" name="Дата" dataDxfId="3146"/>
    <tableColumn id="2" xr3:uid="{6D6C15A8-13FA-45AF-A78E-7A4FF7138F2E}" name="Клиент" dataDxfId="3145"/>
    <tableColumn id="3" xr3:uid="{B658FBBD-A398-433C-AAE4-8852D3E2840A}" name="Менеджер" dataDxfId="3144" dataCellStyle="Обычный 2"/>
    <tableColumn id="4" xr3:uid="{19EE7803-1332-4EA8-ACBA-03BFDCDE2381}" name="Контакт в 1С" dataDxfId="3143"/>
    <tableColumn id="5" xr3:uid="{0EC80337-A61B-4202-9714-ED93A55AB1BF}" name="№ сделки" dataDxfId="3142"/>
    <tableColumn id="6" xr3:uid="{A7106EA8-3AFF-4CDE-A5E0-33299F851CEB}" name="Цель" dataDxfId="3141"/>
    <tableColumn id="7" xr3:uid="{F2EBA7F5-B3B7-4D84-8D07-770710473201}" name="Результат" dataDxfId="3140"/>
  </tableColumns>
  <tableStyleInfo name="TableStyleMedium2"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E52CE834-536D-4BAC-99F2-869A7079DD2D}" name="Таблица1931445771859911312013214415616818820365268841001161321481641802339557187103119135151549565581595609623639655671687704721213651668196111" displayName="Таблица1931445771859911312013214415616818820365268841001161321481641802339557187103119135151549565581595609623639655671687704721213651668196111" ref="A120:G124" totalsRowShown="0" headerRowDxfId="3139" dataDxfId="3138" tableBorderDxfId="3137">
  <autoFilter ref="A120:G124" xr:uid="{CC17A23E-B8E4-4CBF-BC3B-16FF0249D515}"/>
  <tableColumns count="7">
    <tableColumn id="1" xr3:uid="{CB90147E-BA69-463E-A9F2-6EEF6A407C73}" name="Цель" dataDxfId="3136" dataCellStyle="Обычный 2"/>
    <tableColumn id="2" xr3:uid="{79C872A1-D4C5-4252-8420-5AFB77C8EBF3}" name="Необходимый результат" dataDxfId="3135" dataCellStyle="Обычный 2"/>
    <tableColumn id="3" xr3:uid="{C9A5269B-94EB-4E63-B580-B0AC6D8658C6}" name="Выполнено да/нет" dataDxfId="3134" dataCellStyle="Обычный"/>
    <tableColumn id="4" xr3:uid="{11072BCD-14E2-4301-A9A4-6ACD5F411C7B}" name="Комментарий по выполненной задаче" dataDxfId="3133" dataCellStyle="Обычный 2"/>
    <tableColumn id="5" xr3:uid="{032483D7-C5B2-47E7-851A-9C0123FF01E6}" name="Мотивация" dataDxfId="3132"/>
    <tableColumn id="6" xr3:uid="{DA798F50-A25B-4DF1-B8EC-CA60D9DAD659}" name="Менеджер" dataDxfId="3131"/>
    <tableColumn id="7" xr3:uid="{29A3F5EF-092B-4979-B710-2579032D86A9}" name="К оплате" dataDxfId="3130">
      <calculatedColumnFormula>12000*0.7</calculatedColumnFormula>
    </tableColumn>
  </tableColumns>
  <tableStyleInfo name="TableStyleMedium2"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8FBD86AD-EC6B-40FD-BEDD-10194A88ECD1}" name="Таблица20324558728610011412113314515716918921375369851011171331491651812440567288104120136152550566582596610624640656672688705722223752678297112" displayName="Таблица20324558728610011412113314515716918921375369851011171331491651812440567288104120136152550566582596610624640656672688705722223752678297112" ref="A128:G130" totalsRowShown="0" headerRowDxfId="3129" dataDxfId="3128" tableBorderDxfId="3127">
  <autoFilter ref="A128:G130" xr:uid="{16803243-7F25-4AF5-AE4A-7C5E11F25A09}"/>
  <tableColumns count="7">
    <tableColumn id="1" xr3:uid="{DC53BF02-6B81-43EB-B1B7-0735902CC091}" name="Цель" dataDxfId="3126"/>
    <tableColumn id="2" xr3:uid="{661F954E-3096-4958-BB50-1175529BC76F}" name="Необходимый результат" dataDxfId="3125"/>
    <tableColumn id="3" xr3:uid="{BDA642BF-475E-4C47-B401-433D8214A211}" name="Выполнено да/нет" dataDxfId="3124"/>
    <tableColumn id="4" xr3:uid="{A6752202-5310-4C63-9407-F6B59AFD2FCD}" name="Комментарий по выполненной задаче" dataDxfId="3123"/>
    <tableColumn id="5" xr3:uid="{7A66105D-B70A-4E97-9333-061B02D4F62E}" name="Мотивация" dataDxfId="3122"/>
    <tableColumn id="6" xr3:uid="{6D6F3ED0-FDCD-441F-9A0E-1C5DD98F8AE6}" name="Менеджер" dataDxfId="3121"/>
    <tableColumn id="7" xr3:uid="{082B7096-8A6D-496C-B85A-DC75026FDD9B}" name="К оплате" dataDxfId="3120"/>
  </tableColumns>
  <tableStyleInfo name="TableStyleMedium2"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4EC485B4-7CA6-4755-9BA1-D254C816449F}" name="Таблица16334659738710111512213414615817019022385470861021181341501661822541577389105121137153551567583597611625641657673689706723233853688398113" displayName="Таблица16334659738710111512213414615817019022385470861021181341501661822541577389105121137153551567583597611625641657673689706723233853688398113" ref="A53:F59" totalsRowShown="0" headerRowDxfId="3119" dataDxfId="3118" totalsRowDxfId="3116" tableBorderDxfId="3117" totalsRowBorderDxfId="3115">
  <autoFilter ref="A53:F59" xr:uid="{9246B9BD-73A5-4351-9AA2-07EE59ED4E9D}"/>
  <sortState xmlns:xlrd2="http://schemas.microsoft.com/office/spreadsheetml/2017/richdata2" ref="A54:F59">
    <sortCondition descending="1" ref="C53:C59"/>
  </sortState>
  <tableColumns count="6">
    <tableColumn id="1" xr3:uid="{B6F259F1-CE1B-4475-9570-E44F7C42FC51}" name="Клиент" dataDxfId="3114" totalsRowDxfId="3113"/>
    <tableColumn id="2" xr3:uid="{8CFDFA17-F7C8-4B9B-B081-FCFE3DBAB891}" name="Оборот" dataDxfId="3112" totalsRowDxfId="3111"/>
    <tableColumn id="3" xr3:uid="{5B589505-E4D4-4B29-BB00-3D26412BA777}" name="Профит " dataDxfId="3110" totalsRowDxfId="3109"/>
    <tableColumn id="4" xr3:uid="{E8C95116-6852-4ED3-822B-A5DBFFB731CE}" name="%" dataDxfId="3108" totalsRowDxfId="3107"/>
    <tableColumn id="5" xr3:uid="{7615F543-2B6B-4CF9-B998-4989609F88B9}" name="Менеджер" dataDxfId="3106" totalsRowDxfId="3105"/>
    <tableColumn id="6" xr3:uid="{C9D3BA3D-7DB0-41BA-9F26-0D118119FFF4}" name="Комментарий" dataDxfId="3104" totalsRowDxfId="3103" dataCellStyle="Финансовый"/>
  </tableColumns>
  <tableStyleInfo name="TableStyleLight9"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A4A4C8F3-E4C5-43E9-9F8D-B18211C13CFE}" name="Таблица4211720344148556269768390978390111118125132139146153160167174181188195613202734414855626976839097104111118125132139146153160167175183198206214123135147159171191233955718710311913515116718326425874901061221381545525685845986126266426586746907077114" displayName="Таблица4211720344148556269768390978390111118125132139146153160167174181188195613202734414855626976839097104111118125132139146153160167175183198206214123135147159171191233955718710311913515116718326425874901061221381545525685845986126266426586746907077114" ref="A71:H79" totalsRowShown="0" headerRowDxfId="3102" dataDxfId="3101" dataCellStyle="Обычный 2">
  <autoFilter ref="A71:H79" xr:uid="{4ACBF2F4-2982-4E59-8F46-ECCA5C6BC7F5}"/>
  <sortState xmlns:xlrd2="http://schemas.microsoft.com/office/spreadsheetml/2017/richdata2" ref="A72:H79">
    <sortCondition descending="1" ref="G71:G79"/>
  </sortState>
  <tableColumns count="8">
    <tableColumn id="1" xr3:uid="{B2BD119E-6234-4272-8881-CC17272922FE}" name="Номер" dataDxfId="3100" dataCellStyle="Обычный 2"/>
    <tableColumn id="3" xr3:uid="{C652700D-2F11-4797-9C70-6688C6C99342}" name="Клиент" dataDxfId="3099" dataCellStyle="Обычный 2"/>
    <tableColumn id="4" xr3:uid="{8497CF56-D146-4440-9063-5A86A5A9506E}" name="Менеджер" dataDxfId="3098" dataCellStyle="Обычный 2"/>
    <tableColumn id="5" xr3:uid="{175C6476-7C79-4035-8811-2B802274B111}" name="Проект" dataDxfId="3097" dataCellStyle="Обычный 2"/>
    <tableColumn id="6" xr3:uid="{6E6B66C6-A07E-4CC1-B06B-C548B0387FDB}" name="Краткое описание проекта" dataDxfId="3096" dataCellStyle="Обычный 2"/>
    <tableColumn id="7" xr3:uid="{F3810CA0-3099-462B-8312-FFE30D5F4F81}" name="Дата завершения сделки" dataDxfId="3095" dataCellStyle="Обычный 2"/>
    <tableColumn id="8" xr3:uid="{993D0C6E-9310-42F2-9460-95089ED1E2CA}" name="Сумма, тыс. руб." dataDxfId="3094" dataCellStyle="Обычный"/>
    <tableColumn id="2" xr3:uid="{228CF325-FAEC-4D9C-9D53-A7245F931EB2}" name="Статус" dataDxfId="3093"/>
  </tableColumns>
  <tableStyleInfo name="TableStyleMedium2"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711F4BD-4138-4890-A2D7-BA3B341F1E59}" name="Таблица9132738193340475461687582899682891101171241311381451521591661731801871945121926334047546168758289961031101171241311381451521591661741821902052131191251371491611731932541567288104120136152168184274359759110712313915555356958559961362764365967569115" displayName="Таблица9132738193340475461687582899682891101171241311381451521591661731801871945121926334047546168758289961031101171241311381451521591661741821902052131191251371491611731932541567288104120136152168184274359759110712313915555356958559961362764365967569115" ref="A65:H66" headerRowCount="0" totalsRowShown="0" headerRowDxfId="3092" dataDxfId="3091">
  <tableColumns count="8">
    <tableColumn id="1" xr3:uid="{1BF08D8D-0564-4FB7-BA1F-F6705EAC5F7A}" name="Февраль 2015" headerRowDxfId="3090" dataDxfId="3089" dataCellStyle="Название"/>
    <tableColumn id="2" xr3:uid="{6332EB8B-B4AF-4B3E-98C4-4C04F10C778D}" name="Столбец1" headerRowDxfId="3088" dataDxfId="3087"/>
    <tableColumn id="3" xr3:uid="{39479494-B031-40F5-BFC5-4EBAA03485F0}" name="Столбец2" headerRowDxfId="3086" dataDxfId="3085"/>
    <tableColumn id="4" xr3:uid="{C32CBE19-AC4A-4013-95E7-92F428938A1C}" name="Столбец3" headerRowDxfId="3084" dataDxfId="3083"/>
    <tableColumn id="5" xr3:uid="{90A663A9-74FF-44C2-9320-ECCA16029E50}" name="Столбец4" headerRowDxfId="3082" dataDxfId="3081"/>
    <tableColumn id="6" xr3:uid="{DF8091FE-AF90-4F54-989F-ED6FCD7AB473}" name="Столбец5" headerRowDxfId="3080" dataDxfId="3079"/>
    <tableColumn id="7" xr3:uid="{0430725A-33FD-4738-B24F-B62872200E41}" name="Столбец6" headerRowDxfId="3078" dataDxfId="3077"/>
    <tableColumn id="8" xr3:uid="{B51765DF-3439-4BD4-A277-CCE7279173BC}" name="Столбец7" headerRowDxfId="3076" dataDxfId="3075"/>
  </tableColumns>
  <tableStyleInfo name="TableStyleMedium2"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CCCC684A-03A5-4D0E-BB59-B677F11C09F3}" name="Таблица125138150162174194264257738910512113715316918528446076921081241401565545705866006146286446606766927097262641567186101116" displayName="Таблица125138150162174194264257738910512113715316918528446076921081241401565545705866006146286446606766927097262641567186101116" ref="A83:H89" totalsRowShown="0" headerRowDxfId="3074" dataDxfId="3073">
  <autoFilter ref="A83:H89" xr:uid="{0F3DFAA2-5FF8-417D-8496-A5C766071E19}"/>
  <sortState xmlns:xlrd2="http://schemas.microsoft.com/office/spreadsheetml/2017/richdata2" ref="A84:H89">
    <sortCondition descending="1" ref="G83:G89"/>
  </sortState>
  <tableColumns count="8">
    <tableColumn id="1" xr3:uid="{75F6C065-F2C8-4374-9FC4-535AE75628D7}" name="Номер" dataDxfId="3072"/>
    <tableColumn id="2" xr3:uid="{0711E3F2-178B-458C-8926-706045EB1A06}" name="Клиент" dataDxfId="3071"/>
    <tableColumn id="3" xr3:uid="{6D7C117C-1901-43DC-B765-C777A46D711A}" name="Менеджер" dataDxfId="3070" dataCellStyle="Обычный 2"/>
    <tableColumn id="4" xr3:uid="{32C708D1-6A15-42B7-ACF8-9B0E9628BCCC}" name="Проект" dataDxfId="3069"/>
    <tableColumn id="5" xr3:uid="{94CC0595-C5F8-49E1-9426-F0DE35D1B5E4}" name="Краткое описание проекта" dataDxfId="3068"/>
    <tableColumn id="6" xr3:uid="{BE8C2A17-DBA1-4026-B18C-AAADAD4B6E49}" name="Дата завершения сделки" dataDxfId="3067"/>
    <tableColumn id="7" xr3:uid="{C26642EE-A00E-4150-B430-56821E1B97B3}" name="Сумма" dataDxfId="3066"/>
    <tableColumn id="8" xr3:uid="{90F984BD-F683-4B0D-8E43-B490C5163C0A}" name="Статус" dataDxfId="3065"/>
  </tableColumns>
  <tableStyleInfo name="TableStyleMedium2"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F3492DF3-F9C7-4991-BADF-C2185D43852E}" name="Таблица175195274358749010612213815417018629456177931091251411575555715876016156296456616776937107272742577287102117" displayName="Таблица175195274358749010612213815417018629456177931091251411575555715876016156296456616776937107272742577287102117" ref="A11:E12" totalsRowShown="0" headerRowDxfId="3064" dataDxfId="3063" tableBorderDxfId="3062">
  <tableColumns count="5">
    <tableColumn id="1" xr3:uid="{3ED67A21-279F-40E6-9FC0-967899470427}" name="Менеджер" dataDxfId="3061"/>
    <tableColumn id="2" xr3:uid="{1E45ECF0-4FD6-49E7-B273-E1356E952497}" name="План с НАЧАЛА ФГ, руб." dataDxfId="3060">
      <calculatedColumnFormula>SUM(C22:C24)</calculatedColumnFormula>
    </tableColumn>
    <tableColumn id="3" xr3:uid="{0C5436A5-8DD4-412D-A9F6-340D91EB2B2D}" name="Факт с НАЧАЛА ФГ, руб." dataDxfId="3059">
      <calculatedColumnFormula>B34</calculatedColumnFormula>
    </tableColumn>
    <tableColumn id="4" xr3:uid="{BC412D5F-068B-48F7-9B9C-1AA1A11D19A2}" name="Отклонение, %" dataDxfId="3058">
      <calculatedColumnFormula>C12/B12-100%</calculatedColumnFormula>
    </tableColumn>
    <tableColumn id="5" xr3:uid="{C162B535-8418-4D45-8981-E480C1FB9433}" name="Отклонение, РУБ" dataDxfId="3057">
      <calculatedColumnFormula>C12-B12</calculatedColumnFormula>
    </tableColumn>
  </tableColumns>
  <tableStyleInfo name="TableStyleMedium2"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20419CEB-CF31-4F2E-9F2E-9E0CD85D67F5}" name="Таблица294459759110712313915517118730466278941101261421585565725886026166306466626786947117282843587388103118" displayName="Таблица294459759110712313915517118730466278941101261421585565725886026166306466626786947117282843587388103118" ref="A39:E40" totalsRowShown="0" headerRowDxfId="3056" dataDxfId="3055">
  <autoFilter ref="A39:E40" xr:uid="{A123EA08-D8D4-4987-8146-FF08418E565C}"/>
  <tableColumns count="5">
    <tableColumn id="2" xr3:uid="{1E3AF3BD-FEAC-458D-AF13-5ED29D40EE49}" name="Факт" dataDxfId="3054">
      <calculatedColumnFormula>B24</calculatedColumnFormula>
    </tableColumn>
    <tableColumn id="9" xr3:uid="{354BA374-7DA9-446C-99A0-ECDCBC25D0FE}" name="Оклад" dataDxfId="3053" dataCellStyle="Процентный">
      <calculatedColumnFormula>50000</calculatedColumnFormula>
    </tableColumn>
    <tableColumn id="4" xr3:uid="{34D74E50-29B9-44E6-B390-8234E55264A4}" name="Премия" dataDxfId="3052">
      <calculatedColumnFormula>A40*0.065*1</calculatedColumnFormula>
    </tableColumn>
    <tableColumn id="7" xr3:uid="{4076CE76-08F1-49D0-873E-B6719F744A14}" name="Доплата за Задачи" dataDxfId="3051">
      <calculatedColumnFormula>SUM(G121:G124)</calculatedColumnFormula>
    </tableColumn>
    <tableColumn id="6" xr3:uid="{29D0F78C-50DB-468E-BA89-AEBC6933BC1A}" name="Штрафы" dataDxfId="3050"/>
  </tableColumns>
  <tableStyleInfo name="TableStyleMedium2"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D8D424E0-9789-4A6C-A4FE-D8625DF6F324}" name="Таблица9132738193340475461687582899682891101171241311381451521591661731801871945121926334047546168758289961031101171241311381451521591661741821902052131241361481601721922440627894110126142158174190334965819711312914516155957559160361763164766367969571119" displayName="Таблица9132738193340475461687582899682891101171241311381451521591661731801871945121926334047546168758289961031101171241311381451521591661741821902052131241361481601721922440627894110126142158174190334965819711312914516155957559160361763164766367969571119" ref="A62:H64" headerRowCount="0" totalsRowShown="0" headerRowDxfId="3049" dataDxfId="3048">
  <tableColumns count="8">
    <tableColumn id="1" xr3:uid="{0F421727-8F15-442A-AAC2-2F4AC501D9AA}" name="Февраль 2015" headerRowDxfId="3047" dataDxfId="3046" dataCellStyle="Название"/>
    <tableColumn id="2" xr3:uid="{F4E4C3E0-A415-422A-B1FC-1306ED7F81CA}" name="Столбец1" headerRowDxfId="3045" dataDxfId="3044"/>
    <tableColumn id="3" xr3:uid="{E4C2C70C-AA83-44F0-A455-44B874262CC3}" name="Столбец2" headerRowDxfId="3043" dataDxfId="3042"/>
    <tableColumn id="4" xr3:uid="{D883B181-DCE6-44AF-8D6C-B6382A383237}" name="Столбец3" headerRowDxfId="3041" dataDxfId="3040"/>
    <tableColumn id="5" xr3:uid="{478F2326-C44F-4C0A-A967-84F24CCEC020}" name="Столбец4" headerRowDxfId="3039" dataDxfId="3038"/>
    <tableColumn id="6" xr3:uid="{3B21326A-62F0-49B8-96A2-C03440408438}" name="Столбец5" headerRowDxfId="3037" dataDxfId="3036"/>
    <tableColumn id="7" xr3:uid="{ABBFA8A8-55D7-47A2-A700-ED97DF214E7D}" name="Столбец6" headerRowDxfId="3035" dataDxfId="3034"/>
    <tableColumn id="8" xr3:uid="{4625E20C-5EAA-490B-805B-AC8D3160E7AF}" name="Столбец7" headerRowDxfId="3033" dataDxfId="3032"/>
  </tableColumns>
  <tableStyleInfo name="TableStyleMedium2"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893C6BF-2C0B-4EA0-8998-970BE5FF7CF4}" name="Таблица1529425569839711111613014215416618618345066829811413014616217821375369851011171331495605765926046186326486646806967137303045607590105120" displayName="Таблица1529425569839711111613014215416618618345066829811413014616217821375369851011171331495605765926046186326486646806967137303045607590105120" ref="A94:G95" totalsRowShown="0" headerRowDxfId="3031" dataDxfId="3030" tableBorderDxfId="3029">
  <autoFilter ref="A94:G95" xr:uid="{BD66A881-30D1-4979-8390-5888D14E5877}"/>
  <tableColumns count="7">
    <tableColumn id="1" xr3:uid="{C6A4F392-F120-46DF-B78B-E7D1FF3545F8}" name="Дата" dataDxfId="3028"/>
    <tableColumn id="2" xr3:uid="{796D68E2-1078-4D0F-B468-5E60F7DC8ADA}" name="Клиент" dataDxfId="3027"/>
    <tableColumn id="3" xr3:uid="{1908A421-32A8-4FB8-917F-1D0D908D3720}" name="Менеджер" dataDxfId="3026" dataCellStyle="Обычный 2"/>
    <tableColumn id="4" xr3:uid="{91D3D755-5000-4EB7-8F54-7EC238AEBA9A}" name="Контакт в 1С" dataDxfId="3025"/>
    <tableColumn id="5" xr3:uid="{504D5D65-6869-43F7-871C-24FD76145234}" name="№ сделки" dataDxfId="3024"/>
    <tableColumn id="6" xr3:uid="{CEEA5887-BB95-4637-BDA3-AC6129333061}" name="Цель" dataDxfId="3023"/>
    <tableColumn id="7" xr3:uid="{6312D4A5-E68B-4837-AEC8-29B39F98EE55}" name="Результат" dataDxfId="3022"/>
  </tableColumns>
  <tableStyleInfo name="TableStyleMedium2"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06D0F490-40CA-45FB-8067-795E406722B0}" name="Таблица4936997167333146617691106121" displayName="Таблица4936997167333146617691106121" ref="A21:D33" totalsRowShown="0" headerRowDxfId="3021" dataDxfId="3019" headerRowBorderDxfId="3020" tableBorderDxfId="3018" totalsRowBorderDxfId="3017">
  <autoFilter ref="A21:D33" xr:uid="{8999CE3E-52FF-4AF3-AA18-1DA9A764C519}"/>
  <tableColumns count="4">
    <tableColumn id="1" xr3:uid="{B11C1EC3-107B-46B3-A94E-D3147EFF49AF}" name="Месяц" dataDxfId="3016"/>
    <tableColumn id="2" xr3:uid="{C6E73826-E86D-4216-B89D-1A7FDED131F4}" name="Профит" dataDxfId="3015"/>
    <tableColumn id="3" xr3:uid="{1E36284F-077B-471A-AC52-25932FF7252E}" name="План" dataDxfId="3014"/>
    <tableColumn id="4" xr3:uid="{483E07B9-07DA-4E26-967E-679CEACA2F91}" name="Выполнение" dataDxfId="3013">
      <calculatedColumnFormula>Таблица4936997167333146617691106121[[#This Row],[Профит]]/Таблица4936997167333146617691106121[[#This Row],[План]]</calculatedColumnFormula>
    </tableColumn>
  </tableColumns>
  <tableStyleInfo name="TableStyleMedium2"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A3025E6C-2736-403D-8B92-BBB5ADE9B16E}" name="Таблица11029163037445158657223303744515865727986931009223548627690104107127139151163183152947637995111127143159175183450668298114130146545561577589605619635651667683700717163247627792107122" displayName="Таблица11029163037445158657223303744515865727986931009223548627690104107127139151163183152947637995111127143159175183450668298114130146545561577589605619635651667683700717163247627792107122" ref="A6:F7" totalsRowShown="0" headerRowDxfId="3012" dataDxfId="3011">
  <tableColumns count="6">
    <tableColumn id="1" xr3:uid="{1574A61A-3F6C-4BEF-9136-8A0C6B171B97}" name="Менеджер" dataDxfId="3010"/>
    <tableColumn id="2" xr3:uid="{3D716079-2F26-469D-9F41-8614279E517D}" name="План, руб." dataDxfId="3009">
      <calculatedColumnFormula>C25</calculatedColumnFormula>
    </tableColumn>
    <tableColumn id="3" xr3:uid="{430EA845-D589-4590-A89D-B7A7621CDF31}" name="Факт, руб." dataDxfId="3008">
      <calculatedColumnFormula>B25</calculatedColumnFormula>
    </tableColumn>
    <tableColumn id="4" xr3:uid="{4C4D7E1D-6C27-4A50-9A2F-6609AB39DE70}" name="Отклонение, %" dataDxfId="3007" dataCellStyle="Процентный">
      <calculatedColumnFormula>Таблица11029163037445158657223303744515865727986931009223548627690104107127139151163183152947637995111127143159175183450668298114130146545561577589605619635651667683700717163247627792107122[Факт, руб.]/Таблица11029163037445158657223303744515865727986931009223548627690104107127139151163183152947637995111127143159175183450668298114130146545561577589605619635651667683700717163247627792107122[План, руб.]-100%</calculatedColumnFormula>
    </tableColumn>
    <tableColumn id="7" xr3:uid="{06B9B062-364F-427E-B93D-BE7041DE0350}" name="Отклонение, РУБ" dataDxfId="3006" dataCellStyle="Процентный">
      <calculatedColumnFormula>Таблица11029163037445158657223303744515865727986931009223548627690104107127139151163183152947637995111127143159175183450668298114130146545561577589605619635651667683700717163247627792107122[Факт, руб.]-Таблица11029163037445158657223303744515865727986931009223548627690104107127139151163183152947637995111127143159175183450668298114130146545561577589605619635651667683700717163247627792107122[План, руб.]</calculatedColumnFormula>
    </tableColumn>
    <tableColumn id="5" xr3:uid="{9E4F21E4-D4DE-4307-A1AF-0F4668ECA39E}" name="Предыд месяц" dataDxfId="3005" dataCellStyle="Процентный">
      <calculatedColumnFormula>B24</calculatedColumnFormula>
    </tableColumn>
  </tableColumns>
  <tableStyleInfo name="TableStyleMedium2"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ABD30116-6CB6-48A5-AD78-FB6BABD0C8B2}" name="Таблица211301731384552596673243138455259667380879410110233649637791105109128140152164184163248648096112128144160176193551678399115131147546562578590606620636652668684701718173348637893108123" displayName="Таблица211301731384552596673243138455259667380879410110233649637791105109128140152164184163248648096112128144160176193551678399115131147546562578590606620636652668684701718173348637893108123" ref="A16:E17" totalsRowShown="0" headerRowDxfId="3004" dataDxfId="3003">
  <tableColumns count="5">
    <tableColumn id="1" xr3:uid="{6820CF89-B261-4DF0-AB83-5456D2677F21}" name="Менеджер" dataDxfId="3002"/>
    <tableColumn id="2" xr3:uid="{452DDC9C-FE2B-49AC-A712-A045E7DF8F12}" name="Профит ФГ 23-24" dataDxfId="3001"/>
    <tableColumn id="3" xr3:uid="{24C76A13-1AEC-4CA9-9300-A0FC3B683BB5}" name="Профит ФГ 24-25" dataDxfId="3000"/>
    <tableColumn id="4" xr3:uid="{43934407-1D6B-464E-985C-81D6130E864C}" name="Профит ФГ 25-26" dataDxfId="2999" dataCellStyle="Процентный">
      <calculatedColumnFormula>B34</calculatedColumnFormula>
    </tableColumn>
    <tableColumn id="5" xr3:uid="{9C04C989-8906-4533-B878-1BDCEA1B0E20}" name="Рост накопительно, % " dataDxfId="2998">
      <calculatedColumnFormula>Таблица211301731384552596673243138455259667380879410110233649637791105109128140152164184163248648096112128144160176193551678399115131147546562578590606620636652668684701718173348637893108123[Профит ФГ 25-26]/Таблица211301731384552596673243138455259667380879410110233649637791105109128140152164184163248648096112128144160176193551678399115131147546562578590606620636652668684701718173348637893108123[Профит ФГ 24-25]</calculatedColumnFormula>
    </tableColumn>
  </tableColumns>
  <tableStyleInfo name="TableStyleMedium2"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E04F8D6C-FDCE-4191-875F-9D0E91B397EE}" name="Таблица546243318323946536067742532394653606774818895102112437506478921061101291411531651851733496581971131291451611772036526884100116132148547563579593607621637653669685702719193449647994109124" displayName="Таблица546243318323946536067742532394653606774818895102112437506478921061101291411531651851733496581971131291451611772036526884100116132148547563579593607621637653669685702719193449647994109124" ref="A45:D46" totalsRowShown="0" headerRowDxfId="2997" dataDxfId="2996">
  <autoFilter ref="A45:D46" xr:uid="{3EADDA2E-FD58-4130-8A1C-8C20137591BB}"/>
  <tableColumns count="4">
    <tableColumn id="2" xr3:uid="{1204718D-E3C6-4131-BC24-CB0134360CE4}" name="Холдинг" dataDxfId="2995"/>
    <tableColumn id="3" xr3:uid="{785BB38B-81E2-4BAD-9052-4B021C2B32B1}" name="Сумма просроченного долга" dataDxfId="2994" dataCellStyle="Денежный"/>
    <tableColumn id="4" xr3:uid="{E454CD01-5B52-44A2-9E22-6A149B6BEE61}" name="Общая сумма долга" dataDxfId="2993" dataCellStyle="Денежный"/>
    <tableColumn id="5" xr3:uid="{C98ED7AC-AC94-4140-A576-7BF722714AB2}" name="% просрочки" dataDxfId="2992" dataCellStyle="Процентный">
      <calculatedColumnFormula>Таблица546243318323946536067742532394653606774818895102112437506478921061101291411531651851733496581971131291451611772036526884100116132148547563579593607621637653669685702719193449647994109124[[#This Row],[Сумма просроченного долга]]/Таблица546243318323946536067742532394653606774818895102112437506478921061101291411531651851733496581971131291451611772036526884100116132148547563579593607621637653669685702719193449647994109124[[#This Row],[Общая сумма долга]]</calculatedColumnFormula>
    </tableColumn>
  </tableColumns>
  <tableStyleInfo name="TableStyleMedium2"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2A4B3821-B9B2-4097-997C-DC470CFE7A4D}" name="Таблица173043567084981121171311431551671871935516783991151311471631792238547086102118134150548564580594608622638654670686703720203550658095110125" displayName="Таблица173043567084981121171311431551671871935516783991151311471631792238547086102118134150548564580594608622638654670686703720203550658095110125" ref="A104:G123" totalsRowShown="0" headerRowDxfId="2991" dataDxfId="2990" tableBorderDxfId="2989">
  <autoFilter ref="A104:G123" xr:uid="{5F2E2A5D-7666-4FD4-A50A-70ADD98392B4}"/>
  <sortState xmlns:xlrd2="http://schemas.microsoft.com/office/spreadsheetml/2017/richdata2" ref="A105:G123">
    <sortCondition ref="D104:D123"/>
  </sortState>
  <tableColumns count="7">
    <tableColumn id="1" xr3:uid="{C94971A1-4974-4632-A79D-4B2510C88A3F}" name="Дата" dataDxfId="2988"/>
    <tableColumn id="2" xr3:uid="{E2E04134-B6DC-4607-BDC4-48FC6EA37653}" name="Клиент" dataDxfId="2987"/>
    <tableColumn id="3" xr3:uid="{CD971ED8-995E-4186-9628-B1119E3A9936}" name="Менеджер" dataDxfId="2986" dataCellStyle="Обычный 2"/>
    <tableColumn id="4" xr3:uid="{EFFB164A-7B4C-49D1-BF4B-B277B8C53366}" name="Контакт в 1С" dataDxfId="2985"/>
    <tableColumn id="5" xr3:uid="{445F62E7-4667-46CA-A779-7D049E968731}" name="№ сделки" dataDxfId="2984"/>
    <tableColumn id="6" xr3:uid="{05AB9BF4-153C-41EB-85C3-DC4088AC660E}" name="Цель" dataDxfId="2983"/>
    <tableColumn id="7" xr3:uid="{DAF466BA-FF4E-412C-975E-27994C36BEE3}" name="Результат" dataDxfId="2982"/>
  </tableColumns>
  <tableStyleInfo name="TableStyleMedium2"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32567DEE-0617-45DB-AC9B-0811877A17D2}" name="Таблица1931445771859911312013214415616818820365268841001161321481641802339557187103119135151549565581595609623639655671687704721213651668196111126" displayName="Таблица1931445771859911312013214415616818820365268841001161321481641802339557187103119135151549565581595609623639655671687704721213651668196111126" ref="A128:G132" totalsRowShown="0" headerRowDxfId="2981" dataDxfId="2980" tableBorderDxfId="2979">
  <autoFilter ref="A128:G132" xr:uid="{CC17A23E-B8E4-4CBF-BC3B-16FF0249D515}"/>
  <tableColumns count="7">
    <tableColumn id="1" xr3:uid="{40754597-8D67-4F4C-966E-8196FE0E205E}" name="Цель" dataDxfId="2978" dataCellStyle="Обычный 2"/>
    <tableColumn id="2" xr3:uid="{5E842CBB-EDEC-4166-B0D3-385F45638589}" name="Необходимый результат" dataDxfId="2977" dataCellStyle="Обычный 2"/>
    <tableColumn id="3" xr3:uid="{00437911-4C07-4D16-B433-8573103AF114}" name="Выполнено да/нет" dataDxfId="2976" dataCellStyle="Обычный"/>
    <tableColumn id="4" xr3:uid="{652DA99A-86DB-4F20-A0A8-E6893108B945}" name="Комментарий по выполненной задаче" dataDxfId="2975" dataCellStyle="Обычный 2"/>
    <tableColumn id="5" xr3:uid="{8B23EAAB-E6FE-42D6-A9EA-B715B5710AB5}" name="Мотивация" dataDxfId="2974"/>
    <tableColumn id="6" xr3:uid="{685350E0-5A22-4AA8-8A8D-DAD0A0AAC454}" name="Менеджер" dataDxfId="2973"/>
    <tableColumn id="7" xr3:uid="{69F10B42-8C7A-4E69-A0B2-2EF6B5EE7DFA}" name="К оплате" dataDxfId="2972">
      <calculatedColumnFormula>12000*0.7</calculatedColumnFormula>
    </tableColumn>
  </tableColumns>
  <tableStyleInfo name="TableStyleMedium2"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55305BAC-F931-48CB-90B5-B443373FEB08}" name="Таблица20324558728610011412113314515716918921375369851011171331491651812440567288104120136152550566582596610624640656672688705722223752678297112127" displayName="Таблица20324558728610011412113314515716918921375369851011171331491651812440567288104120136152550566582596610624640656672688705722223752678297112127" ref="A136:G140" totalsRowShown="0" headerRowDxfId="2971" dataDxfId="2970" tableBorderDxfId="2969">
  <autoFilter ref="A136:G140" xr:uid="{16803243-7F25-4AF5-AE4A-7C5E11F25A09}"/>
  <tableColumns count="7">
    <tableColumn id="1" xr3:uid="{EFDAB23C-6A0B-45A1-B9C0-FD841238883B}" name="Цель" dataDxfId="2968"/>
    <tableColumn id="2" xr3:uid="{EEF018E8-E8BD-4B6C-A309-A928474D6C8D}" name="Необходимый результат" dataDxfId="2967"/>
    <tableColumn id="3" xr3:uid="{D9938D82-CDE2-48C8-A593-C9DAF92E9B65}" name="Выполнено да/нет" dataDxfId="2966"/>
    <tableColumn id="4" xr3:uid="{D017011B-9ACE-496B-AEBB-56E05D8AF2DD}" name="Комментарий по выполненной задаче" dataDxfId="2965"/>
    <tableColumn id="5" xr3:uid="{44701288-4AD6-4A08-AC87-82302EFFF1D5}" name="Мотивация" dataDxfId="2964"/>
    <tableColumn id="6" xr3:uid="{E2C65004-C420-4706-B73D-16AC48C428D5}" name="Менеджер" dataDxfId="2963"/>
    <tableColumn id="7" xr3:uid="{BADBC259-B918-4C85-85DF-E2F23A6FA699}" name="К оплате" dataDxfId="2962"/>
  </tableColumns>
  <tableStyleInfo name="TableStyleMedium2"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EF94EFC1-1754-4540-9A2F-2C5B3ACED950}" name="Таблица16334659738710111512213414615817019022385470861021181341501661822541577389105121137153551567583597611625641657673689706723233853688398113128" displayName="Таблица16334659738710111512213414615817019022385470861021181341501661822541577389105121137153551567583597611625641657673689706723233853688398113128" ref="A52:F58" totalsRowShown="0" headerRowDxfId="2961" dataDxfId="2960" totalsRowDxfId="2958" tableBorderDxfId="2959" totalsRowBorderDxfId="2957">
  <autoFilter ref="A52:F58" xr:uid="{9246B9BD-73A5-4351-9AA2-07EE59ED4E9D}"/>
  <sortState xmlns:xlrd2="http://schemas.microsoft.com/office/spreadsheetml/2017/richdata2" ref="A53:F58">
    <sortCondition descending="1" ref="D52:D58"/>
  </sortState>
  <tableColumns count="6">
    <tableColumn id="1" xr3:uid="{F1BEB592-DDE9-420D-8962-995BFECE8094}" name="Клиент" dataDxfId="2956" totalsRowDxfId="2955"/>
    <tableColumn id="2" xr3:uid="{A0F451CC-7D41-4395-94D0-8A2D476F401A}" name="Оборот" dataDxfId="2954" totalsRowDxfId="2953"/>
    <tableColumn id="3" xr3:uid="{45AE5F30-5D1F-44B2-9ABE-3952628BCF6F}" name="Профит " dataDxfId="2952" totalsRowDxfId="2951"/>
    <tableColumn id="4" xr3:uid="{EC3DADB2-9149-4162-BF79-3FEDF566CAF6}" name="%" dataDxfId="2950" totalsRowDxfId="2949"/>
    <tableColumn id="5" xr3:uid="{D91F8F8E-6198-495C-BF90-0F115F748FCD}" name="Менеджер" dataDxfId="2948" totalsRowDxfId="2947"/>
    <tableColumn id="6" xr3:uid="{325A7123-4FBA-4A6C-9D7B-D99E2665A006}" name="Комментарий" dataDxfId="2946" totalsRowDxfId="2945" dataCellStyle="Финансовый"/>
  </tableColumns>
  <tableStyleInfo name="TableStyleLight9"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71EEBEA9-FBC6-49A9-BD34-FD4FF9BAB814}" name="Таблица4211720344148556269768390978390111118125132139146153160167174181188195613202734414855626976839097104111118125132139146153160167175183198206214123135147159171191233955718710311913515116718326425874901061221381545525685845986126266426586746907077129" displayName="Таблица4211720344148556269768390978390111118125132139146153160167174181188195613202734414855626976839097104111118125132139146153160167175183198206214123135147159171191233955718710311913515116718326425874901061221381545525685845986126266426586746907077129" ref="A70:H78" totalsRowShown="0" headerRowDxfId="2944" dataDxfId="2943" dataCellStyle="Обычный 2">
  <autoFilter ref="A70:H78" xr:uid="{4ACBF2F4-2982-4E59-8F46-ECCA5C6BC7F5}"/>
  <sortState xmlns:xlrd2="http://schemas.microsoft.com/office/spreadsheetml/2017/richdata2" ref="A71:H78">
    <sortCondition descending="1" ref="G70:G78"/>
  </sortState>
  <tableColumns count="8">
    <tableColumn id="1" xr3:uid="{F81F45A4-0DA6-4594-9D39-30B440D70B96}" name="Номер" dataDxfId="2942" dataCellStyle="Обычный 2"/>
    <tableColumn id="3" xr3:uid="{42CABF4E-B28C-4F31-B16C-4A19E02B4B94}" name="Клиент" dataDxfId="2941" dataCellStyle="Обычный 2"/>
    <tableColumn id="4" xr3:uid="{786DB206-30A3-42BE-8B6D-3F39CFC9F706}" name="Менеджер" dataDxfId="2940" dataCellStyle="Обычный 2"/>
    <tableColumn id="5" xr3:uid="{0FB223DE-4449-434E-903A-0DE56E2B0ACE}" name="Проект" dataDxfId="2939" dataCellStyle="Обычный 2"/>
    <tableColumn id="6" xr3:uid="{206F6431-A25D-4E6B-8287-0BCAE90B4928}" name="Краткое описание проекта" dataDxfId="2938" dataCellStyle="Обычный 2"/>
    <tableColumn id="7" xr3:uid="{4403843F-C89B-4730-8735-A93A10B80AD8}" name="Дата завершения сделки" dataDxfId="2937" dataCellStyle="Обычный 2"/>
    <tableColumn id="8" xr3:uid="{1DF86047-496F-4A59-BCB7-A8BC0A8467ED}" name="Сумма, тыс. руб." dataDxfId="2936" dataCellStyle="Обычный"/>
    <tableColumn id="2" xr3:uid="{DD240960-3340-4CCB-A2C7-7EC36B2C5DFE}" name="Статус" dataDxfId="2935"/>
  </tableColumns>
  <tableStyleInfo name="TableStyleMedium2"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B29DB15B-4F76-4F15-BE57-984389698650}" name="Таблица9132738193340475461687582899682891101171241311381451521591661731801871945121926334047546168758289961031101171241311381451521591661741821902052131191251371491611731932541567288104120136152168184274359759110712313915555356958559961362764365967569130" displayName="Таблица9132738193340475461687582899682891101171241311381451521591661731801871945121926334047546168758289961031101171241311381451521591661741821902052131191251371491611731932541567288104120136152168184274359759110712313915555356958559961362764365967569130" ref="A64:H65" headerRowCount="0" totalsRowShown="0" headerRowDxfId="2934" dataDxfId="2933">
  <tableColumns count="8">
    <tableColumn id="1" xr3:uid="{6C3EFBC3-16B0-4CD7-9FB7-C9EB2EC8482D}" name="Февраль 2015" headerRowDxfId="2932" dataDxfId="2931" dataCellStyle="Название"/>
    <tableColumn id="2" xr3:uid="{004D4E15-A0CD-4519-9600-A0D01FCC5747}" name="Столбец1" headerRowDxfId="2930" dataDxfId="2929"/>
    <tableColumn id="3" xr3:uid="{DECFE763-6992-45F4-B97F-32AEFF7363DB}" name="Столбец2" headerRowDxfId="2928" dataDxfId="2927"/>
    <tableColumn id="4" xr3:uid="{14CC1D5E-0848-441F-A708-44DF3A20AB9C}" name="Столбец3" headerRowDxfId="2926" dataDxfId="2925"/>
    <tableColumn id="5" xr3:uid="{64108B8A-DEEE-4371-BD96-AF603A5DA8CE}" name="Столбец4" headerRowDxfId="2924" dataDxfId="2923"/>
    <tableColumn id="6" xr3:uid="{4C35D6A1-4678-4B01-BF8B-157FAA2544FC}" name="Столбец5" headerRowDxfId="2922" dataDxfId="2921"/>
    <tableColumn id="7" xr3:uid="{21BEAF73-EDCB-4FFA-816A-DFEFFEC989F7}" name="Столбец6" headerRowDxfId="2920" dataDxfId="2919"/>
    <tableColumn id="8" xr3:uid="{E3A47E6B-8144-4CF0-8A15-C88DD98BDF83}" name="Столбец7" headerRowDxfId="2918" dataDxfId="2917"/>
  </tableColumns>
  <tableStyleInfo name="TableStyleMedium2"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099F597B-41F8-4396-97B5-FC1A5AAFB252}" name="Таблица125138150162174194264257738910512113715316918528446076921081241401565545705866006146286446606766927097262641567186101116131" displayName="Таблица125138150162174194264257738910512113715316918528446076921081241401565545705866006146286446606766927097262641567186101116131" ref="A82:H94" totalsRowShown="0" headerRowDxfId="2916" dataDxfId="2915">
  <autoFilter ref="A82:H94" xr:uid="{0F3DFAA2-5FF8-417D-8496-A5C766071E19}"/>
  <sortState xmlns:xlrd2="http://schemas.microsoft.com/office/spreadsheetml/2017/richdata2" ref="A83:H94">
    <sortCondition descending="1" ref="G82:G94"/>
  </sortState>
  <tableColumns count="8">
    <tableColumn id="1" xr3:uid="{54F6E579-3A9F-47F9-B93F-9D0C7C914D0E}" name="Номер" dataDxfId="2914"/>
    <tableColumn id="2" xr3:uid="{0D9C1708-798E-4CEC-A303-6B86B55577A5}" name="Клиент" dataDxfId="2913"/>
    <tableColumn id="3" xr3:uid="{43137531-328D-4C49-B3DB-923C2027EBBF}" name="Менеджер" dataDxfId="2912" dataCellStyle="Обычный 2"/>
    <tableColumn id="4" xr3:uid="{142D3868-3F0B-4148-B2CD-E8A81C71241A}" name="Проект" dataDxfId="2911"/>
    <tableColumn id="5" xr3:uid="{5C0E7629-F2E3-4E06-AEEB-524596665721}" name="Краткое описание проекта" dataDxfId="2910"/>
    <tableColumn id="6" xr3:uid="{C2840709-A372-422E-9D21-B9D0B9F9B98C}" name="Дата завершения сделки" dataDxfId="2909"/>
    <tableColumn id="7" xr3:uid="{D5394294-3152-41C7-8C64-EA564C0B063A}" name="Сумма" dataDxfId="2908"/>
    <tableColumn id="8" xr3:uid="{72CE1D66-5E64-4848-9D24-8A4FDCA2EF1C}" name="Статус" dataDxfId="2907"/>
  </tableColumns>
  <tableStyleInfo name="TableStyleMedium2"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79FBD064-4F73-4699-8A3C-C461CE6420AD}" name="Таблица175195274358749010612213815417018629456177931091251411575555715876016156296456616776937107272742577287102117132" displayName="Таблица175195274358749010612213815417018629456177931091251411575555715876016156296456616776937107272742577287102117132" ref="A11:E12" totalsRowShown="0" headerRowDxfId="2906" dataDxfId="2905" tableBorderDxfId="2904">
  <tableColumns count="5">
    <tableColumn id="1" xr3:uid="{82A047A8-8EFB-43DC-8A9A-5DA417A5B250}" name="Менеджер" dataDxfId="2903"/>
    <tableColumn id="2" xr3:uid="{53737C38-F4DC-4BE1-A5DC-E5ECF41F6587}" name="План с НАЧАЛА ФГ, руб." dataDxfId="2902">
      <calculatedColumnFormula>SUM(C22:C25)</calculatedColumnFormula>
    </tableColumn>
    <tableColumn id="3" xr3:uid="{BA5A2AE1-3A56-4F1F-BF83-3B9A2FAD8699}" name="Факт с НАЧАЛА ФГ, руб." dataDxfId="2901">
      <calculatedColumnFormula>B34</calculatedColumnFormula>
    </tableColumn>
    <tableColumn id="4" xr3:uid="{7C8FCB85-C9D2-496F-9635-4A087EE1B3A9}" name="Отклонение, %" dataDxfId="2900">
      <calculatedColumnFormula>C12/B12-100%</calculatedColumnFormula>
    </tableColumn>
    <tableColumn id="5" xr3:uid="{749442A4-82DF-48BD-8313-9F62EC4CF7F5}" name="Отклонение, РУБ" dataDxfId="2899">
      <calculatedColumnFormula>C12-B12</calculatedColumnFormula>
    </tableColumn>
  </tableColumns>
  <tableStyleInfo name="TableStyleMedium2"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9E99833F-CC72-4416-AD91-9BE873F474F0}" name="Таблица294459759110712313915517118730466278941101261421585565725886026166306466626786947117282843587388103118133" displayName="Таблица294459759110712313915517118730466278941101261421585565725886026166306466626786947117282843587388103118133" ref="A39:E40" totalsRowShown="0" headerRowDxfId="2898" dataDxfId="2897">
  <autoFilter ref="A39:E40" xr:uid="{A123EA08-D8D4-4987-8146-FF08418E565C}"/>
  <tableColumns count="5">
    <tableColumn id="2" xr3:uid="{DF542F31-54AA-4AF7-BA66-B049673959B2}" name="Факт" dataDxfId="2896">
      <calculatedColumnFormula>B25</calculatedColumnFormula>
    </tableColumn>
    <tableColumn id="9" xr3:uid="{8558FD3A-5AF6-4EC7-8772-8AED6A6EB185}" name="Оклад" dataDxfId="2895" dataCellStyle="Процентный">
      <calculatedColumnFormula>50000</calculatedColumnFormula>
    </tableColumn>
    <tableColumn id="4" xr3:uid="{A9ADBA58-239E-4D0B-AECA-EEE515910DE3}" name="Премия" dataDxfId="2894">
      <calculatedColumnFormula>A40*0.065*1</calculatedColumnFormula>
    </tableColumn>
    <tableColumn id="7" xr3:uid="{EC4417CE-A6D4-4046-8657-C0EEA31430B5}" name="Доплата за Задачи" dataDxfId="2893">
      <calculatedColumnFormula>SUM(G129:G132)</calculatedColumnFormula>
    </tableColumn>
    <tableColumn id="6" xr3:uid="{E7D74790-71F3-4227-BCBC-138234823AB8}" name="Штрафы" dataDxfId="2892"/>
  </tableColumns>
  <tableStyleInfo name="TableStyleMedium2"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D488CD1A-AF8F-48DB-A7F1-24A93926DF7F}" name="Таблица9132738193340475461687582899682891101171241311381451521591661731801871945121926334047546168758289961031101171241311381451521591661741821902052131241361481601721922440627894110126142158174190334965819711312914516155957559160361763164766367969571134" displayName="Таблица9132738193340475461687582899682891101171241311381451521591661731801871945121926334047546168758289961031101171241311381451521591661741821902052131241361481601721922440627894110126142158174190334965819711312914516155957559160361763164766367969571134" ref="A61:H63" headerRowCount="0" totalsRowShown="0" headerRowDxfId="2891" dataDxfId="2890">
  <tableColumns count="8">
    <tableColumn id="1" xr3:uid="{30FC9B4D-BC56-4A3D-8628-40EA8069B211}" name="Февраль 2015" headerRowDxfId="2889" dataDxfId="2888" dataCellStyle="Название"/>
    <tableColumn id="2" xr3:uid="{74CDE32B-E492-4E7C-8D83-B2C29FA68F55}" name="Столбец1" headerRowDxfId="2887" dataDxfId="2886"/>
    <tableColumn id="3" xr3:uid="{CB1B3F3B-5273-4C86-B50C-427BD57C61B9}" name="Столбец2" headerRowDxfId="2885" dataDxfId="2884"/>
    <tableColumn id="4" xr3:uid="{7835E0A9-581A-4785-9757-975312837AFF}" name="Столбец3" headerRowDxfId="2883" dataDxfId="2882"/>
    <tableColumn id="5" xr3:uid="{5BE5A6A2-4C5D-4819-B612-7D0FA3187B94}" name="Столбец4" headerRowDxfId="2881" dataDxfId="2880"/>
    <tableColumn id="6" xr3:uid="{D6DFEC5D-1AB1-44E1-940C-7B59D8C569F0}" name="Столбец5" headerRowDxfId="2879" dataDxfId="2878"/>
    <tableColumn id="7" xr3:uid="{9B3C82C6-C346-4B8C-9A56-0893A7931138}" name="Столбец6" headerRowDxfId="2877" dataDxfId="2876"/>
    <tableColumn id="8" xr3:uid="{601E6DE0-9335-4039-B532-258263F438EC}" name="Столбец7" headerRowDxfId="2875" dataDxfId="2874"/>
  </tableColumns>
  <tableStyleInfo name="TableStyleMedium2"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5F31AF80-3DD3-4CCA-A024-096F7C2A4A96}" name="Таблица1529425569839711111613014215416618618345066829811413014616217821375369851011171331495605765926046186326486646806967137303045607590105120135" displayName="Таблица1529425569839711111613014215416618618345066829811413014616217821375369851011171331495605765926046186326486646806967137303045607590105120135" ref="A99:G100" totalsRowShown="0" headerRowDxfId="2873" dataDxfId="2872" tableBorderDxfId="2871">
  <autoFilter ref="A99:G100" xr:uid="{BD66A881-30D1-4979-8390-5888D14E5877}"/>
  <tableColumns count="7">
    <tableColumn id="1" xr3:uid="{68FA0F44-D543-4B0B-A9CD-CEB6D911AF1A}" name="Дата" dataDxfId="2870"/>
    <tableColumn id="2" xr3:uid="{C1F458A8-7FAD-4EA4-8FE5-A26D695D4852}" name="Клиент" dataDxfId="2869"/>
    <tableColumn id="3" xr3:uid="{B28EF2D8-C234-4981-A0CE-035A6267AD02}" name="Менеджер" dataDxfId="2868" dataCellStyle="Обычный 2"/>
    <tableColumn id="4" xr3:uid="{AD121CC1-2758-4C6F-9277-318E92215C9F}" name="Контакт в 1С" dataDxfId="2867"/>
    <tableColumn id="5" xr3:uid="{A15229FC-2AAB-43C5-9EA1-5372F884F3A6}" name="№ сделки" dataDxfId="2866"/>
    <tableColumn id="6" xr3:uid="{C34E78BB-9B17-4FE9-9DD9-074156FDEA05}" name="Цель" dataDxfId="2865"/>
    <tableColumn id="7" xr3:uid="{372C4C35-BC21-496C-8BE7-33AAFEF075D7}" name="Результат" dataDxfId="2864"/>
  </tableColumns>
  <tableStyleInfo name="TableStyleMedium2"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76FBF3D3-AEF0-4E05-A29F-04B5ED86D930}" name="Таблица4936997167333146617691106121136" displayName="Таблица4936997167333146617691106121136" ref="A21:D33" totalsRowShown="0" headerRowDxfId="702" dataDxfId="701" headerRowBorderDxfId="699" tableBorderDxfId="700" totalsRowBorderDxfId="698">
  <autoFilter ref="A21:D33" xr:uid="{8999CE3E-52FF-4AF3-AA18-1DA9A764C519}"/>
  <tableColumns count="4">
    <tableColumn id="1" xr3:uid="{9EE5875A-9EF9-4D6C-9CF6-721A08B9994C}" name="Месяц" dataDxfId="697"/>
    <tableColumn id="2" xr3:uid="{49749B26-6CC5-4EF8-9696-8FF513BD09B2}" name="Профит" dataDxfId="696"/>
    <tableColumn id="3" xr3:uid="{5B1C6D98-A9E2-440A-BBD5-A27F3F764ADF}" name="План" dataDxfId="695"/>
    <tableColumn id="4" xr3:uid="{7B0C256F-F17A-42FE-A76F-F1176E5B4074}" name="Выполнение" dataDxfId="694">
      <calculatedColumnFormula>Таблица4936997167333146617691106121136[[#This Row],[Профит]]/Таблица4936997167333146617691106121136[[#This Row],[План]]</calculatedColumnFormula>
    </tableColumn>
  </tableColumns>
  <tableStyleInfo name="TableStyleMedium2"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C2C22732-7FE0-429B-8A34-47572C1C7B11}" name="Таблица11029163037445158657223303744515865727986931009223548627690104107127139151163183152947637995111127143159175183450668298114130146545561577589605619635651667683700717163247627792107122137" displayName="Таблица11029163037445158657223303744515865727986931009223548627690104107127139151163183152947637995111127143159175183450668298114130146545561577589605619635651667683700717163247627792107122137" ref="A6:F7" totalsRowShown="0" headerRowDxfId="2863" dataDxfId="2862">
  <tableColumns count="6">
    <tableColumn id="1" xr3:uid="{0C788381-F763-47C2-9243-D2EC7CE6594B}" name="Менеджер" dataDxfId="2861"/>
    <tableColumn id="2" xr3:uid="{71FF5C36-D23B-4ED1-9FA8-700131EFD30B}" name="План, руб." dataDxfId="2860"/>
    <tableColumn id="3" xr3:uid="{E4832E76-AA18-4146-9AAB-A2A968B4403C}" name="Факт, руб." dataDxfId="2859">
      <calculatedColumnFormula>B26</calculatedColumnFormula>
    </tableColumn>
    <tableColumn id="4" xr3:uid="{67B7C34C-CE0C-4014-A0CF-D4558A03ABA1}" name="Отклонение, %" dataDxfId="2858" dataCellStyle="Процентный">
      <calculatedColumnFormula>Таблица11029163037445158657223303744515865727986931009223548627690104107127139151163183152947637995111127143159175183450668298114130146545561577589605619635651667683700717163247627792107122137[Факт, руб.]/Таблица11029163037445158657223303744515865727986931009223548627690104107127139151163183152947637995111127143159175183450668298114130146545561577589605619635651667683700717163247627792107122137[План, руб.]-100%</calculatedColumnFormula>
    </tableColumn>
    <tableColumn id="7" xr3:uid="{8719B9A3-8E1F-4F9B-BD2C-0D768AE192C8}" name="Отклонение, РУБ" dataDxfId="2857" dataCellStyle="Процентный">
      <calculatedColumnFormula>Таблица11029163037445158657223303744515865727986931009223548627690104107127139151163183152947637995111127143159175183450668298114130146545561577589605619635651667683700717163247627792107122137[Факт, руб.]-Таблица11029163037445158657223303744515865727986931009223548627690104107127139151163183152947637995111127143159175183450668298114130146545561577589605619635651667683700717163247627792107122137[План, руб.]</calculatedColumnFormula>
    </tableColumn>
    <tableColumn id="5" xr3:uid="{E4D801F1-34AB-43B3-8C82-75422219B18D}" name="Предыд месяц" dataDxfId="2856" dataCellStyle="Процентный">
      <calculatedColumnFormula>B25</calculatedColumnFormula>
    </tableColumn>
  </tableColumns>
  <tableStyleInfo name="TableStyleMedium2"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5E51CAC2-0664-4192-8E04-473C24861D6F}" name="Таблица211301731384552596673243138455259667380879410110233649637791105109128140152164184163248648096112128144160176193551678399115131147546562578590606620636652668684701718173348637893108123138" displayName="Таблица211301731384552596673243138455259667380879410110233649637791105109128140152164184163248648096112128144160176193551678399115131147546562578590606620636652668684701718173348637893108123138" ref="A16:E17" totalsRowShown="0" headerRowDxfId="2855" dataDxfId="2854">
  <tableColumns count="5">
    <tableColumn id="1" xr3:uid="{DA050FD7-7BAD-4486-9BCA-F6A2971F0198}" name="Менеджер" dataDxfId="2853"/>
    <tableColumn id="2" xr3:uid="{98BFEF59-F1E6-4916-B11B-7E0602F3A529}" name="Профит ФГ 23-24" dataDxfId="2852"/>
    <tableColumn id="3" xr3:uid="{A235F1F4-962E-4D2D-B22F-EC4E1EF639E5}" name="Профит ФГ 24-25" dataDxfId="2851"/>
    <tableColumn id="4" xr3:uid="{4B890BD0-80FE-45E3-85D5-FA6A29DC18C8}" name="Профит ФГ 25-26" dataDxfId="2850" dataCellStyle="Процентный">
      <calculatedColumnFormula>B34</calculatedColumnFormula>
    </tableColumn>
    <tableColumn id="5" xr3:uid="{9F85F8FF-E2EB-4746-A9B7-C17CC4C80D5A}" name="Рост накопительно, % " dataDxfId="2849">
      <calculatedColumnFormula>Таблица211301731384552596673243138455259667380879410110233649637791105109128140152164184163248648096112128144160176193551678399115131147546562578590606620636652668684701718173348637893108123138[Профит ФГ 25-26]/Таблица211301731384552596673243138455259667380879410110233649637791105109128140152164184163248648096112128144160176193551678399115131147546562578590606620636652668684701718173348637893108123138[Профит ФГ 24-25]</calculatedColumnFormula>
    </tableColumn>
  </tableColumns>
  <tableStyleInfo name="TableStyleMedium2"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2C5E9349-2F4B-4F9F-9D99-86739E18409B}" name="Таблица546243318323946536067742532394653606774818895102112437506478921061101291411531651851733496581971131291451611772036526884100116132148547563579593607621637653669685702719193449647994109124139" displayName="Таблица546243318323946536067742532394653606774818895102112437506478921061101291411531651851733496581971131291451611772036526884100116132148547563579593607621637653669685702719193449647994109124139" ref="A45:D46" totalsRowShown="0" headerRowDxfId="2848" dataDxfId="2847">
  <autoFilter ref="A45:D46" xr:uid="{3EADDA2E-FD58-4130-8A1C-8C20137591BB}"/>
  <tableColumns count="4">
    <tableColumn id="2" xr3:uid="{3E20D1E5-FCC8-47DF-9188-B721B4A4A42E}" name="Холдинг" dataDxfId="2846"/>
    <tableColumn id="3" xr3:uid="{02E9A75A-779C-4208-8CEA-F4F9399C0D72}" name="Сумма просроченного долга" dataDxfId="2845" dataCellStyle="Денежный"/>
    <tableColumn id="4" xr3:uid="{2FB00CE6-C561-4A90-8803-D2BDF1FAA618}" name="Общая сумма долга" dataDxfId="2844" dataCellStyle="Денежный"/>
    <tableColumn id="5" xr3:uid="{0288874A-925D-4725-972F-0462FF1C88E4}" name="% просрочки" dataDxfId="2843" dataCellStyle="Процентный">
      <calculatedColumnFormula>Таблица546243318323946536067742532394653606774818895102112437506478921061101291411531651851733496581971131291451611772036526884100116132148547563579593607621637653669685702719193449647994109124139[[#This Row],[Сумма просроченного долга]]/Таблица546243318323946536067742532394653606774818895102112437506478921061101291411531651851733496581971131291451611772036526884100116132148547563579593607621637653669685702719193449647994109124139[[#This Row],[Общая сумма долга]]</calculatedColumnFormula>
    </tableColumn>
  </tableColumns>
  <tableStyleInfo name="TableStyleMedium2"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11B0C37F-A138-4EF4-AD69-17155FC55D14}" name="Таблица173043567084981121171311431551671871935516783991151311471631792238547086102118134150548564580594608622638654670686703720203550658095110125140" displayName="Таблица173043567084981121171311431551671871935516783991151311471631792238547086102118134150548564580594608622638654670686703720203550658095110125140" ref="A95:G105" totalsRowShown="0" headerRowDxfId="2842" dataDxfId="2841" tableBorderDxfId="2840">
  <autoFilter ref="A95:G105" xr:uid="{5F2E2A5D-7666-4FD4-A50A-70ADD98392B4}"/>
  <sortState xmlns:xlrd2="http://schemas.microsoft.com/office/spreadsheetml/2017/richdata2" ref="A96:G105">
    <sortCondition ref="D95:D105"/>
  </sortState>
  <tableColumns count="7">
    <tableColumn id="1" xr3:uid="{FC8185B4-002F-4B02-A183-F2C82142ECD1}" name="Дата" dataDxfId="2839"/>
    <tableColumn id="2" xr3:uid="{DD6CB4E5-11F6-44DA-AE7E-26B47E4430B9}" name="Клиент" dataDxfId="2838"/>
    <tableColumn id="3" xr3:uid="{F9A9FAEB-F55F-4C59-99F0-5342D562C23B}" name="Менеджер" dataDxfId="2837" dataCellStyle="Обычный 2"/>
    <tableColumn id="4" xr3:uid="{135882AF-1EF5-49E4-965E-8B9413BE010F}" name="Контакт в 1С" dataDxfId="2836"/>
    <tableColumn id="5" xr3:uid="{F5BED323-CE80-40EF-9F87-3E92DC7782DF}" name="№ сделки" dataDxfId="2835"/>
    <tableColumn id="6" xr3:uid="{B19AEE71-A1C2-4B35-A366-92D3F7689668}" name="Цель" dataDxfId="2834"/>
    <tableColumn id="7" xr3:uid="{15F330C1-7D76-4D31-AEB2-471A3566ADA8}" name="Результат" dataDxfId="2833"/>
  </tableColumns>
  <tableStyleInfo name="TableStyleMedium2"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22AE1CDD-C98F-400F-A43D-47D97D1EA2C6}" name="Таблица1931445771859911312013214415616818820365268841001161321481641802339557187103119135151549565581595609623639655671687704721213651668196111126141" displayName="Таблица1931445771859911312013214415616818820365268841001161321481641802339557187103119135151549565581595609623639655671687704721213651668196111126141" ref="A110:G114" totalsRowShown="0" headerRowDxfId="2832" dataDxfId="2831" tableBorderDxfId="2830">
  <autoFilter ref="A110:G114" xr:uid="{CC17A23E-B8E4-4CBF-BC3B-16FF0249D515}"/>
  <tableColumns count="7">
    <tableColumn id="1" xr3:uid="{FC5FE95E-8F9D-491E-8F5D-FCC557A0A141}" name="Цель" dataDxfId="2829" dataCellStyle="Обычный 2"/>
    <tableColumn id="2" xr3:uid="{EDF5BD7E-3499-4145-93D0-E94FD182B17C}" name="Необходимый результат" dataDxfId="2828" dataCellStyle="Обычный 2"/>
    <tableColumn id="3" xr3:uid="{7393E248-B446-437A-976A-4D5347D6EAD2}" name="Выполнено да/нет" dataDxfId="2827" dataCellStyle="Обычный"/>
    <tableColumn id="4" xr3:uid="{1A180C4B-935D-453A-8F2C-30981D1EC0C6}" name="Комментарий по выполненной задаче" dataDxfId="2826" dataCellStyle="Обычный 2"/>
    <tableColumn id="5" xr3:uid="{22F7F8FD-C00F-48A4-BECC-9742E6A8E48D}" name="Мотивация" dataDxfId="2825"/>
    <tableColumn id="6" xr3:uid="{4F13C8C2-F9FF-42D2-9CFC-5606A2C5DE44}" name="Менеджер" dataDxfId="2824"/>
    <tableColumn id="7" xr3:uid="{26C07EA5-8EB5-4720-92B2-5EBF1EBC84B5}" name="К оплате" dataDxfId="2823">
      <calculatedColumnFormula>12000*0.7</calculatedColumnFormula>
    </tableColumn>
  </tableColumns>
  <tableStyleInfo name="TableStyleMedium2"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05120F32-A98B-40B0-8DF4-D6E91063DFAA}" name="Таблица20324558728610011412113314515716918921375369851011171331491651812440567288104120136152550566582596610624640656672688705722223752678297112127142" displayName="Таблица20324558728610011412113314515716918921375369851011171331491651812440567288104120136152550566582596610624640656672688705722223752678297112127142" ref="A118:G122" totalsRowShown="0" headerRowDxfId="2822" tableBorderDxfId="2821">
  <autoFilter ref="A118:G122" xr:uid="{16803243-7F25-4AF5-AE4A-7C5E11F25A09}"/>
  <tableColumns count="7">
    <tableColumn id="1" xr3:uid="{FB891B51-2670-44CD-9B5E-FBBA910FD343}" name="Цель" dataDxfId="2820"/>
    <tableColumn id="2" xr3:uid="{27DD81E3-BDEB-4F76-89C1-A3CA0B7CE0CD}" name="Необходимый результат" dataDxfId="2819"/>
    <tableColumn id="3" xr3:uid="{C255A551-6B81-471D-AD3C-63D1D0139C5D}" name="Выполнено да/нет" dataDxfId="2818"/>
    <tableColumn id="4" xr3:uid="{7EF5F1A6-427E-4EE4-BE49-FE5335366F2E}" name="Комментарий по выполненной задаче" dataDxfId="2817"/>
    <tableColumn id="5" xr3:uid="{18B7275C-07C6-4717-8976-288FC4BF138D}" name="Мотивация" dataDxfId="2816"/>
    <tableColumn id="6" xr3:uid="{1C6BCFA9-DEE9-4FFE-84FF-41C0CCBF9295}" name="Менеджер" dataDxfId="2815"/>
    <tableColumn id="7" xr3:uid="{9CC28029-5714-47E3-B85B-B2B67C0D7835}" name="К оплате" dataDxfId="2814"/>
  </tableColumns>
  <tableStyleInfo name="TableStyleMedium2"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76C68C13-E12C-482C-BE91-9E1112BDF470}" name="Таблица16334659738710111512213414615817019022385470861021181341501661822541577389105121137153551567583597611625641657673689706723233853688398113128143" displayName="Таблица16334659738710111512213414615817019022385470861021181341501661822541577389105121137153551567583597611625641657673689706723233853688398113128143" ref="A52:F56" totalsRowShown="0" headerRowDxfId="2813" dataDxfId="2812" totalsRowDxfId="2810" tableBorderDxfId="2811" totalsRowBorderDxfId="2809">
  <autoFilter ref="A52:F56" xr:uid="{9246B9BD-73A5-4351-9AA2-07EE59ED4E9D}"/>
  <sortState xmlns:xlrd2="http://schemas.microsoft.com/office/spreadsheetml/2017/richdata2" ref="A53:F56">
    <sortCondition descending="1" ref="D52:D56"/>
  </sortState>
  <tableColumns count="6">
    <tableColumn id="1" xr3:uid="{F23575B8-F2AB-4B83-BE20-19D0D153B08E}" name="Клиент" dataDxfId="2808" totalsRowDxfId="2807"/>
    <tableColumn id="2" xr3:uid="{63FCCB18-0D8A-4C32-AC46-3E4D4FD2DBD7}" name="Оборот" dataDxfId="2806" totalsRowDxfId="2805"/>
    <tableColumn id="3" xr3:uid="{B1105E13-F409-4C9A-9902-7D7BE3D76331}" name="Профит " dataDxfId="2804" totalsRowDxfId="2803"/>
    <tableColumn id="4" xr3:uid="{34B093E8-D20B-4924-951E-A4781329901C}" name="%" dataDxfId="2802" totalsRowDxfId="2801"/>
    <tableColumn id="5" xr3:uid="{1A79B054-4721-4354-9A4E-72EF51122685}" name="Менеджер" dataDxfId="2800" totalsRowDxfId="2799"/>
    <tableColumn id="6" xr3:uid="{5F147148-D7B7-40BD-9290-F5645452ACE2}" name="Комментарий" dataDxfId="2798" totalsRowDxfId="2797" dataCellStyle="Финансовый"/>
  </tableColumns>
  <tableStyleInfo name="TableStyleLight9"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8671E398-0A57-412F-8923-517C812A6B38}" name="Таблица4211720344148556269768390978390111118125132139146153160167174181188195613202734414855626976839097104111118125132139146153160167175183198206214123135147159171191233955718710311913515116718326425874901061221381545525685845986126266426586746907077144" displayName="Таблица4211720344148556269768390978390111118125132139146153160167174181188195613202734414855626976839097104111118125132139146153160167175183198206214123135147159171191233955718710311913515116718326425874901061221381545525685845986126266426586746907077144" ref="A68:H75" totalsRowShown="0" headerRowDxfId="2796" dataDxfId="2795" dataCellStyle="Обычный 2">
  <autoFilter ref="A68:H75" xr:uid="{4ACBF2F4-2982-4E59-8F46-ECCA5C6BC7F5}"/>
  <sortState xmlns:xlrd2="http://schemas.microsoft.com/office/spreadsheetml/2017/richdata2" ref="A69:H75">
    <sortCondition descending="1" ref="G68:G75"/>
  </sortState>
  <tableColumns count="8">
    <tableColumn id="1" xr3:uid="{004A31F1-8B1C-4C66-A15B-A8BD96111E78}" name="Номер" dataDxfId="2794" dataCellStyle="Обычный 2"/>
    <tableColumn id="3" xr3:uid="{D58A3E65-02B1-4756-984B-A944FFA2436A}" name="Клиент" dataDxfId="2793" dataCellStyle="Обычный 2"/>
    <tableColumn id="4" xr3:uid="{ECBF21A0-652D-49AE-8434-ADF6F60630F3}" name="Менеджер" dataDxfId="2792" dataCellStyle="Обычный 2"/>
    <tableColumn id="5" xr3:uid="{CCE18911-2242-4CD9-AE25-A04526DE1A40}" name="Проект" dataDxfId="2791" dataCellStyle="Обычный 2"/>
    <tableColumn id="6" xr3:uid="{40DB5C40-16B1-44D7-9269-930CF591C5BC}" name="Краткое описание проекта" dataDxfId="2790" dataCellStyle="Обычный 2"/>
    <tableColumn id="7" xr3:uid="{77711F4F-37CD-4ACB-90B5-C15CAE5F68D3}" name="Дата завершения сделки" dataDxfId="2789" dataCellStyle="Обычный 2"/>
    <tableColumn id="8" xr3:uid="{B1588F46-47E0-40F4-BFEE-824AE6DFDC79}" name="Сумма, тыс. руб." dataDxfId="2788" dataCellStyle="Обычный"/>
    <tableColumn id="2" xr3:uid="{B710616F-9E7A-4D83-8606-017755948235}" name="Статус" dataDxfId="2787"/>
  </tableColumns>
  <tableStyleInfo name="TableStyleMedium2"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81172E31-467A-4C14-AF65-5E8D577DFDD9}" name="Таблица9132738193340475461687582899682891101171241311381451521591661731801871945121926334047546168758289961031101171241311381451521591661741821902052131191251371491611731932541567288104120136152168184274359759110712313915555356958559961362764365967569145" displayName="Таблица9132738193340475461687582899682891101171241311381451521591661731801871945121926334047546168758289961031101171241311381451521591661741821902052131191251371491611731932541567288104120136152168184274359759110712313915555356958559961362764365967569145" ref="A62:H63" headerRowCount="0" totalsRowShown="0" headerRowDxfId="2786" dataDxfId="2785">
  <tableColumns count="8">
    <tableColumn id="1" xr3:uid="{026F2A34-1989-4D3F-AD7A-024C0474D0FF}" name="Февраль 2015" headerRowDxfId="2784" dataDxfId="2783" dataCellStyle="Название"/>
    <tableColumn id="2" xr3:uid="{633ABA36-D548-47A7-81FD-9BC2D2EF96F2}" name="Столбец1" headerRowDxfId="2782" dataDxfId="2781"/>
    <tableColumn id="3" xr3:uid="{6EB93C86-A95A-4827-9820-4FF561A6A7CF}" name="Столбец2" headerRowDxfId="2780" dataDxfId="2779"/>
    <tableColumn id="4" xr3:uid="{24A3C68A-4EBB-4868-99DE-3E9D5303C2AD}" name="Столбец3" headerRowDxfId="2778" dataDxfId="2777"/>
    <tableColumn id="5" xr3:uid="{421205FE-A093-431B-8441-B1A13DA0180C}" name="Столбец4" headerRowDxfId="2776" dataDxfId="2775"/>
    <tableColumn id="6" xr3:uid="{4C55DD46-1F34-4D42-B585-23C31AC59998}" name="Столбец5" headerRowDxfId="2774" dataDxfId="2773"/>
    <tableColumn id="7" xr3:uid="{5183FD2B-67AA-4EE5-A251-B228EDA2FF95}" name="Столбец6" headerRowDxfId="2772" dataDxfId="2771"/>
    <tableColumn id="8" xr3:uid="{C5B61AF7-BCD2-40B0-BC34-379DBAB16E65}" name="Столбец7" headerRowDxfId="2770" dataDxfId="2769"/>
  </tableColumns>
  <tableStyleInfo name="TableStyleMedium2"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1081C50F-1D67-4656-9133-CEFD0B329B98}" name="Таблица125138150162174194264257738910512113715316918528446076921081241401565545705866006146286446606766927097262641567186101116131146" displayName="Таблица125138150162174194264257738910512113715316918528446076921081241401565545705866006146286446606766927097262641567186101116131146" ref="A79:H85" totalsRowShown="0" headerRowDxfId="2768" dataDxfId="2767">
  <autoFilter ref="A79:H85" xr:uid="{0F3DFAA2-5FF8-417D-8496-A5C766071E19}"/>
  <sortState xmlns:xlrd2="http://schemas.microsoft.com/office/spreadsheetml/2017/richdata2" ref="A80:H85">
    <sortCondition descending="1" ref="G79:G85"/>
  </sortState>
  <tableColumns count="8">
    <tableColumn id="1" xr3:uid="{0FCFE7FA-FE7A-429A-A31D-437A21DC7C6B}" name="Номер" dataDxfId="2766"/>
    <tableColumn id="2" xr3:uid="{8E52D1EC-07A0-4204-B061-F8B75583B715}" name="Клиент" dataDxfId="2765"/>
    <tableColumn id="3" xr3:uid="{E81B957D-4D13-4827-B01C-5723DCB5C0F1}" name="Менеджер" dataDxfId="2764" dataCellStyle="Обычный 2"/>
    <tableColumn id="4" xr3:uid="{89CAF95F-7895-4D49-BB42-592A89FFFBF8}" name="Проект" dataDxfId="2763"/>
    <tableColumn id="5" xr3:uid="{1887A6B7-AEAE-4F6B-9ACB-A3652D8EF7AC}" name="Краткое описание проекта" dataDxfId="2762"/>
    <tableColumn id="6" xr3:uid="{639D2016-C5B7-470C-AD22-114E8DB2B0AD}" name="Дата завершения сделки" dataDxfId="2761"/>
    <tableColumn id="7" xr3:uid="{5BB894A6-067F-4967-ACA3-83E8F4A6FF6E}" name="Сумма" dataDxfId="2760"/>
    <tableColumn id="8" xr3:uid="{D677AEB5-6F5B-47CB-B8C6-06FBAADDEA0A}" name="Статус" dataDxfId="2759"/>
  </tableColumns>
  <tableStyleInfo name="TableStyleMedium2"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5645CF08-E353-4155-87EA-EE1E58BC3AC4}" name="Таблица175195274358749010612213815417018629456177931091251411575555715876016156296456616776937107272742577287102117132147" displayName="Таблица175195274358749010612213815417018629456177931091251411575555715876016156296456616776937107272742577287102117132147" ref="A11:E12" totalsRowShown="0" headerRowDxfId="2758" dataDxfId="2757" tableBorderDxfId="2756">
  <tableColumns count="5">
    <tableColumn id="1" xr3:uid="{E5DA112B-DE18-455C-9685-6AC776E9F7E3}" name="Менеджер" dataDxfId="2755"/>
    <tableColumn id="2" xr3:uid="{B46CD0CA-BA19-42FD-93AA-AB34C31523A5}" name="План с НАЧАЛА ФГ, руб." dataDxfId="2754">
      <calculatedColumnFormula>SUM(C22:C26)</calculatedColumnFormula>
    </tableColumn>
    <tableColumn id="3" xr3:uid="{26BCA13E-6031-4ACE-BB58-541E52482A0B}" name="Факт с НАЧАЛА ФГ, руб." dataDxfId="2753">
      <calculatedColumnFormula>B34</calculatedColumnFormula>
    </tableColumn>
    <tableColumn id="4" xr3:uid="{B0F644F2-3634-4FBA-BB1A-CFF8B0C3BA8A}" name="Отклонение, %" dataDxfId="2752">
      <calculatedColumnFormula>C12/B12-100%</calculatedColumnFormula>
    </tableColumn>
    <tableColumn id="5" xr3:uid="{1335728E-D61F-4217-BCBD-5DFA60D56D64}" name="Отклонение, РУБ" dataDxfId="2751">
      <calculatedColumnFormula>C12-B12</calculatedColumnFormula>
    </tableColumn>
  </tableColumns>
  <tableStyleInfo name="TableStyleMedium2"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6C4390DE-5716-47D5-809F-6D0BC2510D52}" name="Таблица294459759110712313915517118730466278941101261421585565725886026166306466626786947117282843587388103118133148" displayName="Таблица294459759110712313915517118730466278941101261421585565725886026166306466626786947117282843587388103118133148" ref="A39:E40" totalsRowShown="0" headerRowDxfId="2750" dataDxfId="2749">
  <autoFilter ref="A39:E40" xr:uid="{A123EA08-D8D4-4987-8146-FF08418E565C}"/>
  <tableColumns count="5">
    <tableColumn id="2" xr3:uid="{5506BFEC-D07E-4A41-B1DA-31DDD49476A0}" name="Факт" dataDxfId="2748">
      <calculatedColumnFormula>B26</calculatedColumnFormula>
    </tableColumn>
    <tableColumn id="9" xr3:uid="{2BB87459-D58F-4E50-8D6C-3BAD0F5BFFDE}" name="Оклад" dataDxfId="2747" dataCellStyle="Процентный">
      <calculatedColumnFormula>50000</calculatedColumnFormula>
    </tableColumn>
    <tableColumn id="4" xr3:uid="{FDB2BF61-978B-4C82-AA46-31E1CEC7345A}" name="Премия" dataDxfId="2746">
      <calculatedColumnFormula>A40*0.065*1</calculatedColumnFormula>
    </tableColumn>
    <tableColumn id="7" xr3:uid="{62875DD3-8FBF-4C25-9F01-0C5F3E4E4B0D}" name="Доплата за Задачи" dataDxfId="2745">
      <calculatedColumnFormula>SUM(G111:G114)</calculatedColumnFormula>
    </tableColumn>
    <tableColumn id="6" xr3:uid="{7CD932CF-13FD-4B7D-911C-8ABE61EB3423}" name="Штрафы" dataDxfId="2744"/>
  </tableColumns>
  <tableStyleInfo name="TableStyleMedium2"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E922BC2A-C941-454A-990D-98CAEA8553F0}" name="Таблица9132738193340475461687582899682891101171241311381451521591661731801871945121926334047546168758289961031101171241311381451521591661741821902052131241361481601721922440627894110126142158174190334965819711312914516155957559160361763164766367969571149" displayName="Таблица9132738193340475461687582899682891101171241311381451521591661731801871945121926334047546168758289961031101171241311381451521591661741821902052131241361481601721922440627894110126142158174190334965819711312914516155957559160361763164766367969571149" ref="A59:H61" headerRowCount="0" totalsRowShown="0" headerRowDxfId="2743" dataDxfId="2742">
  <tableColumns count="8">
    <tableColumn id="1" xr3:uid="{D39FD725-1DDE-4923-904B-E23B62967588}" name="Февраль 2015" headerRowDxfId="2741" dataDxfId="2740" dataCellStyle="Название"/>
    <tableColumn id="2" xr3:uid="{E1C2D923-FC9F-4979-9102-FAB95F31D314}" name="Столбец1" headerRowDxfId="2739" dataDxfId="2738"/>
    <tableColumn id="3" xr3:uid="{8F4A8319-FD66-4800-BDD0-1AC1F36E00AF}" name="Столбец2" headerRowDxfId="2737" dataDxfId="2736"/>
    <tableColumn id="4" xr3:uid="{A8EF8A3F-237C-4AFD-AC8B-4A5846CF69BB}" name="Столбец3" headerRowDxfId="2735" dataDxfId="2734"/>
    <tableColumn id="5" xr3:uid="{3BD76B83-B9CB-400A-A449-5A116C8CCCFF}" name="Столбец4" headerRowDxfId="2733" dataDxfId="2732"/>
    <tableColumn id="6" xr3:uid="{602ADE61-8167-430D-AFEE-E5DDCD720259}" name="Столбец5" headerRowDxfId="2731" dataDxfId="2730"/>
    <tableColumn id="7" xr3:uid="{259578C8-A513-475B-B67B-FCDD7FC0C66F}" name="Столбец6" headerRowDxfId="2729" dataDxfId="2728"/>
    <tableColumn id="8" xr3:uid="{F64C5B69-9509-41FB-89D9-6A4722DDFAE0}" name="Столбец7" headerRowDxfId="2727" dataDxfId="2726"/>
  </tableColumns>
  <tableStyleInfo name="TableStyleMedium2"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AEAFA4C9-ABFD-4F98-87BD-D88B12448698}" name="Таблица1529425569839711111613014215416618618345066829811413014616217821375369851011171331495605765926046186326486646806967137303045607590105120135150" displayName="Таблица1529425569839711111613014215416618618345066829811413014616217821375369851011171331495605765926046186326486646806967137303045607590105120135150" ref="A90:G91" totalsRowShown="0" headerRowDxfId="2725" dataDxfId="2724" tableBorderDxfId="2723">
  <autoFilter ref="A90:G91" xr:uid="{BD66A881-30D1-4979-8390-5888D14E5877}"/>
  <tableColumns count="7">
    <tableColumn id="1" xr3:uid="{4102C7A3-844C-4D2D-ABCD-DD4EC01BA1A5}" name="Дата" dataDxfId="2722"/>
    <tableColumn id="2" xr3:uid="{02FD8E60-848C-421C-BAA2-85DA10DA91B2}" name="Клиент" dataDxfId="2721"/>
    <tableColumn id="3" xr3:uid="{275F6136-663C-42FB-801B-5F76086DFD23}" name="Менеджер" dataDxfId="2720" dataCellStyle="Обычный 2"/>
    <tableColumn id="4" xr3:uid="{590CE1B3-45C5-4DBE-BC99-1BCB1B6C63AA}" name="Контакт в 1С" dataDxfId="2719"/>
    <tableColumn id="5" xr3:uid="{BEB42FC6-0237-42C0-9B0E-C511AC286C19}" name="№ сделки" dataDxfId="2718"/>
    <tableColumn id="6" xr3:uid="{21964EEF-4BF0-4AFC-957D-1D54EFD72517}" name="Цель" dataDxfId="2717"/>
    <tableColumn id="7" xr3:uid="{CD27424F-8A73-4180-AAFE-5BC77EB84225}" name="Результат" dataDxfId="2716"/>
  </tableColumns>
  <tableStyleInfo name="TableStyleMedium2"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26D67534-348D-4BEE-AB22-D315C4E725E4}" name="Таблица4936997167333146617691106121136151" displayName="Таблица4936997167333146617691106121136151" ref="A21:D33" totalsRowShown="0" headerRowDxfId="2715" dataDxfId="2713" headerRowBorderDxfId="2714" tableBorderDxfId="2712" totalsRowBorderDxfId="2711">
  <autoFilter ref="A21:D33" xr:uid="{8999CE3E-52FF-4AF3-AA18-1DA9A764C519}"/>
  <tableColumns count="4">
    <tableColumn id="1" xr3:uid="{35CBAC31-CDA3-4E37-9064-23E151ABCB10}" name="Месяц" dataDxfId="2710"/>
    <tableColumn id="2" xr3:uid="{F3B1493E-A3D3-4A1B-87FD-79F4603876E5}" name="Профит" dataDxfId="2709"/>
    <tableColumn id="3" xr3:uid="{5EB0D314-5D5C-4EC3-BC18-D2186679EDF6}" name="План" dataDxfId="2708"/>
    <tableColumn id="4" xr3:uid="{EF719611-543D-4B42-9064-965C0B58CA59}" name="Выполнение" dataDxfId="2707">
      <calculatedColumnFormula>Таблица4936997167333146617691106121136151[[#This Row],[Профит]]/Таблица4936997167333146617691106121136151[[#This Row],[План]]</calculatedColumnFormula>
    </tableColumn>
  </tableColumns>
  <tableStyleInfo name="TableStyleMedium2"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46A11CD6-A540-4965-9E0C-314206ED256F}" name="Таблица11029163037445158657223303744515865727986931009223548627690104107127139151163183152947637995111127143159175183450668298114130146545561577589605619635651667683700717163247627792107122137152" displayName="Таблица11029163037445158657223303744515865727986931009223548627690104107127139151163183152947637995111127143159175183450668298114130146545561577589605619635651667683700717163247627792107122137152" ref="A6:F7" totalsRowShown="0" headerRowDxfId="2706" dataDxfId="2705">
  <tableColumns count="6">
    <tableColumn id="1" xr3:uid="{97C9BF71-84E9-4BCF-B24F-80A3F97155FF}" name="Менеджер" dataDxfId="2704"/>
    <tableColumn id="2" xr3:uid="{72529E8D-7569-4C25-A7EA-E11404E53954}" name="План, руб." dataDxfId="2703">
      <calculatedColumnFormula>C27</calculatedColumnFormula>
    </tableColumn>
    <tableColumn id="3" xr3:uid="{A7241F22-11A9-4075-8B69-89C08A1F82D4}" name="Факт, руб." dataDxfId="2702">
      <calculatedColumnFormula>B27</calculatedColumnFormula>
    </tableColumn>
    <tableColumn id="4" xr3:uid="{F3233ED2-CF3F-4A35-8AFB-AA7563FD1251}" name="Отклонение, %" dataDxfId="2701" dataCellStyle="Процентный">
      <calculatedColumnFormula>Таблица11029163037445158657223303744515865727986931009223548627690104107127139151163183152947637995111127143159175183450668298114130146545561577589605619635651667683700717163247627792107122137152[Факт, руб.]/Таблица11029163037445158657223303744515865727986931009223548627690104107127139151163183152947637995111127143159175183450668298114130146545561577589605619635651667683700717163247627792107122137152[План, руб.]-100%</calculatedColumnFormula>
    </tableColumn>
    <tableColumn id="7" xr3:uid="{B4841A1B-41EC-472C-B380-36F3519223C0}" name="Отклонение, РУБ" dataDxfId="2700" dataCellStyle="Процентный">
      <calculatedColumnFormula>Таблица11029163037445158657223303744515865727986931009223548627690104107127139151163183152947637995111127143159175183450668298114130146545561577589605619635651667683700717163247627792107122137152[Факт, руб.]-Таблица11029163037445158657223303744515865727986931009223548627690104107127139151163183152947637995111127143159175183450668298114130146545561577589605619635651667683700717163247627792107122137152[План, руб.]</calculatedColumnFormula>
    </tableColumn>
    <tableColumn id="5" xr3:uid="{AB74E3BC-F5E5-4695-82F3-A123D439E0F1}" name="Предыд месяц" dataDxfId="2699" dataCellStyle="Процентный">
      <calculatedColumnFormula>B26</calculatedColumnFormula>
    </tableColumn>
  </tableColumns>
  <tableStyleInfo name="TableStyleMedium2"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836AD38D-D009-42A6-98D6-EF1B673509ED}" name="Таблица211301731384552596673243138455259667380879410110233649637791105109128140152164184163248648096112128144160176193551678399115131147546562578590606620636652668684701718173348637893108123138153" displayName="Таблица211301731384552596673243138455259667380879410110233649637791105109128140152164184163248648096112128144160176193551678399115131147546562578590606620636652668684701718173348637893108123138153" ref="A16:E17" totalsRowShown="0" headerRowDxfId="2698" dataDxfId="2697">
  <tableColumns count="5">
    <tableColumn id="1" xr3:uid="{FC540FCC-A8E7-4B8C-A2DD-8791512F5579}" name="Менеджер" dataDxfId="2696"/>
    <tableColumn id="2" xr3:uid="{E713114D-E2F4-4BA6-97F2-7A22716C3B94}" name="Профит ФГ 23-24" dataDxfId="2695"/>
    <tableColumn id="3" xr3:uid="{A363F418-4047-4B3A-9737-5A69DD7811B3}" name="Профит ФГ 24-25" dataDxfId="2694"/>
    <tableColumn id="4" xr3:uid="{F0752816-7CA0-4147-AD2C-324788FEA5D8}" name="Профит ФГ 25-26" dataDxfId="2693" dataCellStyle="Процентный">
      <calculatedColumnFormula>B34</calculatedColumnFormula>
    </tableColumn>
    <tableColumn id="5" xr3:uid="{9A22E671-63CA-4D79-8AEE-935AAC485510}" name="Рост накопительно, % " dataDxfId="2692">
      <calculatedColumnFormula>Таблица211301731384552596673243138455259667380879410110233649637791105109128140152164184163248648096112128144160176193551678399115131147546562578590606620636652668684701718173348637893108123138153[Профит ФГ 25-26]/Таблица211301731384552596673243138455259667380879410110233649637791105109128140152164184163248648096112128144160176193551678399115131147546562578590606620636652668684701718173348637893108123138153[Профит ФГ 24-25]</calculatedColumnFormula>
    </tableColumn>
  </tableColumns>
  <tableStyleInfo name="TableStyleMedium2"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7AD2630E-5F30-4DC8-9687-3AD20EAE86F0}" name="Таблица546243318323946536067742532394653606774818895102112437506478921061101291411531651851733496581971131291451611772036526884100116132148547563579593607621637653669685702719193449647994109124139154" displayName="Таблица546243318323946536067742532394653606774818895102112437506478921061101291411531651851733496581971131291451611772036526884100116132148547563579593607621637653669685702719193449647994109124139154" ref="A45:D46" totalsRowShown="0" headerRowDxfId="2691" dataDxfId="2690">
  <autoFilter ref="A45:D46" xr:uid="{3EADDA2E-FD58-4130-8A1C-8C20137591BB}"/>
  <tableColumns count="4">
    <tableColumn id="2" xr3:uid="{852CE22A-578E-4414-BE49-F5A97F5D27AF}" name="Холдинг" dataDxfId="2689"/>
    <tableColumn id="3" xr3:uid="{CEDFD99F-FB31-4D27-8316-E255F336D3FF}" name="Сумма просроченного долга" dataDxfId="2688" dataCellStyle="Денежный"/>
    <tableColumn id="4" xr3:uid="{B9FF5CD2-3011-4447-ACF9-5FCA76E35EE9}" name="Общая сумма долга" dataDxfId="2687" dataCellStyle="Денежный"/>
    <tableColumn id="5" xr3:uid="{F77A7B02-BA2F-47D0-9EB9-A486A486C0C4}" name="% просрочки" dataDxfId="2686" dataCellStyle="Процентный">
      <calculatedColumnFormula>Таблица546243318323946536067742532394653606774818895102112437506478921061101291411531651851733496581971131291451611772036526884100116132148547563579593607621637653669685702719193449647994109124139154[[#This Row],[Сумма просроченного долга]]/Таблица546243318323946536067742532394653606774818895102112437506478921061101291411531651851733496581971131291451611772036526884100116132148547563579593607621637653669685702719193449647994109124139154[[#This Row],[Общая сумма долга]]</calculatedColumnFormula>
    </tableColumn>
  </tableColumns>
  <tableStyleInfo name="TableStyleMedium2"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C1E97283-355E-4F12-A0AB-2D8F0952A5A1}" name="Таблица173043567084981121171311431551671871935516783991151311471631792238547086102118134150548564580594608622638654670686703720203550658095110125140155" displayName="Таблица173043567084981121171311431551671871935516783991151311471631792238547086102118134150548564580594608622638654670686703720203550658095110125140155" ref="A146:G158" totalsRowShown="0" headerRowDxfId="2685" dataDxfId="2684" tableBorderDxfId="2683">
  <autoFilter ref="A146:G158" xr:uid="{5F2E2A5D-7666-4FD4-A50A-70ADD98392B4}"/>
  <sortState xmlns:xlrd2="http://schemas.microsoft.com/office/spreadsheetml/2017/richdata2" ref="A147:G158">
    <sortCondition ref="D146:D158"/>
  </sortState>
  <tableColumns count="7">
    <tableColumn id="1" xr3:uid="{F5D4CCF8-4D16-41E2-86FC-DAB27A434EC5}" name="Дата" dataDxfId="2682"/>
    <tableColumn id="2" xr3:uid="{151F97BF-BC42-4B7F-BF11-2AD82D40832F}" name="Клиент" dataDxfId="2681"/>
    <tableColumn id="3" xr3:uid="{5245D5E7-0530-487C-B49A-15053E755362}" name="Менеджер" dataDxfId="2680" dataCellStyle="Обычный 2"/>
    <tableColumn id="4" xr3:uid="{71D15385-ACF8-496C-A6F2-5DF9489BEBFC}" name="Контакт в 1С" dataDxfId="2679"/>
    <tableColumn id="5" xr3:uid="{5104C607-23B1-4C44-826C-413B5E5E3E6C}" name="№ сделки" dataDxfId="2678"/>
    <tableColumn id="6" xr3:uid="{A68B6C4A-5AA8-44AE-9A4E-2BCA1900CB18}" name="Цель" dataDxfId="2677"/>
    <tableColumn id="7" xr3:uid="{A8BFB4B5-CCE3-4725-B884-A11A02B02279}" name="Результат" dataDxfId="2676"/>
  </tableColumns>
  <tableStyleInfo name="TableStyleMedium2"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5A22B5F2-61C7-445C-9839-398BE940E835}" name="Таблица1931445771859911312013214415616818820365268841001161321481641802339557187103119135151549565581595609623639655671687704721213651668196111126141156" displayName="Таблица1931445771859911312013214415616818820365268841001161321481641802339557187103119135151549565581595609623639655671687704721213651668196111126141156" ref="A163:G168" totalsRowShown="0" headerRowDxfId="2675" dataDxfId="2674" tableBorderDxfId="2673">
  <autoFilter ref="A163:G168" xr:uid="{CC17A23E-B8E4-4CBF-BC3B-16FF0249D515}"/>
  <tableColumns count="7">
    <tableColumn id="1" xr3:uid="{9A919C35-B90D-4A87-9068-30DF06719AA9}" name="Цель" dataDxfId="2672" dataCellStyle="Обычный 2"/>
    <tableColumn id="2" xr3:uid="{4ACC9757-6241-45E4-9210-B7BFB885C0CB}" name="Необходимый результат" dataDxfId="2671" dataCellStyle="Обычный 2"/>
    <tableColumn id="3" xr3:uid="{7C80FABE-7753-45BF-80BA-21F67D5CFF81}" name="Выполнено да/нет" dataDxfId="2670" dataCellStyle="Обычный"/>
    <tableColumn id="4" xr3:uid="{7C0F1E66-DAF2-4139-87C6-00E2745E8F89}" name="Комментарий по выполненной задаче" dataDxfId="2669" dataCellStyle="Обычный 2"/>
    <tableColumn id="5" xr3:uid="{EF9C8B8F-E152-429F-BFF1-F1123A27C132}" name="Мотивация" dataDxfId="2668"/>
    <tableColumn id="6" xr3:uid="{BCD4C4FB-3C77-4522-BE6E-3814A07D0FA3}" name="Менеджер" dataDxfId="2667"/>
    <tableColumn id="7" xr3:uid="{D7051320-035A-4EC0-A3D3-9CC14FB9A64F}" name="К оплате" dataDxfId="2666">
      <calculatedColumnFormula>12000*0.7</calculatedColumnFormula>
    </tableColumn>
  </tableColumns>
  <tableStyleInfo name="TableStyleMedium2"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B11735B1-05F1-4F64-BE0A-D530927A48FE}" name="Таблица20324558728610011412113314515716918921375369851011171331491651812440567288104120136152550566582596610624640656672688705722223752678297112127142157" displayName="Таблица20324558728610011412113314515716918921375369851011171331491651812440567288104120136152550566582596610624640656672688705722223752678297112127142157" ref="A172:G174" totalsRowShown="0" headerRowDxfId="2665" dataDxfId="2664" tableBorderDxfId="2663">
  <autoFilter ref="A172:G174" xr:uid="{16803243-7F25-4AF5-AE4A-7C5E11F25A09}"/>
  <tableColumns count="7">
    <tableColumn id="1" xr3:uid="{17405386-D037-4C72-8C3E-A90BCB030F2D}" name="Цель" dataDxfId="2662"/>
    <tableColumn id="2" xr3:uid="{21598720-F707-4987-9CDA-17D0F9F67B03}" name="Необходимый результат" dataDxfId="2661"/>
    <tableColumn id="3" xr3:uid="{8B44D630-F9A0-4E3D-B68A-7A4D98B8A684}" name="Выполнено да/нет" dataDxfId="2660"/>
    <tableColumn id="4" xr3:uid="{07F1D8F9-42AC-4DEC-821B-7001249ED03E}" name="Комментарий по выполненной задаче" dataDxfId="2659"/>
    <tableColumn id="5" xr3:uid="{0A1FF179-732E-4DC8-90DC-A039CF2D50C3}" name="Мотивация" dataDxfId="2658"/>
    <tableColumn id="6" xr3:uid="{166BA318-DBF7-4BE6-B876-5E8180894B6D}" name="Менеджер" dataDxfId="2657"/>
    <tableColumn id="7" xr3:uid="{E981B810-29FE-4C74-976E-94501C437438}" name="К оплате" dataDxfId="2656"/>
  </tableColumns>
  <tableStyleInfo name="TableStyleMedium2"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24948A6B-6C0F-42DA-A64D-F021449FF76E}" name="Таблица16334659738710111512213414615817019022385470861021181341501661822541577389105121137153551567583597611625641657673689706723233853688398113128143158" displayName="Таблица16334659738710111512213414615817019022385470861021181341501661822541577389105121137153551567583597611625641657673689706723233853688398113128143158" ref="A52:F62" totalsRowShown="0" headerRowDxfId="2655" dataDxfId="2654" totalsRowDxfId="2652" tableBorderDxfId="2653" totalsRowBorderDxfId="2651">
  <autoFilter ref="A52:F62" xr:uid="{9246B9BD-73A5-4351-9AA2-07EE59ED4E9D}"/>
  <sortState xmlns:xlrd2="http://schemas.microsoft.com/office/spreadsheetml/2017/richdata2" ref="A53:F62">
    <sortCondition descending="1" ref="D52:D62"/>
  </sortState>
  <tableColumns count="6">
    <tableColumn id="1" xr3:uid="{23A69E56-F42A-4AD2-B1D2-137CC7E94336}" name="Клиент" dataDxfId="2650" totalsRowDxfId="2649"/>
    <tableColumn id="2" xr3:uid="{0F4FD46A-6499-45D7-9095-716FD256047F}" name="Оборот" dataDxfId="2648" totalsRowDxfId="2647"/>
    <tableColumn id="3" xr3:uid="{907E8277-FBA8-4737-9A9A-2E729280A871}" name="Профит " dataDxfId="2646" totalsRowDxfId="2645"/>
    <tableColumn id="4" xr3:uid="{F752AD5B-83F3-4694-8128-146991E6E6AB}" name="%" dataDxfId="2644" totalsRowDxfId="2643"/>
    <tableColumn id="5" xr3:uid="{98D3E65D-1453-4689-B9B2-48342BFEAF9E}" name="Менеджер" dataDxfId="2642" totalsRowDxfId="2641"/>
    <tableColumn id="6" xr3:uid="{7B52FEFC-E2EE-4D97-A5C9-E207D78EEBD9}" name="Комментарий" dataDxfId="2640" totalsRowDxfId="2639" dataCellStyle="Финансовый"/>
  </tableColumns>
  <tableStyleInfo name="TableStyleLight9"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1DFBB3B0-1679-4077-BE75-D9CA127CE430}" name="Таблица4211720344148556269768390978390111118125132139146153160167174181188195613202734414855626976839097104111118125132139146153160167175183198206214123135147159171191233955718710311913515116718326425874901061221381545525685845986126266426586746907077159" displayName="Таблица4211720344148556269768390978390111118125132139146153160167174181188195613202734414855626976839097104111118125132139146153160167175183198206214123135147159171191233955718710311913515116718326425874901061221381545525685845986126266426586746907077159" ref="A74:H89" totalsRowShown="0" headerRowDxfId="2638" dataDxfId="2637" dataCellStyle="Обычный 2">
  <autoFilter ref="A74:H89" xr:uid="{4ACBF2F4-2982-4E59-8F46-ECCA5C6BC7F5}"/>
  <sortState xmlns:xlrd2="http://schemas.microsoft.com/office/spreadsheetml/2017/richdata2" ref="A75:H89">
    <sortCondition descending="1" ref="G74:G89"/>
  </sortState>
  <tableColumns count="8">
    <tableColumn id="1" xr3:uid="{4FF52419-F082-494F-8F52-D895E53C7F76}" name="Номер" dataDxfId="2636" dataCellStyle="Обычный 2"/>
    <tableColumn id="3" xr3:uid="{5E30F854-4A81-42EA-A7BB-BAD54566C212}" name="Клиент" dataDxfId="2635" dataCellStyle="Обычный 2"/>
    <tableColumn id="4" xr3:uid="{2C918548-EFBA-4EC3-8098-53A75E3998B7}" name="Менеджер" dataDxfId="2634" dataCellStyle="Обычный 2"/>
    <tableColumn id="5" xr3:uid="{5607245C-D44C-4B64-B6D6-E0AB06C1FC60}" name="Проект" dataDxfId="2633" dataCellStyle="Обычный 2"/>
    <tableColumn id="6" xr3:uid="{0E756F4E-DE8A-4AFA-AC1F-70EF4AB764DB}" name="Краткое описание проекта" dataDxfId="2632" dataCellStyle="Обычный 2"/>
    <tableColumn id="7" xr3:uid="{34C278AC-3364-4E12-9AE1-29BD6BC8D4CC}" name="Дата завершения сделки" dataDxfId="2631" dataCellStyle="Обычный 2"/>
    <tableColumn id="8" xr3:uid="{27F98810-11A1-415E-8E6A-A0FE1AE91411}" name="Сумма, тыс. руб." dataDxfId="2630" dataCellStyle="Обычный"/>
    <tableColumn id="2" xr3:uid="{8D5BC19F-F098-4E9A-B783-98B3372D057F}" name="Статус" dataDxfId="2629"/>
  </tableColumns>
  <tableStyleInfo name="TableStyleMedium2"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B14D13E9-33D4-4D38-9854-3B9CB3ACEAB7}" name="Таблица9132738193340475461687582899682891101171241311381451521591661731801871945121926334047546168758289961031101171241311381451521591661741821902052131191251371491611731932541567288104120136152168184274359759110712313915555356958559961362764365967569160" displayName="Таблица9132738193340475461687582899682891101171241311381451521591661731801871945121926334047546168758289961031101171241311381451521591661741821902052131191251371491611731932541567288104120136152168184274359759110712313915555356958559961362764365967569160" ref="A68:H69" headerRowCount="0" totalsRowShown="0" headerRowDxfId="2628" dataDxfId="2627">
  <tableColumns count="8">
    <tableColumn id="1" xr3:uid="{878F2FA8-F06D-4941-937C-6C2C9CDA47B1}" name="Февраль 2015" headerRowDxfId="2626" dataDxfId="2625" dataCellStyle="Название"/>
    <tableColumn id="2" xr3:uid="{E8F1206F-0467-41A9-9C82-5D3ABEE323F9}" name="Столбец1" headerRowDxfId="2624" dataDxfId="2623"/>
    <tableColumn id="3" xr3:uid="{2A6EB2ED-11C3-4AAD-937D-B2984D6BA793}" name="Столбец2" headerRowDxfId="2622" dataDxfId="2621"/>
    <tableColumn id="4" xr3:uid="{A3983BE3-D5C6-49D7-B3F8-6D5C0A697A14}" name="Столбец3" headerRowDxfId="2620" dataDxfId="2619"/>
    <tableColumn id="5" xr3:uid="{F829A74E-9091-499B-8C12-F14D3B021B1C}" name="Столбец4" headerRowDxfId="2618" dataDxfId="2617"/>
    <tableColumn id="6" xr3:uid="{7D57EC36-9379-4C3A-949A-A7E50E8F6471}" name="Столбец5" headerRowDxfId="2616" dataDxfId="2615"/>
    <tableColumn id="7" xr3:uid="{13BC1AD4-8471-4F38-83D8-9FA41B65AB16}" name="Столбец6" headerRowDxfId="2614" dataDxfId="2613"/>
    <tableColumn id="8" xr3:uid="{BCADFF41-B29E-4392-B927-C1799BF8AECD}" name="Столбец7" headerRowDxfId="2612" dataDxfId="2611"/>
  </tableColumns>
  <tableStyleInfo name="TableStyleMedium2"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4E86294E-75A5-49DA-909B-C9A146E2CAEC}" name="Таблица125138150162174194264257738910512113715316918528446076921081241401565545705866006146286446606766927097262641567186101116131146161" displayName="Таблица125138150162174194264257738910512113715316918528446076921081241401565545705866006146286446606766927097262641567186101116131146161" ref="A93:H136" totalsRowShown="0" headerRowDxfId="2610" dataDxfId="2609">
  <autoFilter ref="A93:H136" xr:uid="{0F3DFAA2-5FF8-417D-8496-A5C766071E19}"/>
  <sortState xmlns:xlrd2="http://schemas.microsoft.com/office/spreadsheetml/2017/richdata2" ref="A94:H136">
    <sortCondition descending="1" ref="G93:G136"/>
  </sortState>
  <tableColumns count="8">
    <tableColumn id="1" xr3:uid="{98FBD8E2-C204-478D-B318-F7A68EABC1E4}" name="Номер" dataDxfId="2608"/>
    <tableColumn id="2" xr3:uid="{412D9110-A1F5-449B-9970-F6F002F2E736}" name="Клиент" dataDxfId="2607"/>
    <tableColumn id="3" xr3:uid="{F240308C-C386-48CC-BF75-54CA8C4F1CFD}" name="Менеджер" dataDxfId="2606" dataCellStyle="Обычный 2"/>
    <tableColumn id="4" xr3:uid="{525006DB-1095-42F3-9132-9EF245E4D90A}" name="Проект" dataDxfId="2605"/>
    <tableColumn id="5" xr3:uid="{956FC4E9-5ED3-4AC9-A0F7-9E6FA7105180}" name="Краткое описание проекта" dataDxfId="2604"/>
    <tableColumn id="6" xr3:uid="{27186385-E3AA-4055-BB08-631272D6B52A}" name="Дата завершения сделки" dataDxfId="2603"/>
    <tableColumn id="7" xr3:uid="{3CDB1053-5C05-4BDD-AEF9-D7B04C20D274}" name="Сумма" dataDxfId="2602"/>
    <tableColumn id="8" xr3:uid="{38D2E657-7212-43EB-8082-D952B892CBFA}" name="Статус" dataDxfId="2601"/>
  </tableColumns>
  <tableStyleInfo name="TableStyleMedium2"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57A51E59-5F21-4BE9-A009-7763ABD1E940}" name="Таблица175195274358749010612213815417018629456177931091251411575555715876016156296456616776937107272742577287102117132147162" displayName="Таблица175195274358749010612213815417018629456177931091251411575555715876016156296456616776937107272742577287102117132147162" ref="A11:E12" totalsRowShown="0" headerRowDxfId="2600" dataDxfId="2599" tableBorderDxfId="2598">
  <tableColumns count="5">
    <tableColumn id="1" xr3:uid="{7C33F322-C52D-4CC0-8E5D-7404B5354043}" name="Менеджер" dataDxfId="2597"/>
    <tableColumn id="2" xr3:uid="{33CD01D5-4BFD-4366-BD51-D03FE62ABCA4}" name="План с НАЧАЛА ФГ, руб." dataDxfId="2596">
      <calculatedColumnFormula>SUM(C22:C27)</calculatedColumnFormula>
    </tableColumn>
    <tableColumn id="3" xr3:uid="{229E216F-0DD7-4611-AD6A-3B5A78BE76ED}" name="Факт с НАЧАЛА ФГ, руб." dataDxfId="2595">
      <calculatedColumnFormula>B34</calculatedColumnFormula>
    </tableColumn>
    <tableColumn id="4" xr3:uid="{7DFC1AC6-B8AA-4D09-8B6B-6624BCB1A45C}" name="Отклонение, %" dataDxfId="2594">
      <calculatedColumnFormula>C12/B12-100%</calculatedColumnFormula>
    </tableColumn>
    <tableColumn id="5" xr3:uid="{686D2264-8FAF-46A9-A4CB-56B0F790EDC2}" name="Отклонение, РУБ" dataDxfId="2593">
      <calculatedColumnFormula>C12-B12</calculatedColumnFormula>
    </tableColumn>
  </tableColumns>
  <tableStyleInfo name="TableStyleMedium2"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397D26C2-C6FD-4151-A986-6C77B27CF3DF}" name="Таблица294459759110712313915517118730466278941101261421585565725886026166306466626786947117282843587388103118133148163" displayName="Таблица294459759110712313915517118730466278941101261421585565725886026166306466626786947117282843587388103118133148163" ref="A39:E40" totalsRowShown="0" headerRowDxfId="2592" dataDxfId="2591">
  <autoFilter ref="A39:E40" xr:uid="{A123EA08-D8D4-4987-8146-FF08418E565C}"/>
  <tableColumns count="5">
    <tableColumn id="2" xr3:uid="{4E21741F-7DC1-4D9D-8D91-8319F52791A4}" name="Факт" dataDxfId="2590">
      <calculatedColumnFormula>B27</calculatedColumnFormula>
    </tableColumn>
    <tableColumn id="9" xr3:uid="{48DD45C0-F173-4CA9-92FC-0D17827882E4}" name="Оклад" dataDxfId="2589" dataCellStyle="Процентный">
      <calculatedColumnFormula>50000</calculatedColumnFormula>
    </tableColumn>
    <tableColumn id="4" xr3:uid="{5DEDCB0B-EC14-469D-99AF-184FC102C78B}" name="Премия" dataDxfId="2588">
      <calculatedColumnFormula>A40*0.065*1</calculatedColumnFormula>
    </tableColumn>
    <tableColumn id="7" xr3:uid="{E0C01080-55CA-42CE-925B-C37E5B71FB83}" name="Доплата за Задачи" dataDxfId="2587">
      <calculatedColumnFormula>SUM(G164:G168)</calculatedColumnFormula>
    </tableColumn>
    <tableColumn id="6" xr3:uid="{1F1AA0B0-D43D-454F-813B-49F1985966AE}" name="Штрафы" dataDxfId="2586"/>
  </tableColumns>
  <tableStyleInfo name="TableStyleMedium2"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955D37A5-EEEF-47A6-A910-981862D21641}" name="Таблица9132738193340475461687582899682891101171241311381451521591661731801871945121926334047546168758289961031101171241311381451521591661741821902052131241361481601721922440627894110126142158174190334965819711312914516155957559160361763164766367969571164" displayName="Таблица9132738193340475461687582899682891101171241311381451521591661731801871945121926334047546168758289961031101171241311381451521591661741821902052131241361481601721922440627894110126142158174190334965819711312914516155957559160361763164766367969571164" ref="A65:H67" headerRowCount="0" totalsRowShown="0" headerRowDxfId="2585" dataDxfId="2584">
  <tableColumns count="8">
    <tableColumn id="1" xr3:uid="{53C5E01F-6BC3-4FBB-BE7A-9E3F93E076DC}" name="Февраль 2015" headerRowDxfId="2583" dataDxfId="2582" dataCellStyle="Название"/>
    <tableColumn id="2" xr3:uid="{51A88E5C-BE61-4568-806C-FFED75D2200D}" name="Столбец1" headerRowDxfId="2581" dataDxfId="2580"/>
    <tableColumn id="3" xr3:uid="{9815A2AA-99A5-4EB9-8C78-AA895FCB1DBB}" name="Столбец2" headerRowDxfId="2579" dataDxfId="2578"/>
    <tableColumn id="4" xr3:uid="{420A7E30-D75F-4EEB-A6A1-686AC7F3DA97}" name="Столбец3" headerRowDxfId="2577" dataDxfId="2576"/>
    <tableColumn id="5" xr3:uid="{9DA2CFCC-AD40-4CC9-8B1C-7B509A8502DF}" name="Столбец4" headerRowDxfId="2575" dataDxfId="2574"/>
    <tableColumn id="6" xr3:uid="{07C7F4EF-5C1D-4070-885E-CAF6A1DA114A}" name="Столбец5" headerRowDxfId="2573" dataDxfId="2572"/>
    <tableColumn id="7" xr3:uid="{A57C8788-8951-4A82-8173-A52478E1FEC8}" name="Столбец6" headerRowDxfId="2571" dataDxfId="2570"/>
    <tableColumn id="8" xr3:uid="{C6B4CD29-13F3-4AB7-AE32-CEC0D5EB9B5F}" name="Столбец7" headerRowDxfId="2569" dataDxfId="2568"/>
  </tableColumns>
  <tableStyleInfo name="TableStyleMedium2"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AD45949E-25DC-48F3-9CCB-A2D7224D9B2D}" name="Таблица1529425569839711111613014215416618618345066829811413014616217821375369851011171331495605765926046186326486646806967137303045607590105120135150165" displayName="Таблица1529425569839711111613014215416618618345066829811413014616217821375369851011171331495605765926046186326486646806967137303045607590105120135150165" ref="A141:G142" totalsRowShown="0" headerRowDxfId="2567" dataDxfId="2566" tableBorderDxfId="2565">
  <autoFilter ref="A141:G142" xr:uid="{BD66A881-30D1-4979-8390-5888D14E5877}"/>
  <tableColumns count="7">
    <tableColumn id="1" xr3:uid="{6B23BFB8-B52A-42D7-AA05-8B3C83A8C836}" name="Дата" dataDxfId="2564"/>
    <tableColumn id="2" xr3:uid="{91EEB584-E8F8-45D4-A05A-358D0EA8325A}" name="Клиент" dataDxfId="2563"/>
    <tableColumn id="3" xr3:uid="{325EDAEC-3DE3-4100-A6A4-9BA74E3C0F6F}" name="Менеджер" dataDxfId="2562" dataCellStyle="Обычный 2"/>
    <tableColumn id="4" xr3:uid="{E7435583-2FB9-45DE-890B-610B0FBCE507}" name="Контакт в 1С" dataDxfId="2561"/>
    <tableColumn id="5" xr3:uid="{5F79EB7A-9618-457C-8C14-8C3457E322DB}" name="№ сделки" dataDxfId="2560"/>
    <tableColumn id="6" xr3:uid="{77712AA7-2CC7-4C49-A7C2-C8AB24B622D4}" name="Цель" dataDxfId="2559"/>
    <tableColumn id="7" xr3:uid="{0E05464E-9C68-4C6A-A39B-CAE1B56E6DCA}" name="Результат" dataDxfId="2558"/>
  </tableColumns>
  <tableStyleInfo name="TableStyleMedium2"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4E0B061F-5F05-4622-A97C-9D60A388B891}" name="Таблица4936997167333146617691106121136151166" displayName="Таблица4936997167333146617691106121136151166" ref="A21:D33" totalsRowShown="0" headerRowDxfId="2557" dataDxfId="2555" headerRowBorderDxfId="2556" tableBorderDxfId="2554" totalsRowBorderDxfId="2553">
  <autoFilter ref="A21:D33" xr:uid="{8999CE3E-52FF-4AF3-AA18-1DA9A764C519}"/>
  <tableColumns count="4">
    <tableColumn id="1" xr3:uid="{C13C46B0-52A0-4037-9B4B-C36448052331}" name="Месяц" dataDxfId="2552"/>
    <tableColumn id="2" xr3:uid="{A020D2C4-B9BB-4081-A1FE-94CB31C53CFE}" name="Профит" dataDxfId="2551"/>
    <tableColumn id="3" xr3:uid="{B4C587C8-F613-4031-9FB4-51ECE54AC137}" name="План" dataDxfId="2550"/>
    <tableColumn id="4" xr3:uid="{E3044D5D-FBF3-41E9-8FC6-1330CFB38C04}" name="Выполнение" dataDxfId="2549">
      <calculatedColumnFormula>Таблица4936997167333146617691106121136151166[[#This Row],[Профит]]/Таблица4936997167333146617691106121136151166[[#This Row],[План]]</calculatedColumnFormula>
    </tableColumn>
  </tableColumns>
  <tableStyleInfo name="TableStyleMedium2"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21E2409C-7915-4780-8DFD-9026ABCA3935}" name="Таблица11029163037445158657223303744515865727986931009223548627690104107127139151163183152947637995111127143159175183450668298114130146545561577589605619635651667683700717163247627792107122137152182167" displayName="Таблица11029163037445158657223303744515865727986931009223548627690104107127139151163183152947637995111127143159175183450668298114130146545561577589605619635651667683700717163247627792107122137152182167" ref="A6:F7" totalsRowShown="0" headerRowDxfId="2548" dataDxfId="2547">
  <tableColumns count="6">
    <tableColumn id="1" xr3:uid="{2C4E8CB1-C3BE-4674-A824-8E16C161F5B4}" name="Менеджер" dataDxfId="2546"/>
    <tableColumn id="2" xr3:uid="{03B3BCB0-124A-4AA3-B426-FA03028C8FFA}" name="План, руб." dataDxfId="2545">
      <calculatedColumnFormula>C28</calculatedColumnFormula>
    </tableColumn>
    <tableColumn id="3" xr3:uid="{DED1A6B4-CD4C-4CA5-820B-66ED4868CDC5}" name="Факт, руб." dataDxfId="2544">
      <calculatedColumnFormula>B28</calculatedColumnFormula>
    </tableColumn>
    <tableColumn id="4" xr3:uid="{D4404B0D-0CFB-4BA4-B3B7-448F16E90782}" name="Отклонение, %" dataDxfId="2543" dataCellStyle="Процентный">
      <calculatedColumnFormula>Таблица11029163037445158657223303744515865727986931009223548627690104107127139151163183152947637995111127143159175183450668298114130146545561577589605619635651667683700717163247627792107122137152182167[Факт, руб.]/Таблица11029163037445158657223303744515865727986931009223548627690104107127139151163183152947637995111127143159175183450668298114130146545561577589605619635651667683700717163247627792107122137152182167[План, руб.]-100%</calculatedColumnFormula>
    </tableColumn>
    <tableColumn id="7" xr3:uid="{5F1FB178-9B99-4484-B59E-244EC5BF4DDB}" name="Отклонение, РУБ" dataDxfId="2542" dataCellStyle="Процентный">
      <calculatedColumnFormula>Таблица11029163037445158657223303744515865727986931009223548627690104107127139151163183152947637995111127143159175183450668298114130146545561577589605619635651667683700717163247627792107122137152182167[Факт, руб.]-Таблица11029163037445158657223303744515865727986931009223548627690104107127139151163183152947637995111127143159175183450668298114130146545561577589605619635651667683700717163247627792107122137152182167[План, руб.]</calculatedColumnFormula>
    </tableColumn>
    <tableColumn id="5" xr3:uid="{4F32D510-659F-4405-B220-CF7D6FF6DD5C}" name="Предыд месяц" dataDxfId="2541" dataCellStyle="Процентный">
      <calculatedColumnFormula>B27</calculatedColumnFormula>
    </tableColumn>
  </tableColumns>
  <tableStyleInfo name="TableStyleMedium2"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B4187F43-1199-466A-AA73-B8AAFA7C152B}" name="Таблица211301731384552596673243138455259667380879410110233649637791105109128140152164184163248648096112128144160176193551678399115131147546562578590606620636652668684701718173348637893108123138153183168" displayName="Таблица211301731384552596673243138455259667380879410110233649637791105109128140152164184163248648096112128144160176193551678399115131147546562578590606620636652668684701718173348637893108123138153183168" ref="A16:E17" totalsRowShown="0" headerRowDxfId="2540" dataDxfId="2539">
  <tableColumns count="5">
    <tableColumn id="1" xr3:uid="{849E9138-30D3-411A-BA9A-BE69684C72C8}" name="Менеджер" dataDxfId="2538"/>
    <tableColumn id="2" xr3:uid="{9D7C7AD6-C12A-4D14-A0E4-35AD0C0CE098}" name="Профит ФГ 23-24" dataDxfId="2537"/>
    <tableColumn id="3" xr3:uid="{64009DB7-E086-4CF8-86EC-8BAF60A4EF22}" name="Профит ФГ 24-25" dataDxfId="2536"/>
    <tableColumn id="4" xr3:uid="{FB5F8A0F-52A6-472D-BBDB-D9110DE253A8}" name="Профит ФГ 25-26" dataDxfId="2535" dataCellStyle="Процентный">
      <calculatedColumnFormula>B34</calculatedColumnFormula>
    </tableColumn>
    <tableColumn id="5" xr3:uid="{4B1CB82E-565F-4BCA-8F5A-C071431B0247}" name="Рост накопительно, % " dataDxfId="2534">
      <calculatedColumnFormula>Таблица211301731384552596673243138455259667380879410110233649637791105109128140152164184163248648096112128144160176193551678399115131147546562578590606620636652668684701718173348637893108123138153183168[Профит ФГ 25-26]/Таблица211301731384552596673243138455259667380879410110233649637791105109128140152164184163248648096112128144160176193551678399115131147546562578590606620636652668684701718173348637893108123138153183168[Профит ФГ 24-25]</calculatedColumnFormula>
    </tableColumn>
  </tableColumns>
  <tableStyleInfo name="TableStyleMedium2"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64E98B6B-2299-4060-876F-CF5DF05F75AD}" name="Таблица546243318323946536067742532394653606774818895102112437506478921061101291411531651851733496581971131291451611772036526884100116132148547563579593607621637653669685702719193449647994109124139154184169" displayName="Таблица546243318323946536067742532394653606774818895102112437506478921061101291411531651851733496581971131291451611772036526884100116132148547563579593607621637653669685702719193449647994109124139154184169" ref="A45:D46" totalsRowShown="0" headerRowDxfId="2533" dataDxfId="2532">
  <autoFilter ref="A45:D46" xr:uid="{3EADDA2E-FD58-4130-8A1C-8C20137591BB}"/>
  <tableColumns count="4">
    <tableColumn id="2" xr3:uid="{BC208F99-BC68-4783-A3D7-0CA655863FF5}" name="Холдинг" dataDxfId="2531"/>
    <tableColumn id="3" xr3:uid="{5B11D4EE-6D79-4508-B72F-4E60AD324F77}" name="Сумма просроченного долга" dataDxfId="2530" dataCellStyle="Денежный"/>
    <tableColumn id="4" xr3:uid="{DF99652C-96B0-45E0-854D-0C0D5B16189C}" name="Общая сумма долга" dataDxfId="2529" dataCellStyle="Денежный"/>
    <tableColumn id="5" xr3:uid="{1D46FEC9-0A8E-4468-9D29-FCE7CEDF3172}" name="% просрочки" dataDxfId="2528" dataCellStyle="Процентный">
      <calculatedColumnFormula>Таблица546243318323946536067742532394653606774818895102112437506478921061101291411531651851733496581971131291451611772036526884100116132148547563579593607621637653669685702719193449647994109124139154184169[[#This Row],[Сумма просроченного долга]]/Таблица546243318323946536067742532394653606774818895102112437506478921061101291411531651851733496581971131291451611772036526884100116132148547563579593607621637653669685702719193449647994109124139154184169[[#This Row],[Общая сумма долга]]</calculatedColumnFormula>
    </tableColumn>
  </tableColumns>
  <tableStyleInfo name="TableStyleMedium2"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C89CA2B6-1D1F-41D9-94B5-826D79CA83D1}" name="Таблица173043567084981121171311431551671871935516783991151311471631792238547086102118134150548564580594608622638654670686703720203550658095110125140155185170" displayName="Таблица173043567084981121171311431551671871935516783991151311471631792238547086102118134150548564580594608622638654670686703720203550658095110125140155185170" ref="A109:G124" totalsRowShown="0" headerRowDxfId="2527" dataDxfId="2526" tableBorderDxfId="2525">
  <autoFilter ref="A109:G124" xr:uid="{5F2E2A5D-7666-4FD4-A50A-70ADD98392B4}"/>
  <sortState xmlns:xlrd2="http://schemas.microsoft.com/office/spreadsheetml/2017/richdata2" ref="A110:G124">
    <sortCondition ref="D109:D124"/>
  </sortState>
  <tableColumns count="7">
    <tableColumn id="1" xr3:uid="{CE0FAEA1-EC76-4101-9568-EE58B836DBC4}" name="Дата" dataDxfId="2524"/>
    <tableColumn id="2" xr3:uid="{95AF2023-E7CB-46A6-A8AA-2B7F1478D3CF}" name="Клиент" dataDxfId="2523"/>
    <tableColumn id="3" xr3:uid="{813885C1-0B05-4852-8F43-8F9191DD352F}" name="Менеджер" dataDxfId="2522" dataCellStyle="Обычный 2"/>
    <tableColumn id="4" xr3:uid="{1D98C4C2-CA60-4909-BA41-FD789620315D}" name="Контакт в 1С" dataDxfId="2521"/>
    <tableColumn id="5" xr3:uid="{C25758BE-8EB8-40BC-A598-A03D62364A60}" name="№ сделки" dataDxfId="2520"/>
    <tableColumn id="6" xr3:uid="{9818BC77-A00A-4CFC-B4FB-F11F34B6F56E}" name="Цель" dataDxfId="2519"/>
    <tableColumn id="7" xr3:uid="{C9549CAE-0DA0-41E6-95F9-D230C5ED8587}" name="Результат" dataDxfId="2518"/>
  </tableColumns>
  <tableStyleInfo name="TableStyleMedium2" showFirstColumn="0" showLastColumn="0" showRowStripes="1"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F0356F46-9C03-492B-84E1-10B6E6E91543}" name="Таблица1931445771859911312013214415616818820365268841001161321481641802339557187103119135151549565581595609623639655671687704721213651668196111126141156186171" displayName="Таблица1931445771859911312013214415616818820365268841001161321481641802339557187103119135151549565581595609623639655671687704721213651668196111126141156186171" ref="A129:G132" totalsRowShown="0" headerRowDxfId="2517" dataDxfId="2516" tableBorderDxfId="2515">
  <autoFilter ref="A129:G132" xr:uid="{CC17A23E-B8E4-4CBF-BC3B-16FF0249D515}"/>
  <tableColumns count="7">
    <tableColumn id="1" xr3:uid="{921DD78F-1D5F-43D0-B1FE-87EF048A5CC6}" name="Цель" dataDxfId="2514" dataCellStyle="Обычный 2"/>
    <tableColumn id="2" xr3:uid="{F6557F05-4CA9-4D42-BD08-5156EE9DC655}" name="Необходимый результат" dataDxfId="2513" dataCellStyle="Обычный 2"/>
    <tableColumn id="3" xr3:uid="{158C3E91-FCA9-4E51-AC61-ECFCB7BF8FB1}" name="Выполнено да/нет" dataDxfId="2512" dataCellStyle="Обычный"/>
    <tableColumn id="4" xr3:uid="{B8612D58-A9E4-4E23-9893-070648C6B64E}" name="Комментарий по выполненной задаче" dataDxfId="2511" dataCellStyle="Обычный 2"/>
    <tableColumn id="5" xr3:uid="{B7EFD7A2-9CAF-435E-8CAD-048824062BA8}" name="Мотивация" dataDxfId="2510"/>
    <tableColumn id="6" xr3:uid="{0AD2A335-850D-4519-87F4-964ACA483FE3}" name="Менеджер" dataDxfId="2509"/>
    <tableColumn id="7" xr3:uid="{127BEF94-AA15-417D-89DA-841F097DD47E}" name="К оплате" dataDxfId="2508">
      <calculatedColumnFormula>12000*0.7</calculatedColumnFormula>
    </tableColumn>
  </tableColumns>
  <tableStyleInfo name="TableStyleMedium2" showFirstColumn="0" showLastColumn="0" showRowStripes="1"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DF233908-C452-4A76-BFD8-A701BF3F07B7}" name="Таблица20324558728610011412113314515716918921375369851011171331491651812440567288104120136152550566582596610624640656672688705722223752678297112127142157187172" displayName="Таблица20324558728610011412113314515716918921375369851011171331491651812440567288104120136152550566582596610624640656672688705722223752678297112127142157187172" ref="A136:G140" totalsRowShown="0" headerRowDxfId="2507" dataDxfId="2506" tableBorderDxfId="2505">
  <autoFilter ref="A136:G140" xr:uid="{16803243-7F25-4AF5-AE4A-7C5E11F25A09}"/>
  <tableColumns count="7">
    <tableColumn id="1" xr3:uid="{50020253-04A2-4637-B2B6-525DABAE74D7}" name="Цель" dataDxfId="2504"/>
    <tableColumn id="2" xr3:uid="{13C0DA50-3EF4-4F92-AC1A-933EDE1F9FF3}" name="Необходимый результат" dataDxfId="2503"/>
    <tableColumn id="3" xr3:uid="{E2548177-C6FE-4E34-B336-AB7AF0A57344}" name="Выполнено да/нет" dataDxfId="2502"/>
    <tableColumn id="4" xr3:uid="{EC53C029-4BF1-47A4-A880-103AF6863684}" name="Комментарий по выполненной задаче" dataDxfId="2501"/>
    <tableColumn id="5" xr3:uid="{18DDBF65-D8AD-45EE-8EFF-1F009624F4EC}" name="Мотивация" dataDxfId="2500"/>
    <tableColumn id="6" xr3:uid="{BA850C88-5D79-4697-B0A2-E5D3D0F49309}" name="Менеджер" dataDxfId="2499"/>
    <tableColumn id="7" xr3:uid="{FE46C8D8-DD2B-42A1-98C4-148229C60E23}" name="К оплате" dataDxfId="2498"/>
  </tableColumns>
  <tableStyleInfo name="TableStyleMedium2" showFirstColumn="0" showLastColumn="0" showRowStripes="1" showColumnStripes="0"/>
</table>
</file>

<file path=xl/tables/table1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56EC1FEA-7D46-4C6E-AF50-C7D060C0B5C9}" name="Таблица16334659738710111512213414615817019022385470861021181341501661822541577389105121137153551567583597611625641657673689706723233853688398113128143158188173" displayName="Таблица16334659738710111512213414615817019022385470861021181341501661822541577389105121137153551567583597611625641657673689706723233853688398113128143158188173" ref="A52:F65" totalsRowShown="0" headerRowDxfId="2497" dataDxfId="2496" totalsRowDxfId="2494" tableBorderDxfId="2495" totalsRowBorderDxfId="2493">
  <autoFilter ref="A52:F65" xr:uid="{9246B9BD-73A5-4351-9AA2-07EE59ED4E9D}"/>
  <sortState xmlns:xlrd2="http://schemas.microsoft.com/office/spreadsheetml/2017/richdata2" ref="A53:F65">
    <sortCondition descending="1" ref="D52:D65"/>
  </sortState>
  <tableColumns count="6">
    <tableColumn id="1" xr3:uid="{3CD064CB-78AA-419A-8FA2-9A796415A5AF}" name="Клиент" dataDxfId="2492" totalsRowDxfId="2491"/>
    <tableColumn id="2" xr3:uid="{B42190C8-9B81-4D98-B2FB-163B0BFA5B01}" name="Оборот" dataDxfId="2490" totalsRowDxfId="2489"/>
    <tableColumn id="3" xr3:uid="{46EC4546-06CE-4432-99F9-1EFADFC828E6}" name="Профит " dataDxfId="2488" totalsRowDxfId="2487"/>
    <tableColumn id="4" xr3:uid="{8CA4862D-49A9-4C71-B884-89A615EF5935}" name="%" dataDxfId="2486" totalsRowDxfId="2485"/>
    <tableColumn id="5" xr3:uid="{FE9BCE60-E449-48C9-B877-BA1C69E0826B}" name="Менеджер" dataDxfId="2484" totalsRowDxfId="2483"/>
    <tableColumn id="6" xr3:uid="{8A068946-4BE8-4AF7-BA6F-241BF49CF5D2}" name="Комментарий" dataDxfId="2482" totalsRowDxfId="2481" dataCellStyle="Финансовый"/>
  </tableColumns>
  <tableStyleInfo name="TableStyleMedium2" showFirstColumn="0" showLastColumn="0" showRowStripes="1" showColumnStripes="0"/>
</table>
</file>

<file path=xl/tables/table1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B2D2FBBB-DA65-4E5B-BDBB-A221C77206AC}" name="Таблица4211720344148556269768390978390111118125132139146153160167174181188195613202734414855626976839097104111118125132139146153160167175183198206214123135147159171191233955718710311913515116718326425874901061221381545525685845986126266426586746907077174" displayName="Таблица4211720344148556269768390978390111118125132139146153160167174181188195613202734414855626976839097104111118125132139146153160167175183198206214123135147159171191233955718710311913515116718326425874901061221381545525685845986126266426586746907077174" ref="A77:H87" totalsRowShown="0" headerRowDxfId="2480" dataDxfId="2479" dataCellStyle="Обычный 2">
  <autoFilter ref="A77:H87" xr:uid="{4ACBF2F4-2982-4E59-8F46-ECCA5C6BC7F5}"/>
  <sortState xmlns:xlrd2="http://schemas.microsoft.com/office/spreadsheetml/2017/richdata2" ref="A78:H87">
    <sortCondition descending="1" ref="G77:G87"/>
  </sortState>
  <tableColumns count="8">
    <tableColumn id="1" xr3:uid="{BF064223-1CBA-4536-A6D2-E8529E9E354D}" name="Номер" dataDxfId="2478" dataCellStyle="Обычный 2"/>
    <tableColumn id="3" xr3:uid="{24F23FF1-CEB0-46CF-948C-0B1E92A31F51}" name="Клиент" dataDxfId="2477" dataCellStyle="Обычный 2"/>
    <tableColumn id="4" xr3:uid="{D7828709-8C8F-459D-A467-DE939CD5AC41}" name="Менеджер" dataDxfId="2476" dataCellStyle="Обычный 2"/>
    <tableColumn id="5" xr3:uid="{851755C8-B2B0-49AC-A691-B60A3C09EE13}" name="Проект" dataDxfId="2475" dataCellStyle="Обычный 2"/>
    <tableColumn id="6" xr3:uid="{BEFF8648-3C43-4951-B0D2-DC28D6BC8414}" name="Краткое описание проекта" dataDxfId="2474" dataCellStyle="Обычный 2"/>
    <tableColumn id="7" xr3:uid="{2EBFDDCC-BFF8-45F4-B5B1-EDFABEA32BF2}" name="Дата завершения сделки" dataDxfId="2473" dataCellStyle="Обычный 2"/>
    <tableColumn id="8" xr3:uid="{567838A5-56E1-4796-AF84-2C20C3B6AEBC}" name="Сумма, тыс. руб." dataDxfId="2472" dataCellStyle="Обычный"/>
    <tableColumn id="2" xr3:uid="{D4E57FC3-DECA-4F2F-9516-F086057905DF}" name="Статус" dataDxfId="2471"/>
  </tableColumns>
  <tableStyleInfo name="TableStyleMedium2" showFirstColumn="0" showLastColumn="0" showRowStripes="1" showColumnStripes="0"/>
</table>
</file>

<file path=xl/tables/table1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07526EE2-A95D-403C-A858-E711D345B295}" name="Таблица9132738193340475461687582899682891101171241311381451521591661731801871945121926334047546168758289961031101171241311381451521591661741821902052131191251371491611731932541567288104120136152168184274359759110712313915555356958559961362764365967569175" displayName="Таблица9132738193340475461687582899682891101171241311381451521591661731801871945121926334047546168758289961031101171241311381451521591661741821902052131191251371491611731932541567288104120136152168184274359759110712313915555356958559961362764365967569175" ref="A71:H72" headerRowCount="0" totalsRowShown="0" headerRowDxfId="2470" dataDxfId="2469">
  <tableColumns count="8">
    <tableColumn id="1" xr3:uid="{F5AABD6F-29BC-4E1E-989C-B9CB3AA4B157}" name="Февраль 2015" headerRowDxfId="2468" dataDxfId="2467" dataCellStyle="Название"/>
    <tableColumn id="2" xr3:uid="{49B90BB7-2F59-49C3-91D6-9B5149373B5B}" name="Столбец1" headerRowDxfId="2466" dataDxfId="2465"/>
    <tableColumn id="3" xr3:uid="{FB6EB047-1741-4B37-8CCC-26D39349363E}" name="Столбец2" headerRowDxfId="2464" dataDxfId="2463"/>
    <tableColumn id="4" xr3:uid="{DC603164-A9A7-4D39-B78E-9BD3C4D911A0}" name="Столбец3" headerRowDxfId="2462" dataDxfId="2461"/>
    <tableColumn id="5" xr3:uid="{4158EBE2-4808-4FAD-BBF0-DB71E053BBBD}" name="Столбец4" headerRowDxfId="2460" dataDxfId="2459"/>
    <tableColumn id="6" xr3:uid="{9C2696A5-8A8B-4957-822E-613610731AE5}" name="Столбец5" headerRowDxfId="2458" dataDxfId="2457"/>
    <tableColumn id="7" xr3:uid="{D90BB58D-8EE0-4739-A77F-37F8922E0A95}" name="Столбец6" headerRowDxfId="2456" dataDxfId="2455"/>
    <tableColumn id="8" xr3:uid="{BDD64A46-EB9D-4CB7-86A4-526B01C2FC57}" name="Столбец7" headerRowDxfId="2454" dataDxfId="2453"/>
  </tableColumns>
  <tableStyleInfo name="TableStyleMedium2" showFirstColumn="0" showLastColumn="0" showRowStripes="1" showColumnStripes="0"/>
</table>
</file>

<file path=xl/tables/table1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43EA4943-1A5E-4D2A-A31B-25E5CC632900}" name="Таблица125138150162174194264257738910512113715316918528446076921081241401565545705866006146286446606766927097262641567186101116131146161191176" displayName="Таблица125138150162174194264257738910512113715316918528446076921081241401565545705866006146286446606766927097262641567186101116131146161191176" ref="A91:H98" totalsRowShown="0" headerRowDxfId="2452" dataDxfId="2451">
  <autoFilter ref="A91:H98" xr:uid="{0F3DFAA2-5FF8-417D-8496-A5C766071E19}"/>
  <sortState xmlns:xlrd2="http://schemas.microsoft.com/office/spreadsheetml/2017/richdata2" ref="A92:H98">
    <sortCondition descending="1" ref="G91:G98"/>
  </sortState>
  <tableColumns count="8">
    <tableColumn id="1" xr3:uid="{5018B2EF-F8ED-4B9E-8091-7C233A4329F8}" name="Номер" dataDxfId="2450"/>
    <tableColumn id="2" xr3:uid="{BE4E75E3-495F-46D4-9994-A4A652E3652B}" name="Клиент" dataDxfId="2449"/>
    <tableColumn id="3" xr3:uid="{BCA53D2E-3F24-4606-A4C0-CE7550C4640E}" name="Менеджер" dataDxfId="2448" dataCellStyle="Обычный 2"/>
    <tableColumn id="4" xr3:uid="{82243E3D-6664-4A76-9E71-65D54ACD44AC}" name="Проект" dataDxfId="2447"/>
    <tableColumn id="5" xr3:uid="{642B472D-8B98-4193-93C7-FA2973CD3DA1}" name="Краткое описание проекта" dataDxfId="2446"/>
    <tableColumn id="6" xr3:uid="{92F7D51F-97AA-4235-8673-4BB44D71F96A}" name="Дата завершения сделки" dataDxfId="2445"/>
    <tableColumn id="7" xr3:uid="{1FF96249-4815-4CD6-B7F2-8DAD804912DA}" name="Сумма" dataDxfId="2444"/>
    <tableColumn id="8" xr3:uid="{13B6F990-AE87-4896-A3F9-3529B42E9F4F}" name="Статус" dataDxfId="2443"/>
  </tableColumns>
  <tableStyleInfo name="TableStyleMedium2" showFirstColumn="0" showLastColumn="0" showRowStripes="1" showColumnStripes="0"/>
</table>
</file>

<file path=xl/tables/table1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9BCB9E6F-1362-4514-9223-18E3A04CB1D0}" name="Таблица175195274358749010612213815417018629456177931091251411575555715876016156296456616776937107272742577287102117132147162192177" displayName="Таблица175195274358749010612213815417018629456177931091251411575555715876016156296456616776937107272742577287102117132147162192177" ref="A11:E12" totalsRowShown="0" headerRowDxfId="2442" dataDxfId="2441" tableBorderDxfId="2440">
  <tableColumns count="5">
    <tableColumn id="1" xr3:uid="{2FBA7911-A0BD-4393-AF9A-677BF753B9BD}" name="Менеджер" dataDxfId="2439"/>
    <tableColumn id="2" xr3:uid="{FE68FDD1-F5BF-4CD7-B14F-44DE336F3409}" name="План с НАЧАЛА ФГ, руб." dataDxfId="2438">
      <calculatedColumnFormula>SUM(C22:C28)</calculatedColumnFormula>
    </tableColumn>
    <tableColumn id="3" xr3:uid="{0C70E6D3-4853-4BA9-938D-CDDD6C36442D}" name="Факт с НАЧАЛА ФГ, руб." dataDxfId="2437">
      <calculatedColumnFormula>B34</calculatedColumnFormula>
    </tableColumn>
    <tableColumn id="4" xr3:uid="{07FEF6B7-1250-4BA4-9157-2D6983B22BCF}" name="Отклонение, %" dataDxfId="2436">
      <calculatedColumnFormula>C12/B12-100%</calculatedColumnFormula>
    </tableColumn>
    <tableColumn id="5" xr3:uid="{B69C187B-447D-4C83-A0C4-B27676C426BA}" name="Отклонение, РУБ" dataDxfId="2435">
      <calculatedColumnFormula>C12-B12</calculatedColumnFormula>
    </tableColumn>
  </tableColumns>
  <tableStyleInfo name="TableStyleMedium2" showFirstColumn="0" showLastColumn="0" showRowStripes="1" showColumnStripes="0"/>
</table>
</file>

<file path=xl/tables/table1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7C548E27-8B6F-4AD4-9067-9515B27691AD}" name="Таблица294459759110712313915517118730466278941101261421585565725886026166306466626786947117282843587388103118133148163193178" displayName="Таблица294459759110712313915517118730466278941101261421585565725886026166306466626786947117282843587388103118133148163193178" ref="A39:E40" totalsRowShown="0" headerRowDxfId="2434" dataDxfId="2433">
  <autoFilter ref="A39:E40" xr:uid="{A123EA08-D8D4-4987-8146-FF08418E565C}"/>
  <tableColumns count="5">
    <tableColumn id="2" xr3:uid="{4BA344B4-C415-4103-90AC-56647C871EB3}" name="Факт" dataDxfId="2432">
      <calculatedColumnFormula>B28</calculatedColumnFormula>
    </tableColumn>
    <tableColumn id="9" xr3:uid="{35AFE71C-514C-44CA-B170-4C1E0CC0AD72}" name="Оклад" dataDxfId="2431" dataCellStyle="Процентный">
      <calculatedColumnFormula>50000</calculatedColumnFormula>
    </tableColumn>
    <tableColumn id="4" xr3:uid="{A68DDCA4-7EE1-4171-84B0-C2272D25B905}" name="Премия" dataDxfId="2430">
      <calculatedColumnFormula>A40*0.065*1</calculatedColumnFormula>
    </tableColumn>
    <tableColumn id="7" xr3:uid="{9B43AF29-8464-43B0-AAB5-DF879E408EBC}" name="Доплата за Задачи" dataDxfId="2429">
      <calculatedColumnFormula>SUM(G130:G132)</calculatedColumnFormula>
    </tableColumn>
    <tableColumn id="6" xr3:uid="{72A45726-43DE-4DA2-B7D3-CB3013D1E621}" name="Штрафы" dataDxfId="2428"/>
  </tableColumns>
  <tableStyleInfo name="TableStyleMedium2" showFirstColumn="0" showLastColumn="0" showRowStripes="1" showColumnStripes="0"/>
</table>
</file>

<file path=xl/tables/table1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C4E469F9-CB36-45E6-BBCE-F5E97E209B16}" name="Таблица9132738193340475461687582899682891101171241311381451521591661731801871945121926334047546168758289961031101171241311381451521591661741821902052131241361481601721922440627894110126142158174190334965819711312914516155957559160361763164766367969571179" displayName="Таблица9132738193340475461687582899682891101171241311381451521591661731801871945121926334047546168758289961031101171241311381451521591661741821902052131241361481601721922440627894110126142158174190334965819711312914516155957559160361763164766367969571179" ref="A68:H70" headerRowCount="0" totalsRowShown="0" headerRowDxfId="2427" dataDxfId="2426">
  <tableColumns count="8">
    <tableColumn id="1" xr3:uid="{7FE4B500-1E75-4928-A1B7-C42DF7AF32D5}" name="Февраль 2015" headerRowDxfId="2425" dataDxfId="2424" dataCellStyle="Название"/>
    <tableColumn id="2" xr3:uid="{8C3C13E9-1A39-4425-B18B-86E1F6D6D142}" name="Столбец1" headerRowDxfId="2423" dataDxfId="2422"/>
    <tableColumn id="3" xr3:uid="{6321A0DD-37C4-4A1F-8489-B674AA5ABDA5}" name="Столбец2" headerRowDxfId="2421" dataDxfId="2420"/>
    <tableColumn id="4" xr3:uid="{91589376-4A49-4A25-94F8-3506870F102F}" name="Столбец3" headerRowDxfId="2419" dataDxfId="2418"/>
    <tableColumn id="5" xr3:uid="{DE9C93ED-493D-4582-8C02-2B8A88D49F94}" name="Столбец4" headerRowDxfId="2417" dataDxfId="2416"/>
    <tableColumn id="6" xr3:uid="{34A9166F-CCBB-45FF-9B83-7E4CD40923CC}" name="Столбец5" headerRowDxfId="2415" dataDxfId="2414"/>
    <tableColumn id="7" xr3:uid="{1E8FA031-C77A-4C23-83FF-467EEBCA1ACE}" name="Столбец6" headerRowDxfId="2413" dataDxfId="2412"/>
    <tableColumn id="8" xr3:uid="{6D9E01B9-75F4-4166-B904-33C4ECC04FA9}" name="Столбец7" headerRowDxfId="2411" dataDxfId="2410"/>
  </tableColumns>
  <tableStyleInfo name="TableStyleMedium2" showFirstColumn="0" showLastColumn="0" showRowStripes="1" showColumnStripes="0"/>
</table>
</file>

<file path=xl/tables/table1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C932FF6A-342E-4A00-9463-3093F1ABBA85}" name="Таблица1529425569839711111613014215416618618345066829811413014616217821375369851011171331495605765926046186326486646806967137303045607590105120135150165195180" displayName="Таблица1529425569839711111613014215416618618345066829811413014616217821375369851011171331495605765926046186326486646806967137303045607590105120135150165195180" ref="A103:G105" totalsRowShown="0" headerRowDxfId="2409" dataDxfId="2408" tableBorderDxfId="2407">
  <autoFilter ref="A103:G105" xr:uid="{BD66A881-30D1-4979-8390-5888D14E5877}"/>
  <tableColumns count="7">
    <tableColumn id="1" xr3:uid="{33BB63C8-3844-4A7E-B20D-5EAE91495B7C}" name="Дата" dataDxfId="2406"/>
    <tableColumn id="2" xr3:uid="{4098DDF3-1EBE-4C13-A893-9EF476302307}" name="Клиент" dataDxfId="2405"/>
    <tableColumn id="3" xr3:uid="{C066FAD4-8E6A-46A3-9093-1D87447E7155}" name="Менеджер" dataDxfId="2404" dataCellStyle="Обычный 2"/>
    <tableColumn id="4" xr3:uid="{9ABCA3CF-A2D8-4A05-9A07-76CB61262FDF}" name="Контакт в 1С" dataDxfId="2403"/>
    <tableColumn id="5" xr3:uid="{024AE6C0-CCE4-4D30-B9A9-A56B1D04A9B5}" name="№ сделки" dataDxfId="2402"/>
    <tableColumn id="6" xr3:uid="{801339C3-B413-45E9-8CC6-E1A6366DA886}" name="Цель" dataDxfId="2401"/>
    <tableColumn id="7" xr3:uid="{5B3C1BDD-73D7-4313-9C33-7C43ADF4B33B}" name="Результат" dataDxfId="2400"/>
  </tableColumns>
  <tableStyleInfo name="TableStyleMedium2" showFirstColumn="0" showLastColumn="0" showRowStripes="1" showColumnStripes="0"/>
</table>
</file>

<file path=xl/tables/table1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E6C1FBE2-F517-4E2D-BEE4-9C6F6DA5DC7D}" name="Таблица4936997167333146617691106121136151166196181" displayName="Таблица4936997167333146617691106121136151166196181" ref="A21:D33" totalsRowShown="0" headerRowDxfId="2399" dataDxfId="2397" headerRowBorderDxfId="2398" tableBorderDxfId="2396" totalsRowBorderDxfId="2395">
  <autoFilter ref="A21:D33" xr:uid="{8999CE3E-52FF-4AF3-AA18-1DA9A764C519}"/>
  <tableColumns count="4">
    <tableColumn id="1" xr3:uid="{AF6157E0-6465-4040-AABE-3180EBB68A55}" name="Месяц" dataDxfId="2394"/>
    <tableColumn id="2" xr3:uid="{EA02A965-CA93-44DE-9887-DC5CF57DF02D}" name="Профит" dataDxfId="2393"/>
    <tableColumn id="3" xr3:uid="{F1320CF7-C549-40AC-8969-7019FF93DFCA}" name="План" dataDxfId="2392"/>
    <tableColumn id="4" xr3:uid="{453AB5EA-C94D-4D40-A5FA-08CDAE763BB9}" name="Выполнение" dataDxfId="2391">
      <calculatedColumnFormula>Таблица4936997167333146617691106121136151166196181[[#This Row],[Профит]]/Таблица4936997167333146617691106121136151166196181[[#This Row],[План]]</calculatedColumnFormula>
    </tableColumn>
  </tableColumns>
  <tableStyleInfo name="TableStyleMedium2" showFirstColumn="0" showLastColumn="0" showRowStripes="1" showColumnStripes="0"/>
</table>
</file>

<file path=xl/tables/table1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A8F12B4B-77EC-45A3-B28F-7FC44F16999B}" name="Таблица11029163037445158657223303744515865727986931009223548627690104107127139151163183152947637995111127143159175183450668298114130146545561577589605619635651667683700717163247627792107122137152182197" displayName="Таблица11029163037445158657223303744515865727986931009223548627690104107127139151163183152947637995111127143159175183450668298114130146545561577589605619635651667683700717163247627792107122137152182197" ref="A6:F7" totalsRowShown="0" headerRowDxfId="2390" dataDxfId="2389">
  <tableColumns count="6">
    <tableColumn id="1" xr3:uid="{41E6F08E-0294-4890-A731-FAB37FBF6C67}" name="Менеджер" dataDxfId="2388"/>
    <tableColumn id="2" xr3:uid="{58F626C4-6276-4D65-B3ED-19262DF4D740}" name="План, руб." dataDxfId="2387">
      <calculatedColumnFormula>C29</calculatedColumnFormula>
    </tableColumn>
    <tableColumn id="3" xr3:uid="{27FFC1A5-CE15-49AE-801A-0E4521C4308C}" name="Факт, руб." dataDxfId="2386">
      <calculatedColumnFormula>B29</calculatedColumnFormula>
    </tableColumn>
    <tableColumn id="4" xr3:uid="{C5DFF9B8-3B76-4831-AB25-F036A3BB09BA}" name="Отклонение, %" dataDxfId="2385" dataCellStyle="Процентный">
      <calculatedColumnFormula>Таблица11029163037445158657223303744515865727986931009223548627690104107127139151163183152947637995111127143159175183450668298114130146545561577589605619635651667683700717163247627792107122137152182197[Факт, руб.]/Таблица11029163037445158657223303744515865727986931009223548627690104107127139151163183152947637995111127143159175183450668298114130146545561577589605619635651667683700717163247627792107122137152182197[План, руб.]-100%</calculatedColumnFormula>
    </tableColumn>
    <tableColumn id="7" xr3:uid="{16B4753B-4B1C-4FAC-B9E6-5A8044F9784F}" name="Отклонение, РУБ" dataDxfId="2384" dataCellStyle="Процентный">
      <calculatedColumnFormula>Таблица11029163037445158657223303744515865727986931009223548627690104107127139151163183152947637995111127143159175183450668298114130146545561577589605619635651667683700717163247627792107122137152182197[Факт, руб.]-Таблица11029163037445158657223303744515865727986931009223548627690104107127139151163183152947637995111127143159175183450668298114130146545561577589605619635651667683700717163247627792107122137152182197[План, руб.]</calculatedColumnFormula>
    </tableColumn>
    <tableColumn id="5" xr3:uid="{E8D805DD-6899-4E7D-98F9-AF20B8DBD1B0}" name="Предыд месяц" dataDxfId="2383" dataCellStyle="Процентный">
      <calculatedColumnFormula>B28</calculatedColumnFormula>
    </tableColumn>
  </tableColumns>
  <tableStyleInfo name="TableStyleMedium2" showFirstColumn="0" showLastColumn="0" showRowStripes="1" showColumnStripes="0"/>
</table>
</file>

<file path=xl/tables/table1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48BE2BC3-E10F-451E-A5B9-44DC890D213E}" name="Таблица211301731384552596673243138455259667380879410110233649637791105109128140152164184163248648096112128144160176193551678399115131147546562578590606620636652668684701718173348637893108123138153183198" displayName="Таблица211301731384552596673243138455259667380879410110233649637791105109128140152164184163248648096112128144160176193551678399115131147546562578590606620636652668684701718173348637893108123138153183198" ref="A16:E17" totalsRowShown="0" headerRowDxfId="2382" dataDxfId="2381">
  <tableColumns count="5">
    <tableColumn id="1" xr3:uid="{2053DC42-3443-4EA2-B578-4B59BF2DFE97}" name="Менеджер" dataDxfId="2380"/>
    <tableColumn id="2" xr3:uid="{2391BA3A-A7C4-4507-9310-6243F6FE313E}" name="Профит ФГ 23-24" dataDxfId="2379"/>
    <tableColumn id="3" xr3:uid="{1BBC087A-982B-4D98-9229-6EADE5545C54}" name="Профит ФГ 24-25" dataDxfId="2378"/>
    <tableColumn id="4" xr3:uid="{7F877FAF-986E-41CC-9435-EB1DF1D3D0B6}" name="Профит ФГ 25-26" dataDxfId="2377" dataCellStyle="Процентный">
      <calculatedColumnFormula>B34</calculatedColumnFormula>
    </tableColumn>
    <tableColumn id="5" xr3:uid="{E3613E64-F676-46DA-BD88-590EB891A114}" name="Рост накопительно, % " dataDxfId="2376">
      <calculatedColumnFormula>Таблица211301731384552596673243138455259667380879410110233649637791105109128140152164184163248648096112128144160176193551678399115131147546562578590606620636652668684701718173348637893108123138153183198[Профит ФГ 25-26]/Таблица211301731384552596673243138455259667380879410110233649637791105109128140152164184163248648096112128144160176193551678399115131147546562578590606620636652668684701718173348637893108123138153183198[Профит ФГ 24-25]</calculatedColumnFormula>
    </tableColumn>
  </tableColumns>
  <tableStyleInfo name="TableStyleMedium2" showFirstColumn="0" showLastColumn="0" showRowStripes="1" showColumnStripes="0"/>
</table>
</file>

<file path=xl/tables/table1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55FFCC5F-5615-47F7-9860-49B0D67C9BA2}" name="Таблица546243318323946536067742532394653606774818895102112437506478921061101291411531651851733496581971131291451611772036526884100116132148547563579593607621637653669685702719193449647994109124139154184199" displayName="Таблица546243318323946536067742532394653606774818895102112437506478921061101291411531651851733496581971131291451611772036526884100116132148547563579593607621637653669685702719193449647994109124139154184199" ref="A45:D46" totalsRowShown="0" headerRowDxfId="2375" dataDxfId="2374">
  <autoFilter ref="A45:D46" xr:uid="{3EADDA2E-FD58-4130-8A1C-8C20137591BB}"/>
  <tableColumns count="4">
    <tableColumn id="2" xr3:uid="{646FDE64-8579-41B8-B8DF-210853163EA1}" name="Холдинг" dataDxfId="2373"/>
    <tableColumn id="3" xr3:uid="{97BDD03C-0942-4ED3-A970-DB906D258D88}" name="Сумма просроченного долга" dataDxfId="2372" dataCellStyle="Денежный"/>
    <tableColumn id="4" xr3:uid="{319C3468-4D26-4138-AB3B-62642B0AD08E}" name="Общая сумма долга" dataDxfId="2371" dataCellStyle="Денежный"/>
    <tableColumn id="5" xr3:uid="{B600F77D-EAC8-40DB-B291-89DC2D915C0C}" name="% просрочки" dataDxfId="2370" dataCellStyle="Процентный">
      <calculatedColumnFormula>Таблица546243318323946536067742532394653606774818895102112437506478921061101291411531651851733496581971131291451611772036526884100116132148547563579593607621637653669685702719193449647994109124139154184199[[#This Row],[Сумма просроченного долга]]/Таблица546243318323946536067742532394653606774818895102112437506478921061101291411531651851733496581971131291451611772036526884100116132148547563579593607621637653669685702719193449647994109124139154184199[[#This Row],[Общая сумма долга]]</calculatedColumnFormula>
    </tableColumn>
  </tableColumns>
  <tableStyleInfo name="TableStyleMedium2" showFirstColumn="0" showLastColumn="0" showRowStripes="1" showColumnStripes="0"/>
</table>
</file>

<file path=xl/tables/table1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AEBE8FD3-76DD-48DF-84EB-965BC0DC200A}" name="Таблица173043567084981121171311431551671871935516783991151311471631792238547086102118134150548564580594608622638654670686703720203550658095110125140155185200" displayName="Таблица173043567084981121171311431551671871935516783991151311471631792238547086102118134150548564580594608622638654670686703720203550658095110125140155185200" ref="A106:G115" totalsRowShown="0" headerRowDxfId="2369" dataDxfId="2368" tableBorderDxfId="2367">
  <autoFilter ref="A106:G115" xr:uid="{5F2E2A5D-7666-4FD4-A50A-70ADD98392B4}"/>
  <sortState xmlns:xlrd2="http://schemas.microsoft.com/office/spreadsheetml/2017/richdata2" ref="A107:G115">
    <sortCondition ref="D106:D115"/>
  </sortState>
  <tableColumns count="7">
    <tableColumn id="1" xr3:uid="{080CF58B-27A1-449C-8EC4-0F61BB5AFE25}" name="Дата" dataDxfId="2366"/>
    <tableColumn id="2" xr3:uid="{0D46E1CD-44C2-4271-AA01-DF1ADC2F793B}" name="Клиент" dataDxfId="2365"/>
    <tableColumn id="3" xr3:uid="{E1C01269-B469-413B-9D40-6629707ACDD8}" name="Менеджер" dataDxfId="2364" dataCellStyle="Обычный 2"/>
    <tableColumn id="4" xr3:uid="{8131FFFA-8026-4AA0-8AED-2E6BF5D8CF77}" name="Контакт в 1С" dataDxfId="2363"/>
    <tableColumn id="5" xr3:uid="{C41CA39F-D09C-4564-96E9-F8EFD67B5941}" name="№ сделки" dataDxfId="2362"/>
    <tableColumn id="6" xr3:uid="{23D97E32-ED46-4C94-8008-7D585794EA5B}" name="Цель" dataDxfId="2361"/>
    <tableColumn id="7" xr3:uid="{B6748080-C45C-44DA-A98D-970AC6857BA3}" name="Результат" dataDxfId="2360"/>
  </tableColumns>
  <tableStyleInfo name="TableStyleMedium2" showFirstColumn="0" showLastColumn="0" showRowStripes="1" showColumnStripes="0"/>
</table>
</file>

<file path=xl/tables/table1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DB157C0D-2B86-47E3-91BE-7EE881CA17BE}" name="Таблица1931445771859911312013214415616818820365268841001161321481641802339557187103119135151549565581595609623639655671687704721213651668196111126141156186201" displayName="Таблица1931445771859911312013214415616818820365268841001161321481641802339557187103119135151549565581595609623639655671687704721213651668196111126141156186201" ref="A120:G123" totalsRowShown="0" headerRowDxfId="2359" dataDxfId="2358" tableBorderDxfId="2357">
  <autoFilter ref="A120:G123" xr:uid="{CC17A23E-B8E4-4CBF-BC3B-16FF0249D515}"/>
  <tableColumns count="7">
    <tableColumn id="1" xr3:uid="{0612679F-7AEC-4B82-9624-B2F678F607F3}" name="Цель" dataDxfId="2356" dataCellStyle="Обычный 2"/>
    <tableColumn id="2" xr3:uid="{F333E58B-9A33-441D-B464-7C9045C278F2}" name="Необходимый результат" dataDxfId="2355" dataCellStyle="Обычный 2"/>
    <tableColumn id="3" xr3:uid="{442F37EC-4622-4CEA-B520-2385390E2B9A}" name="Выполнено да/нет" dataDxfId="2354" dataCellStyle="Обычный"/>
    <tableColumn id="4" xr3:uid="{8052E094-5C61-478A-AE6C-0C39B2A196D6}" name="Комментарий по выполненной задаче" dataDxfId="2353" dataCellStyle="Обычный 2"/>
    <tableColumn id="5" xr3:uid="{DDFD52F4-84E6-4BAB-889C-51307CAC3085}" name="Мотивация" dataDxfId="2352"/>
    <tableColumn id="6" xr3:uid="{5E794902-AD64-4421-B8AE-6B418D3B3B62}" name="Менеджер" dataDxfId="2351"/>
    <tableColumn id="7" xr3:uid="{558BE5B2-27E1-41F5-8BD0-1B70610C08FC}" name="К оплате" dataDxfId="2350"/>
  </tableColumns>
  <tableStyleInfo name="TableStyleMedium2" showFirstColumn="0" showLastColumn="0" showRowStripes="1" showColumnStripes="0"/>
</table>
</file>

<file path=xl/tables/table1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1" xr:uid="{CD8DE43B-28E6-443A-B9A9-32EBA9E663B7}" name="Таблица20324558728610011412113314515716918921375369851011171331491651812440567288104120136152550566582596610624640656672688705722223752678297112127142157187202" displayName="Таблица20324558728610011412113314515716918921375369851011171331491651812440567288104120136152550566582596610624640656672688705722223752678297112127142157187202" ref="A127:G131" totalsRowShown="0" headerRowDxfId="2349" dataDxfId="2348" tableBorderDxfId="2347">
  <autoFilter ref="A127:G131" xr:uid="{16803243-7F25-4AF5-AE4A-7C5E11F25A09}"/>
  <tableColumns count="7">
    <tableColumn id="1" xr3:uid="{75A48C1F-F3CA-42EE-A618-235DC336D825}" name="Цель" dataDxfId="2346"/>
    <tableColumn id="2" xr3:uid="{70E533ED-AEE6-4ED7-852B-5AFC56F2552D}" name="Необходимый результат" dataDxfId="2345"/>
    <tableColumn id="3" xr3:uid="{FCEE07C2-B57B-40DB-8070-D7F13ECAEC50}" name="Выполнено да/нет" dataDxfId="2344"/>
    <tableColumn id="4" xr3:uid="{C4C4AE26-F5DE-413A-94EF-8367930FE23C}" name="Комментарий по выполненной задаче" dataDxfId="2343"/>
    <tableColumn id="5" xr3:uid="{6E53153A-693E-42DA-B9C7-F2ED575DE821}" name="Мотивация" dataDxfId="2342"/>
    <tableColumn id="6" xr3:uid="{C0E1B2C8-2A5B-42BF-BC84-BA7BC515BD04}" name="Менеджер" dataDxfId="2341"/>
    <tableColumn id="7" xr3:uid="{66C878B6-72CF-4F5F-B3D5-33818C0AA04E}" name="К оплате" dataDxfId="2340"/>
  </tableColumns>
  <tableStyleInfo name="TableStyleMedium2" showFirstColumn="0" showLastColumn="0" showRowStripes="1" showColumnStripes="0"/>
</table>
</file>

<file path=xl/tables/table1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2" xr:uid="{856C5417-89EB-46CF-A806-96B0BA5A2768}" name="Таблица16334659738710111512213414615817019022385470861021181341501661822541577389105121137153551567583597611625641657673689706723233853688398113128143158188203" displayName="Таблица16334659738710111512213414615817019022385470861021181341501661822541577389105121137153551567583597611625641657673689706723233853688398113128143158188203" ref="A52:F67" totalsRowShown="0" headerRowDxfId="2339" dataDxfId="2338" totalsRowDxfId="2336" tableBorderDxfId="2337" totalsRowBorderDxfId="2335">
  <autoFilter ref="A52:F67" xr:uid="{9246B9BD-73A5-4351-9AA2-07EE59ED4E9D}"/>
  <sortState xmlns:xlrd2="http://schemas.microsoft.com/office/spreadsheetml/2017/richdata2" ref="A53:F67">
    <sortCondition descending="1" ref="D52:D67"/>
  </sortState>
  <tableColumns count="6">
    <tableColumn id="1" xr3:uid="{D5ACCEED-FB94-469B-ADDD-1000FAD07BF8}" name="Клиент" dataDxfId="2334" totalsRowDxfId="2333"/>
    <tableColumn id="2" xr3:uid="{352725E0-29F1-4CF9-B7A4-6F4FAA00BB8F}" name="Оборот" dataDxfId="2332" totalsRowDxfId="2331"/>
    <tableColumn id="3" xr3:uid="{E85D2DFA-B0F0-46CE-8F15-5F4D19D1F62B}" name="Профит " dataDxfId="2330" totalsRowDxfId="2329"/>
    <tableColumn id="4" xr3:uid="{ADA0C912-8FC2-4765-AA38-C24C67FE761A}" name="%" dataDxfId="2328" totalsRowDxfId="2327"/>
    <tableColumn id="5" xr3:uid="{E2E9233C-6A56-4138-A6F9-B3FBE2C26E28}" name="Менеджер" dataDxfId="2326" totalsRowDxfId="2325"/>
    <tableColumn id="6" xr3:uid="{64BC9394-545F-4169-8C76-42C76C6D35B1}" name="Комментарий" dataDxfId="2324" totalsRowDxfId="2323" dataCellStyle="Финансовый"/>
  </tableColumns>
  <tableStyleInfo name="TableStyleMedium2" showFirstColumn="0" showLastColumn="0" showRowStripes="1" showColumnStripes="0"/>
</table>
</file>

<file path=xl/tables/table1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3" xr:uid="{CAE046E7-1F3B-439E-8DEE-30A1518B4158}" name="Таблица4211720344148556269768390978390111118125132139146153160167174181188195613202734414855626976839097104111118125132139146153160167175183198206214123135147159171191233955718710311913515116718326425874901061221381545525685845986126266426586746907077204" displayName="Таблица4211720344148556269768390978390111118125132139146153160167174181188195613202734414855626976839097104111118125132139146153160167175183198206214123135147159171191233955718710311913515116718326425874901061221381545525685845986126266426586746907077204" ref="A79:H85" totalsRowShown="0" headerRowDxfId="2322" dataDxfId="2321" dataCellStyle="Обычный 2">
  <autoFilter ref="A79:H85" xr:uid="{4ACBF2F4-2982-4E59-8F46-ECCA5C6BC7F5}"/>
  <sortState xmlns:xlrd2="http://schemas.microsoft.com/office/spreadsheetml/2017/richdata2" ref="A80:H85">
    <sortCondition descending="1" ref="G79:G85"/>
  </sortState>
  <tableColumns count="8">
    <tableColumn id="1" xr3:uid="{DF9C6B7C-41FC-4A67-AB9F-9A49D368741E}" name="Номер" dataDxfId="2320" dataCellStyle="Обычный 2"/>
    <tableColumn id="3" xr3:uid="{3489D205-986F-4479-A7D7-5E268BFDEC3A}" name="Клиент" dataDxfId="2319" dataCellStyle="Обычный 2"/>
    <tableColumn id="4" xr3:uid="{E9C92801-AF81-4CA4-8F46-931B0379D386}" name="Менеджер" dataDxfId="2318" dataCellStyle="Обычный 2"/>
    <tableColumn id="5" xr3:uid="{363235C3-3EEE-4F8E-B225-384221EA30A4}" name="Проект" dataDxfId="2317" dataCellStyle="Обычный 2"/>
    <tableColumn id="6" xr3:uid="{6F80C55F-8C9B-4EC4-917F-E4E9DAC2856F}" name="Краткое описание проекта" dataDxfId="2316" dataCellStyle="Обычный 2"/>
    <tableColumn id="7" xr3:uid="{23EB1F12-B55E-4FFD-A4B3-376CC2715BB7}" name="Дата завершения сделки" dataDxfId="2315" dataCellStyle="Обычный 2"/>
    <tableColumn id="8" xr3:uid="{3755BF26-C1E6-48F9-8E50-BAA3F0C58921}" name="Сумма, тыс. руб." dataDxfId="2314" dataCellStyle="Обычный"/>
    <tableColumn id="2" xr3:uid="{F7AC5993-B0D5-4BFB-97D8-CA577E3D18C6}" name="Статус" dataDxfId="2313"/>
  </tableColumns>
  <tableStyleInfo name="TableStyleMedium2" showFirstColumn="0" showLastColumn="0" showRowStripes="1" showColumnStripes="0"/>
</table>
</file>

<file path=xl/tables/table1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4" xr:uid="{5009F671-29FF-45D1-9554-04F039ECEA7F}" name="Таблица9132738193340475461687582899682891101171241311381451521591661731801871945121926334047546168758289961031101171241311381451521591661741821902052131191251371491611731932541567288104120136152168184274359759110712313915555356958559961362764365967569205" displayName="Таблица9132738193340475461687582899682891101171241311381451521591661731801871945121926334047546168758289961031101171241311381451521591661741821902052131191251371491611731932541567288104120136152168184274359759110712313915555356958559961362764365967569205" ref="A73:H74" headerRowCount="0" totalsRowShown="0" headerRowDxfId="2312" dataDxfId="2311">
  <tableColumns count="8">
    <tableColumn id="1" xr3:uid="{9FAD2ED8-94E6-43DC-96B2-0A1032382D6E}" name="Февраль 2015" headerRowDxfId="2310" dataDxfId="2309" dataCellStyle="Название"/>
    <tableColumn id="2" xr3:uid="{F1CD4AE9-1CB9-4F3B-AC37-1E4E54E654F9}" name="Столбец1" headerRowDxfId="2308" dataDxfId="2307"/>
    <tableColumn id="3" xr3:uid="{75020E86-10DF-423D-A2C9-E276738C501D}" name="Столбец2" headerRowDxfId="2306" dataDxfId="2305"/>
    <tableColumn id="4" xr3:uid="{FD7604C8-6070-42E3-9725-4B34F7613872}" name="Столбец3" headerRowDxfId="2304" dataDxfId="2303"/>
    <tableColumn id="5" xr3:uid="{908C1F32-52BD-45EE-8784-FB74A04593FA}" name="Столбец4" headerRowDxfId="2302" dataDxfId="2301"/>
    <tableColumn id="6" xr3:uid="{8FB20CCC-394F-4E61-9B2B-A93D198ABDFA}" name="Столбец5" headerRowDxfId="2300" dataDxfId="2299"/>
    <tableColumn id="7" xr3:uid="{E40D9FE3-EE21-4909-AFEE-60E7BF7C51A3}" name="Столбец6" headerRowDxfId="2298" dataDxfId="2297"/>
    <tableColumn id="8" xr3:uid="{D00BCCB4-AD62-4C69-8941-49D67BC3AADC}" name="Столбец7" headerRowDxfId="2296" dataDxfId="2295"/>
  </tableColumns>
  <tableStyleInfo name="TableStyleMedium2" showFirstColumn="0" showLastColumn="0" showRowStripes="1" showColumnStripes="0"/>
</table>
</file>

<file path=xl/tables/table1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5" xr:uid="{6A9CE3D2-5D12-4243-84F6-CC5B7071BAF6}" name="Таблица125138150162174194264257738910512113715316918528446076921081241401565545705866006146286446606766927097262641567186101116131146161191206" displayName="Таблица125138150162174194264257738910512113715316918528446076921081241401565545705866006146286446606766927097262641567186101116131146161191206" ref="A89:H96" totalsRowShown="0" headerRowDxfId="2294" dataDxfId="2293">
  <autoFilter ref="A89:H96" xr:uid="{0F3DFAA2-5FF8-417D-8496-A5C766071E19}"/>
  <sortState xmlns:xlrd2="http://schemas.microsoft.com/office/spreadsheetml/2017/richdata2" ref="A90:H96">
    <sortCondition descending="1" ref="G89:G96"/>
  </sortState>
  <tableColumns count="8">
    <tableColumn id="1" xr3:uid="{B657A54E-8F5E-4C10-AB13-556EE3E94B42}" name="Номер" dataDxfId="2292"/>
    <tableColumn id="2" xr3:uid="{70930A3C-9975-40EF-8C57-A7578A125B8A}" name="Клиент" dataDxfId="2291"/>
    <tableColumn id="3" xr3:uid="{B4C95FD4-33B7-4747-B47D-144D61037B10}" name="Менеджер" dataDxfId="2290" dataCellStyle="Обычный 2"/>
    <tableColumn id="4" xr3:uid="{98718355-29BE-4425-81BD-B21B4DE88E44}" name="Проект" dataDxfId="2289"/>
    <tableColumn id="5" xr3:uid="{DD9F8E9C-20C8-404A-9C17-D9C236019BF5}" name="Краткое описание проекта" dataDxfId="2288"/>
    <tableColumn id="6" xr3:uid="{E2D4DA79-3BD7-4DD7-98D6-3AC4C82A8C49}" name="Дата завершения сделки" dataDxfId="2287"/>
    <tableColumn id="7" xr3:uid="{FC2B86C5-1034-4FFE-B76A-565C6885925D}" name="Сумма" dataDxfId="2286"/>
    <tableColumn id="8" xr3:uid="{54187070-3E96-4D46-980B-51A2714479DD}" name="Статус" dataDxfId="2285"/>
  </tableColumns>
  <tableStyleInfo name="TableStyleMedium2" showFirstColumn="0" showLastColumn="0" showRowStripes="1" showColumnStripes="0"/>
</table>
</file>

<file path=xl/tables/table1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6" xr:uid="{BA04B359-88AD-4EEB-9BD4-6B6F61292FB9}" name="Таблица175195274358749010612213815417018629456177931091251411575555715876016156296456616776937107272742577287102117132147162192207" displayName="Таблица175195274358749010612213815417018629456177931091251411575555715876016156296456616776937107272742577287102117132147162192207" ref="A11:E12" totalsRowShown="0" headerRowDxfId="2284" dataDxfId="2283" tableBorderDxfId="2282">
  <tableColumns count="5">
    <tableColumn id="1" xr3:uid="{724339E0-0CC3-4E8A-8417-6CFE60DC84E4}" name="Менеджер" dataDxfId="2281"/>
    <tableColumn id="2" xr3:uid="{3D24D318-DA28-433A-B0B2-063DF21ABFA2}" name="План с НАЧАЛА ФГ, руб." dataDxfId="2280">
      <calculatedColumnFormula>SUM(C22:C29)</calculatedColumnFormula>
    </tableColumn>
    <tableColumn id="3" xr3:uid="{84F07876-2AC5-4EB2-866E-21168C73C4C8}" name="Факт с НАЧАЛА ФГ, руб." dataDxfId="2279">
      <calculatedColumnFormula>B34</calculatedColumnFormula>
    </tableColumn>
    <tableColumn id="4" xr3:uid="{4EF44692-0146-45EB-9479-C5392D5E48A5}" name="Отклонение, %" dataDxfId="2278">
      <calculatedColumnFormula>C12/B12-100%</calculatedColumnFormula>
    </tableColumn>
    <tableColumn id="5" xr3:uid="{882CAA43-FA22-44D1-9BF7-1F9DC2B2D03C}" name="Отклонение, РУБ" dataDxfId="2277">
      <calculatedColumnFormula>C12-B12</calculatedColumnFormula>
    </tableColumn>
  </tableColumns>
  <tableStyleInfo name="TableStyleMedium2" showFirstColumn="0" showLastColumn="0" showRowStripes="1" showColumnStripes="0"/>
</table>
</file>

<file path=xl/tables/table1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7" xr:uid="{55176F79-BD24-4F35-931B-A4CA8C09176D}" name="Таблица294459759110712313915517118730466278941101261421585565725886026166306466626786947117282843587388103118133148163193208" displayName="Таблица294459759110712313915517118730466278941101261421585565725886026166306466626786947117282843587388103118133148163193208" ref="A39:E40" totalsRowShown="0" headerRowDxfId="2276" dataDxfId="2275">
  <autoFilter ref="A39:E40" xr:uid="{A123EA08-D8D4-4987-8146-FF08418E565C}"/>
  <tableColumns count="5">
    <tableColumn id="2" xr3:uid="{C466CF82-9ED6-4F3C-998E-6C744F0A2506}" name="Факт" dataDxfId="2274">
      <calculatedColumnFormula>B29</calculatedColumnFormula>
    </tableColumn>
    <tableColumn id="9" xr3:uid="{F62DF944-05F0-4141-8E35-1A38E52982AA}" name="Оклад" dataDxfId="2273" dataCellStyle="Процентный">
      <calculatedColumnFormula>50000</calculatedColumnFormula>
    </tableColumn>
    <tableColumn id="4" xr3:uid="{40533357-F57C-402B-8DF3-96300ACDB0AB}" name="Премия" dataDxfId="2272">
      <calculatedColumnFormula>A40*0.065*1</calculatedColumnFormula>
    </tableColumn>
    <tableColumn id="7" xr3:uid="{BE7B6B67-4845-4B4F-B1B4-44E47C9C0CDB}" name="Доплата за Задачи" dataDxfId="2271">
      <calculatedColumnFormula>SUM(G121:G123)</calculatedColumnFormula>
    </tableColumn>
    <tableColumn id="6" xr3:uid="{A8983DE1-084D-4591-AD9C-D8CC35ADD9F4}" name="Штрафы" dataDxfId="2270"/>
  </tableColumns>
  <tableStyleInfo name="TableStyleMedium2" showFirstColumn="0" showLastColumn="0" showRowStripes="1" showColumnStripes="0"/>
</table>
</file>

<file path=xl/tables/table1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8" xr:uid="{4393EB64-3671-4FAC-AD7C-FA9D43618CA2}" name="Таблица9132738193340475461687582899682891101171241311381451521591661731801871945121926334047546168758289961031101171241311381451521591661741821902052131241361481601721922440627894110126142158174190334965819711312914516155957559160361763164766367969571209" displayName="Таблица9132738193340475461687582899682891101171241311381451521591661731801871945121926334047546168758289961031101171241311381451521591661741821902052131241361481601721922440627894110126142158174190334965819711312914516155957559160361763164766367969571209" ref="A70:H72" headerRowCount="0" totalsRowShown="0" headerRowDxfId="2269" dataDxfId="2268">
  <tableColumns count="8">
    <tableColumn id="1" xr3:uid="{FB9B7EBA-B18C-466C-B8D8-8E0C7DEDE12E}" name="Февраль 2015" headerRowDxfId="2267" dataDxfId="2266" dataCellStyle="Название"/>
    <tableColumn id="2" xr3:uid="{5C803C12-9AB9-4AE1-B181-1C1115080950}" name="Столбец1" headerRowDxfId="2265" dataDxfId="2264"/>
    <tableColumn id="3" xr3:uid="{13FC5881-EAC8-4B87-B619-13EB63E3FDDD}" name="Столбец2" headerRowDxfId="2263" dataDxfId="2262"/>
    <tableColumn id="4" xr3:uid="{300C1F8C-3893-4029-B4E8-086A1E8574BE}" name="Столбец3" headerRowDxfId="2261" dataDxfId="2260"/>
    <tableColumn id="5" xr3:uid="{FF58E5AE-F7DF-437D-8EA0-29E0E51B215E}" name="Столбец4" headerRowDxfId="2259" dataDxfId="2258"/>
    <tableColumn id="6" xr3:uid="{88598EEC-4AAB-4F9E-BAC8-ECB79F5B0F8D}" name="Столбец5" headerRowDxfId="2257" dataDxfId="2256"/>
    <tableColumn id="7" xr3:uid="{2AE3229B-573D-457D-B02C-597CF87C399F}" name="Столбец6" headerRowDxfId="2255" dataDxfId="2254"/>
    <tableColumn id="8" xr3:uid="{CBFBED4B-CA69-469D-8045-E4AF14A62D12}" name="Столбец7" headerRowDxfId="2253" dataDxfId="2252"/>
  </tableColumns>
  <tableStyleInfo name="TableStyleMedium2" showFirstColumn="0" showLastColumn="0" showRowStripes="1" showColumnStripes="0"/>
</table>
</file>

<file path=xl/tables/table1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9" xr:uid="{7108B8E8-8E32-4150-AA25-397538F81958}" name="Таблица1529425569839711111613014215416618618345066829811413014616217821375369851011171331495605765926046186326486646806967137303045607590105120135150165195210" displayName="Таблица1529425569839711111613014215416618618345066829811413014616217821375369851011171331495605765926046186326486646806967137303045607590105120135150165195210" ref="A101:G102" totalsRowShown="0" headerRowDxfId="2251" dataDxfId="2250" tableBorderDxfId="2249">
  <autoFilter ref="A101:G102" xr:uid="{BD66A881-30D1-4979-8390-5888D14E5877}"/>
  <tableColumns count="7">
    <tableColumn id="1" xr3:uid="{C19A88ED-352B-4EFE-9B64-C4FFE0EEC176}" name="Дата" dataDxfId="2248"/>
    <tableColumn id="2" xr3:uid="{3C0B62C9-DAC3-4340-87EE-2600B96D3E41}" name="Клиент" dataDxfId="2247"/>
    <tableColumn id="3" xr3:uid="{26899D36-6FD0-4494-A885-1BB4DD54F0DA}" name="Менеджер" dataDxfId="2246" dataCellStyle="Обычный 2"/>
    <tableColumn id="4" xr3:uid="{B0D4BD75-2935-4A2D-BDD6-44AEDC51A2C2}" name="Контакт в 1С" dataDxfId="2245"/>
    <tableColumn id="5" xr3:uid="{54467949-30FD-43C1-A169-B40B971FD23E}" name="№ сделки" dataDxfId="2244"/>
    <tableColumn id="6" xr3:uid="{FC443CD6-5EF0-4B76-B07F-55937DABE48E}" name="Цель" dataDxfId="2243"/>
    <tableColumn id="7" xr3:uid="{3094F250-6736-411C-9014-943F69CBFFED}" name="Результат" dataDxfId="2242"/>
  </tableColumns>
  <tableStyleInfo name="TableStyleMedium2" showFirstColumn="0" showLastColumn="0" showRowStripes="1" showColumnStripes="0"/>
</table>
</file>

<file path=xl/tables/table1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0" xr:uid="{5B3A6136-1A57-4C70-84ED-7B7C46A621DF}" name="Таблица4936997167333146617691106121136151166196211" displayName="Таблица4936997167333146617691106121136151166196211" ref="A21:D33" totalsRowShown="0" headerRowDxfId="2241" dataDxfId="2239" headerRowBorderDxfId="2240" tableBorderDxfId="2238" totalsRowBorderDxfId="2237">
  <autoFilter ref="A21:D33" xr:uid="{8999CE3E-52FF-4AF3-AA18-1DA9A764C519}"/>
  <tableColumns count="4">
    <tableColumn id="1" xr3:uid="{C6EC10F6-0370-4D94-ACD6-4E6A9F454B78}" name="Месяц" dataDxfId="2236"/>
    <tableColumn id="2" xr3:uid="{966D1A4D-51B2-450C-B3FF-594B7FF847AB}" name="Профит" dataDxfId="2235"/>
    <tableColumn id="3" xr3:uid="{B955F3BA-9518-4287-8123-94C58253FC3B}" name="План" dataDxfId="2234"/>
    <tableColumn id="4" xr3:uid="{C8C2344E-2673-4A62-935E-C7AB1D7C397F}" name="Выполнение" dataDxfId="2233">
      <calculatedColumnFormula>Таблица4936997167333146617691106121136151166196211[[#This Row],[Профит]]/Таблица4936997167333146617691106121136151166196211[[#This Row],[План]]</calculatedColumnFormula>
    </tableColumn>
  </tableColumns>
  <tableStyleInfo name="TableStyleMedium2" showFirstColumn="0" showLastColumn="0" showRowStripes="1" showColumnStripes="0"/>
</table>
</file>

<file path=xl/tables/table1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8B21F3F1-7635-4611-A73E-816594B68570}" name="Таблица11029163037445158657223303744515865727986931009223548627690104107127139151163183152947637995111127143159175183450668298114130146545561577589605619635651667683700717163247627792107122137152182197182" displayName="Таблица11029163037445158657223303744515865727986931009223548627690104107127139151163183152947637995111127143159175183450668298114130146545561577589605619635651667683700717163247627792107122137152182197182" ref="A6:F7" totalsRowShown="0" headerRowDxfId="2232" dataDxfId="2231">
  <tableColumns count="6">
    <tableColumn id="1" xr3:uid="{931CCD0B-85CC-415A-9FF9-6B4CE042D611}" name="Менеджер" dataDxfId="2230"/>
    <tableColumn id="2" xr3:uid="{C1C06EF6-F74C-485A-860A-DDD1430DF314}" name="План, руб." dataDxfId="2229">
      <calculatedColumnFormula>C30</calculatedColumnFormula>
    </tableColumn>
    <tableColumn id="3" xr3:uid="{13256E10-991A-4FF7-9E40-5656046654CC}" name="Факт, руб." dataDxfId="2228">
      <calculatedColumnFormula>B30</calculatedColumnFormula>
    </tableColumn>
    <tableColumn id="4" xr3:uid="{62504D16-14FD-45BE-ACCF-376DC8E3283B}" name="Отклонение, %" dataDxfId="2227" dataCellStyle="Процентный">
      <calculatedColumnFormula>Таблица11029163037445158657223303744515865727986931009223548627690104107127139151163183152947637995111127143159175183450668298114130146545561577589605619635651667683700717163247627792107122137152182197182[Факт, руб.]/Таблица11029163037445158657223303744515865727986931009223548627690104107127139151163183152947637995111127143159175183450668298114130146545561577589605619635651667683700717163247627792107122137152182197182[План, руб.]-100%</calculatedColumnFormula>
    </tableColumn>
    <tableColumn id="7" xr3:uid="{40F955B1-8D3E-450B-9F1F-67EA219CE190}" name="Отклонение, РУБ" dataDxfId="2226" dataCellStyle="Процентный">
      <calculatedColumnFormula>Таблица11029163037445158657223303744515865727986931009223548627690104107127139151163183152947637995111127143159175183450668298114130146545561577589605619635651667683700717163247627792107122137152182197182[Факт, руб.]-Таблица11029163037445158657223303744515865727986931009223548627690104107127139151163183152947637995111127143159175183450668298114130146545561577589605619635651667683700717163247627792107122137152182197182[План, руб.]</calculatedColumnFormula>
    </tableColumn>
    <tableColumn id="5" xr3:uid="{151E1A12-1E72-4AEC-B483-B777AD398266}" name="Предыд месяц" dataDxfId="2225" dataCellStyle="Процентный">
      <calculatedColumnFormula>B29</calculatedColumnFormula>
    </tableColumn>
  </tableColumns>
  <tableStyleInfo name="TableStyleMedium2" showFirstColumn="0" showLastColumn="0" showRowStripes="1" showColumnStripes="0"/>
</table>
</file>

<file path=xl/tables/table1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4F323BA8-DD1B-4D8E-9592-6CFDC7E546E0}" name="Таблица211301731384552596673243138455259667380879410110233649637791105109128140152164184163248648096112128144160176193551678399115131147546562578590606620636652668684701718173348637893108123138153183198183" displayName="Таблица211301731384552596673243138455259667380879410110233649637791105109128140152164184163248648096112128144160176193551678399115131147546562578590606620636652668684701718173348637893108123138153183198183" ref="A16:E17" totalsRowShown="0" headerRowDxfId="2224" dataDxfId="2223">
  <tableColumns count="5">
    <tableColumn id="1" xr3:uid="{28FEE470-CA73-4B14-8C8D-FDC21A41F02A}" name="Менеджер" dataDxfId="2222"/>
    <tableColumn id="2" xr3:uid="{B3F0D40E-218E-4FBC-B6EA-AD7BDAEBD606}" name="Профит ФГ 23-24" dataDxfId="2221"/>
    <tableColumn id="3" xr3:uid="{B11C07EC-2699-42FC-8775-5474912D377A}" name="Профит ФГ 24-25" dataDxfId="2220"/>
    <tableColumn id="4" xr3:uid="{B125F5DA-260F-4F96-925F-F8625D1C6E0A}" name="Профит ФГ 25-26" dataDxfId="2219" dataCellStyle="Процентный">
      <calculatedColumnFormula>B34</calculatedColumnFormula>
    </tableColumn>
    <tableColumn id="5" xr3:uid="{65A9D0DA-31DB-4D1C-9258-665AB3DB4802}" name="Рост накопительно, % " dataDxfId="2218">
      <calculatedColumnFormula>Таблица211301731384552596673243138455259667380879410110233649637791105109128140152164184163248648096112128144160176193551678399115131147546562578590606620636652668684701718173348637893108123138153183198183[Профит ФГ 25-26]/Таблица211301731384552596673243138455259667380879410110233649637791105109128140152164184163248648096112128144160176193551678399115131147546562578590606620636652668684701718173348637893108123138153183198183[Профит ФГ 24-25]</calculatedColumnFormula>
    </tableColumn>
  </tableColumns>
  <tableStyleInfo name="TableStyleMedium2" showFirstColumn="0" showLastColumn="0" showRowStripes="1" showColumnStripes="0"/>
</table>
</file>

<file path=xl/tables/table1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6DD6E069-E03A-4F4E-A104-07CF974A1E79}" name="Таблица546243318323946536067742532394653606774818895102112437506478921061101291411531651851733496581971131291451611772036526884100116132148547563579593607621637653669685702719193449647994109124139154184199184" displayName="Таблица546243318323946536067742532394653606774818895102112437506478921061101291411531651851733496581971131291451611772036526884100116132148547563579593607621637653669685702719193449647994109124139154184199184" ref="A45:D46" totalsRowShown="0" headerRowDxfId="2217" dataDxfId="2216">
  <autoFilter ref="A45:D46" xr:uid="{3EADDA2E-FD58-4130-8A1C-8C20137591BB}"/>
  <tableColumns count="4">
    <tableColumn id="2" xr3:uid="{874A1827-8179-435E-90E1-5A191064DB1C}" name="Холдинг" dataDxfId="2215"/>
    <tableColumn id="3" xr3:uid="{46151CDF-0D1D-4A3F-817E-158EEA45B386}" name="Сумма просроченного долга" dataDxfId="2214" dataCellStyle="Денежный"/>
    <tableColumn id="4" xr3:uid="{51A48198-470E-442A-A054-5B7D3B4D6B34}" name="Общая сумма долга" dataDxfId="2213" dataCellStyle="Денежный"/>
    <tableColumn id="5" xr3:uid="{ACBE765A-11BA-4D28-A3B1-8463A793A257}" name="% просрочки" dataDxfId="2212" dataCellStyle="Процентный"/>
  </tableColumns>
  <tableStyleInfo name="TableStyleMedium2" showFirstColumn="0" showLastColumn="0" showRowStripes="1" showColumnStripes="0"/>
</table>
</file>

<file path=xl/tables/table1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106BD70C-EEC3-4F4C-8D5E-F7CE2FB7BA85}" name="Таблица173043567084981121171311431551671871935516783991151311471631792238547086102118134150548564580594608622638654670686703720203550658095110125140155185200185" displayName="Таблица173043567084981121171311431551671871935516783991151311471631792238547086102118134150548564580594608622638654670686703720203550658095110125140155185200185" ref="A118:G154" totalsRowShown="0" headerRowDxfId="2211" dataDxfId="2210" tableBorderDxfId="2209">
  <autoFilter ref="A118:G154" xr:uid="{5F2E2A5D-7666-4FD4-A50A-70ADD98392B4}"/>
  <sortState xmlns:xlrd2="http://schemas.microsoft.com/office/spreadsheetml/2017/richdata2" ref="A119:G154">
    <sortCondition ref="D118:D154"/>
  </sortState>
  <tableColumns count="7">
    <tableColumn id="1" xr3:uid="{4BCDE7FF-9B7D-438B-81AA-411C983CC5EF}" name="Дата" dataDxfId="2208"/>
    <tableColumn id="2" xr3:uid="{659C2A26-E098-4C89-9935-ED8D985265B3}" name="Клиент" dataDxfId="2207"/>
    <tableColumn id="3" xr3:uid="{B102FAD9-F7B2-422B-89C0-187EC40186A4}" name="Менеджер" dataDxfId="2206" dataCellStyle="Обычный 2"/>
    <tableColumn id="4" xr3:uid="{F387452F-9370-4725-9523-216517A52D81}" name="Контакт в 1С" dataDxfId="2205"/>
    <tableColumn id="5" xr3:uid="{8CEE68EB-1E59-4BC4-85B2-CC861BDD8749}" name="№ сделки" dataDxfId="2204"/>
    <tableColumn id="6" xr3:uid="{A6D8CDD0-03A4-4F36-AB7C-99C01AD81D01}" name="Цель" dataDxfId="2203"/>
    <tableColumn id="7" xr3:uid="{9C84C678-9B88-4F66-BD95-643F0D5D348B}" name="Результат" dataDxfId="2202"/>
  </tableColumns>
  <tableStyleInfo name="TableStyleMedium2" showFirstColumn="0" showLastColumn="0" showRowStripes="1" showColumnStripes="0"/>
</table>
</file>

<file path=xl/tables/table2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28393D6B-F46E-4F92-961F-1943AEE8E54A}" name="Таблица1931445771859911312013214415616818820365268841001161321481641802339557187103119135151549565581595609623639655671687704721213651668196111126141156186201186" displayName="Таблица1931445771859911312013214415616818820365268841001161321481641802339557187103119135151549565581595609623639655671687704721213651668196111126141156186201186" ref="A159:G163" totalsRowShown="0" headerRowDxfId="2201" dataDxfId="2200" tableBorderDxfId="2199">
  <autoFilter ref="A159:G163" xr:uid="{CC17A23E-B8E4-4CBF-BC3B-16FF0249D515}"/>
  <tableColumns count="7">
    <tableColumn id="1" xr3:uid="{4CC27D5A-4750-4FAF-B674-32FC115AE1B9}" name="Цель" dataDxfId="2198" dataCellStyle="Обычный 2"/>
    <tableColumn id="2" xr3:uid="{7D16C31C-8BCE-405C-A6E7-E26255E89C6F}" name="Необходимый результат" dataDxfId="2197" dataCellStyle="Обычный 2"/>
    <tableColumn id="3" xr3:uid="{021745CA-C40F-45B0-A862-D4D39B97BF17}" name="Выполнено да/нет" dataDxfId="2196" dataCellStyle="Обычный"/>
    <tableColumn id="4" xr3:uid="{0BA99982-F672-4EC8-92AF-8B83898C43D0}" name="Комментарий по выполненной задаче" dataDxfId="2195" dataCellStyle="Обычный 2"/>
    <tableColumn id="5" xr3:uid="{20D64C66-433A-45F9-861B-E57DAF21C94E}" name="Мотивация" dataDxfId="2194"/>
    <tableColumn id="6" xr3:uid="{FA480FDB-CFEF-40B7-A6E3-053349A8012D}" name="Менеджер" dataDxfId="2193"/>
    <tableColumn id="7" xr3:uid="{5E3DE281-F778-49E7-8724-967631ED3FC7}" name="К оплате" dataDxfId="2192"/>
  </tableColumns>
  <tableStyleInfo name="TableStyleMedium2" showFirstColumn="0" showLastColumn="0" showRowStripes="1" showColumnStripes="0"/>
</table>
</file>

<file path=xl/tables/table2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2642CA49-9039-4CB8-8C34-B2077F9C45C5}" name="Таблица20324558728610011412113314515716918921375369851011171331491651812440567288104120136152550566582596610624640656672688705722223752678297112127142157187202187" displayName="Таблица20324558728610011412113314515716918921375369851011171331491651812440567288104120136152550566582596610624640656672688705722223752678297112127142157187202187" ref="A167:G170" totalsRowShown="0" headerRowDxfId="2191" dataDxfId="2190" tableBorderDxfId="2189">
  <autoFilter ref="A167:G170" xr:uid="{16803243-7F25-4AF5-AE4A-7C5E11F25A09}"/>
  <tableColumns count="7">
    <tableColumn id="1" xr3:uid="{2B1F6C85-F875-466D-9802-B2F3687EE2EE}" name="Цель" dataDxfId="2188"/>
    <tableColumn id="2" xr3:uid="{798BFB5C-4609-45CC-AB7A-15BA851267CE}" name="Необходимый результат" dataDxfId="2187"/>
    <tableColumn id="3" xr3:uid="{88DEA9A2-EA13-46E7-BE28-739E8DA4007A}" name="Выполнено да/нет" dataDxfId="2186"/>
    <tableColumn id="4" xr3:uid="{B503472C-EC49-47E2-8005-E00EE6717BC5}" name="Комментарий по выполненной задаче" dataDxfId="2185"/>
    <tableColumn id="5" xr3:uid="{61915DC5-71B9-4FBB-8B63-918D8D173853}" name="Мотивация" dataDxfId="2184"/>
    <tableColumn id="6" xr3:uid="{73CA76B4-EB16-4DF4-A256-780D2A6DB04A}" name="Менеджер" dataDxfId="2183"/>
    <tableColumn id="7" xr3:uid="{C17B4BE3-64EB-415D-AEF7-5784E6AA9E69}" name="К оплате" dataDxfId="2182"/>
  </tableColumns>
  <tableStyleInfo name="TableStyleMedium2" showFirstColumn="0" showLastColumn="0" showRowStripes="1" showColumnStripes="0"/>
</table>
</file>

<file path=xl/tables/table2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71347315-FA61-468F-BB43-5286270B530B}" name="Таблица16334659738710111512213414615817019022385470861021181341501661822541577389105121137153551567583597611625641657673689706723233853688398113128143158188203188" displayName="Таблица16334659738710111512213414615817019022385470861021181341501661822541577389105121137153551567583597611625641657673689706723233853688398113128143158188203188" ref="A52:F65" totalsRowShown="0" headerRowDxfId="2181" dataDxfId="2180" totalsRowDxfId="2178" tableBorderDxfId="2179" totalsRowBorderDxfId="2177">
  <autoFilter ref="A52:F65" xr:uid="{9246B9BD-73A5-4351-9AA2-07EE59ED4E9D}"/>
  <sortState xmlns:xlrd2="http://schemas.microsoft.com/office/spreadsheetml/2017/richdata2" ref="A53:F65">
    <sortCondition descending="1" ref="D52:D65"/>
  </sortState>
  <tableColumns count="6">
    <tableColumn id="1" xr3:uid="{BA00A598-F658-4742-BDD2-2C16491ABFE3}" name="Клиент" dataDxfId="2176" totalsRowDxfId="2175"/>
    <tableColumn id="2" xr3:uid="{06A7F522-8617-4FBA-A1A4-CEEB6B9D601B}" name="Оборот" dataDxfId="2174" totalsRowDxfId="2173"/>
    <tableColumn id="3" xr3:uid="{326590B9-13F4-4A5D-ABC3-5A327AEAB07A}" name="Профит " dataDxfId="2172" totalsRowDxfId="2171"/>
    <tableColumn id="4" xr3:uid="{8DB8F586-5B32-4ADB-B152-73009ABB1F2D}" name="%" dataDxfId="2170" totalsRowDxfId="2169"/>
    <tableColumn id="5" xr3:uid="{AF138469-3041-40D1-9118-B96E42FD60D3}" name="Менеджер" dataDxfId="2168" totalsRowDxfId="2167"/>
    <tableColumn id="6" xr3:uid="{0667624C-AE23-4392-9C46-FA617C578BCE}" name="Комментарий" dataDxfId="2166" totalsRowDxfId="2165" dataCellStyle="Финансовый"/>
  </tableColumns>
  <tableStyleInfo name="TableStyleLight9" showFirstColumn="0" showLastColumn="0" showRowStripes="1" showColumnStripes="0"/>
</table>
</file>

<file path=xl/tables/table2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A35CE867-44C9-4DC9-B400-53BBAB6091CB}" name="Таблица4211720344148556269768390978390111118125132139146153160167174181188195613202734414855626976839097104111118125132139146153160167175183198206214123135147159171191233955718710311913515116718326425874901061221381545525685845986126266426586746907077189" displayName="Таблица4211720344148556269768390978390111118125132139146153160167174181188195613202734414855626976839097104111118125132139146153160167175183198206214123135147159171191233955718710311913515116718326425874901061221381545525685845986126266426586746907077189" ref="A77:H86" totalsRowShown="0" headerRowDxfId="2164" dataDxfId="2163" dataCellStyle="Обычный 2">
  <autoFilter ref="A77:H86" xr:uid="{4ACBF2F4-2982-4E59-8F46-ECCA5C6BC7F5}"/>
  <sortState xmlns:xlrd2="http://schemas.microsoft.com/office/spreadsheetml/2017/richdata2" ref="A78:H86">
    <sortCondition descending="1" ref="G77:G86"/>
  </sortState>
  <tableColumns count="8">
    <tableColumn id="1" xr3:uid="{A38847DF-CE26-4E70-A7FA-5136D3A34E5A}" name="Номер" dataDxfId="2162" dataCellStyle="Обычный 2"/>
    <tableColumn id="3" xr3:uid="{093350EA-D36F-472C-80F8-2AD568DB214C}" name="Клиент" dataDxfId="2161" dataCellStyle="Обычный 2"/>
    <tableColumn id="4" xr3:uid="{6DFBB121-2CA4-41E2-ACF3-36B1B0D32532}" name="Менеджер" dataDxfId="2160" dataCellStyle="Обычный 2"/>
    <tableColumn id="5" xr3:uid="{A58B2623-9CB6-4EA6-A87E-F08438F66F19}" name="Проект" dataDxfId="2159" dataCellStyle="Обычный 2"/>
    <tableColumn id="6" xr3:uid="{0393584F-3BCD-46EE-BD12-4B8681CCABA9}" name="Краткое описание проекта" dataDxfId="2158" dataCellStyle="Обычный 2"/>
    <tableColumn id="7" xr3:uid="{BD57F857-21E8-4583-9586-4F66E6EB5726}" name="Дата завершения сделки" dataDxfId="2157" dataCellStyle="Обычный 2"/>
    <tableColumn id="8" xr3:uid="{1B2372F7-9415-4866-BC8C-EFE9E6BEA468}" name="Сумма, тыс. руб." dataDxfId="2156" dataCellStyle="Обычный"/>
    <tableColumn id="2" xr3:uid="{374B1D71-3987-4ADA-A7C3-6A4A84356934}" name="Статус" dataDxfId="2155"/>
  </tableColumns>
  <tableStyleInfo name="TableStyleMedium2" showFirstColumn="0" showLastColumn="0" showRowStripes="1" showColumnStripes="0"/>
</table>
</file>

<file path=xl/tables/table2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876A1BCA-3D4E-4085-B08D-8D0F37B5645B}" name="Таблица9132738193340475461687582899682891101171241311381451521591661731801871945121926334047546168758289961031101171241311381451521591661741821902052131191251371491611731932541567288104120136152168184274359759110712313915555356958559961362764365967569190" displayName="Таблица9132738193340475461687582899682891101171241311381451521591661731801871945121926334047546168758289961031101171241311381451521591661741821902052131191251371491611731932541567288104120136152168184274359759110712313915555356958559961362764365967569190" ref="A71:H72" headerRowCount="0" totalsRowShown="0" headerRowDxfId="2154" dataDxfId="2153">
  <tableColumns count="8">
    <tableColumn id="1" xr3:uid="{B5083991-9EE6-4D69-960D-9FDADE1D087C}" name="Февраль 2015" headerRowDxfId="2152" dataDxfId="2151" dataCellStyle="Название"/>
    <tableColumn id="2" xr3:uid="{92DDA4D8-4A91-4666-9687-54B18E531FD5}" name="Столбец1" headerRowDxfId="2150" dataDxfId="2149"/>
    <tableColumn id="3" xr3:uid="{5234E6DB-6381-4B81-8FE0-71463CA4B605}" name="Столбец2" headerRowDxfId="2148" dataDxfId="2147"/>
    <tableColumn id="4" xr3:uid="{454F3547-1ABA-4DE7-9123-058E99667C7F}" name="Столбец3" headerRowDxfId="2146" dataDxfId="2145"/>
    <tableColumn id="5" xr3:uid="{3B6061CE-B5E6-4CD6-A9C7-0C5A391D20C3}" name="Столбец4" headerRowDxfId="2144" dataDxfId="2143"/>
    <tableColumn id="6" xr3:uid="{52C404E4-5D81-4B68-9A2A-D23EBD1719DA}" name="Столбец5" headerRowDxfId="2142" dataDxfId="2141"/>
    <tableColumn id="7" xr3:uid="{9CE1CACC-E429-4DF9-9BCE-BF053C2DD453}" name="Столбец6" headerRowDxfId="2140" dataDxfId="2139"/>
    <tableColumn id="8" xr3:uid="{99856FCD-EFCD-4618-B20C-2C09C3EC08AF}" name="Столбец7" headerRowDxfId="2138" dataDxfId="2137"/>
  </tableColumns>
  <tableStyleInfo name="TableStyleMedium2" showFirstColumn="0" showLastColumn="0" showRowStripes="1" showColumnStripes="0"/>
</table>
</file>

<file path=xl/tables/table2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4CA78DE5-2CEE-41A1-9FA8-05E88CD793BA}" name="Таблица125138150162174194264257738910512113715316918528446076921081241401565545705866006146286446606766927097262641567186101116131146161191206191" displayName="Таблица125138150162174194264257738910512113715316918528446076921081241401565545705866006146286446606766927097262641567186101116131146161191206191" ref="A90:H103" totalsRowShown="0" headerRowDxfId="2136" dataDxfId="2135">
  <autoFilter ref="A90:H103" xr:uid="{0F3DFAA2-5FF8-417D-8496-A5C766071E19}"/>
  <sortState xmlns:xlrd2="http://schemas.microsoft.com/office/spreadsheetml/2017/richdata2" ref="A91:H103">
    <sortCondition descending="1" ref="G90:G103"/>
  </sortState>
  <tableColumns count="8">
    <tableColumn id="1" xr3:uid="{09ED493C-04F7-4F08-8D1C-0D3B43AF396E}" name="Номер" dataDxfId="2134"/>
    <tableColumn id="2" xr3:uid="{2B3317D1-F6FA-4D4C-A4AD-20A13B748C82}" name="Клиент" dataDxfId="2133"/>
    <tableColumn id="3" xr3:uid="{135AB500-C23D-4626-90E6-D9373D4649DF}" name="Менеджер" dataDxfId="2132" dataCellStyle="Обычный 2"/>
    <tableColumn id="4" xr3:uid="{F09D7078-3AF4-4571-81A5-55D561BAEFEF}" name="Проект" dataDxfId="2131"/>
    <tableColumn id="5" xr3:uid="{C41D4DD0-FF6E-41BA-AFF7-F2C76CEC08E0}" name="Краткое описание проекта" dataDxfId="2130"/>
    <tableColumn id="6" xr3:uid="{2B09D933-2F47-4680-AE03-8E891C87D518}" name="Дата завершения сделки" dataDxfId="2129"/>
    <tableColumn id="7" xr3:uid="{0DC4BB44-A666-43D4-B48D-680D0C9ED9C9}" name="Сумма" dataDxfId="2128"/>
    <tableColumn id="8" xr3:uid="{EA6895BC-4DBB-43CF-BC98-146A848D519D}" name="Статус" dataDxfId="2127"/>
  </tableColumns>
  <tableStyleInfo name="TableStyleMedium2" showFirstColumn="0" showLastColumn="0" showRowStripes="1" showColumnStripes="0"/>
</table>
</file>

<file path=xl/tables/table2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1DA23DA4-4450-48A4-83E9-0C0ADCF7007C}" name="Таблица175195274358749010612213815417018629456177931091251411575555715876016156296456616776937107272742577287102117132147162192207192" displayName="Таблица175195274358749010612213815417018629456177931091251411575555715876016156296456616776937107272742577287102117132147162192207192" ref="A11:E12" totalsRowShown="0" headerRowDxfId="2126" dataDxfId="2125" tableBorderDxfId="2124">
  <tableColumns count="5">
    <tableColumn id="1" xr3:uid="{639B9AB8-D860-4B9A-AFDB-51DC6AF40A72}" name="Менеджер" dataDxfId="2123"/>
    <tableColumn id="2" xr3:uid="{7CC35CDB-184C-4366-8B59-BD26CCCFFEA6}" name="План с НАЧАЛА ФГ, руб." dataDxfId="2122">
      <calculatedColumnFormula>SUM(C22:C30)</calculatedColumnFormula>
    </tableColumn>
    <tableColumn id="3" xr3:uid="{360C9206-1971-4274-B337-E1DD5BB437D1}" name="Факт с НАЧАЛА ФГ, руб." dataDxfId="2121">
      <calculatedColumnFormula>B34</calculatedColumnFormula>
    </tableColumn>
    <tableColumn id="4" xr3:uid="{9B808363-E91B-49FF-AA5C-79982F508C41}" name="Отклонение, %" dataDxfId="2120">
      <calculatedColumnFormula>C12/B12-100%</calculatedColumnFormula>
    </tableColumn>
    <tableColumn id="5" xr3:uid="{0E563491-DEB6-4F4C-986C-C37A96E98F80}" name="Отклонение, РУБ" dataDxfId="2119">
      <calculatedColumnFormula>C12-B12</calculatedColumnFormula>
    </tableColumn>
  </tableColumns>
  <tableStyleInfo name="TableStyleMedium2" showFirstColumn="0" showLastColumn="0" showRowStripes="1" showColumnStripes="0"/>
</table>
</file>

<file path=xl/tables/table2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BC710FE4-2905-48F0-94BA-41C8A61DE98A}" name="Таблица294459759110712313915517118730466278941101261421585565725886026166306466626786947117282843587388103118133148163193208193" displayName="Таблица294459759110712313915517118730466278941101261421585565725886026166306466626786947117282843587388103118133148163193208193" ref="A39:E40" totalsRowShown="0" headerRowDxfId="2118" dataDxfId="2117">
  <autoFilter ref="A39:E40" xr:uid="{A123EA08-D8D4-4987-8146-FF08418E565C}"/>
  <tableColumns count="5">
    <tableColumn id="2" xr3:uid="{2DDBD9B0-3A3A-4E21-9419-A1E119DB522B}" name="Факт" dataDxfId="2116">
      <calculatedColumnFormula>B30</calculatedColumnFormula>
    </tableColumn>
    <tableColumn id="9" xr3:uid="{A17523CB-CB4D-48C9-B8A8-4EB6CBA7BB45}" name="Оклад" dataDxfId="2115" dataCellStyle="Процентный">
      <calculatedColumnFormula>50000</calculatedColumnFormula>
    </tableColumn>
    <tableColumn id="4" xr3:uid="{243385E2-8366-41A1-967F-E6717B35EAE7}" name="Премия" dataDxfId="2114">
      <calculatedColumnFormula>A40*0.065*1</calculatedColumnFormula>
    </tableColumn>
    <tableColumn id="7" xr3:uid="{7736AA0D-D83F-4910-B0C6-62FB3EF480CC}" name="Доплата за Задачи" dataDxfId="2113">
      <calculatedColumnFormula>SUM(G160:G163)</calculatedColumnFormula>
    </tableColumn>
    <tableColumn id="6" xr3:uid="{2DEEF33F-1A28-49C8-931F-AD218E40ACEB}" name="Штрафы" dataDxfId="2112"/>
  </tableColumns>
  <tableStyleInfo name="TableStyleMedium2" showFirstColumn="0" showLastColumn="0" showRowStripes="1" showColumnStripes="0"/>
</table>
</file>

<file path=xl/tables/table2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B5304FB8-543D-42CB-B437-6AF647519F67}" name="Таблица9132738193340475461687582899682891101171241311381451521591661731801871945121926334047546168758289961031101171241311381451521591661741821902052131241361481601721922440627894110126142158174190334965819711312914516155957559160361763164766367969571194" displayName="Таблица9132738193340475461687582899682891101171241311381451521591661731801871945121926334047546168758289961031101171241311381451521591661741821902052131241361481601721922440627894110126142158174190334965819711312914516155957559160361763164766367969571194" ref="A68:H70" headerRowCount="0" totalsRowShown="0" headerRowDxfId="2111" dataDxfId="2110">
  <tableColumns count="8">
    <tableColumn id="1" xr3:uid="{6E1D991B-5E0C-413B-AB79-E05FB0821E58}" name="Февраль 2015" headerRowDxfId="2109" dataDxfId="2108" dataCellStyle="Название"/>
    <tableColumn id="2" xr3:uid="{0354DAD4-5E1F-4BB1-AC00-00B3FCE6805A}" name="Столбец1" headerRowDxfId="2107" dataDxfId="2106"/>
    <tableColumn id="3" xr3:uid="{6BE331FD-355A-4A3E-A594-766540335A0D}" name="Столбец2" headerRowDxfId="2105" dataDxfId="2104"/>
    <tableColumn id="4" xr3:uid="{FE6B79A2-0367-4ACA-ACBE-9606D6EA9F57}" name="Столбец3" headerRowDxfId="2103" dataDxfId="2102"/>
    <tableColumn id="5" xr3:uid="{3E6AB4FA-D558-4BA7-ABBF-F0CC362D397A}" name="Столбец4" headerRowDxfId="2101" dataDxfId="2100"/>
    <tableColumn id="6" xr3:uid="{EFD8416C-3F49-4E92-96EC-27374A7FE319}" name="Столбец5" headerRowDxfId="2099" dataDxfId="2098"/>
    <tableColumn id="7" xr3:uid="{110A357B-8072-4DA8-A288-0DD36D922C0F}" name="Столбец6" headerRowDxfId="2097" dataDxfId="2096"/>
    <tableColumn id="8" xr3:uid="{1A4E4388-69B7-42F8-8DF0-97DAFF482392}" name="Столбец7" headerRowDxfId="2095" dataDxfId="2094"/>
  </tableColumns>
  <tableStyleInfo name="TableStyleMedium2" showFirstColumn="0" showLastColumn="0" showRowStripes="1" showColumnStripes="0"/>
</table>
</file>

<file path=xl/tables/table2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CE04F0BD-44C6-4907-BFD4-A0C88205F0B8}" name="Таблица1529425569839711111613014215416618618345066829811413014616217821375369851011171331495605765926046186326486646806967137303045607590105120135150165195210195" displayName="Таблица1529425569839711111613014215416618618345066829811413014616217821375369851011171331495605765926046186326486646806967137303045607590105120135150165195210195" ref="A108:G114" totalsRowShown="0" headerRowDxfId="2093" dataDxfId="2092" tableBorderDxfId="2091">
  <autoFilter ref="A108:G114" xr:uid="{BD66A881-30D1-4979-8390-5888D14E5877}"/>
  <tableColumns count="7">
    <tableColumn id="1" xr3:uid="{2B2ABC11-7891-48C4-AA2D-26D338156EB8}" name="Дата" dataDxfId="2090"/>
    <tableColumn id="2" xr3:uid="{366F3A8D-3F00-4F9F-AB5C-4649F2A96A78}" name="Клиент" dataDxfId="2089"/>
    <tableColumn id="3" xr3:uid="{125DC619-8098-462E-9E78-8BC7984CAC09}" name="Менеджер" dataDxfId="2088" dataCellStyle="Обычный 2"/>
    <tableColumn id="4" xr3:uid="{1F482158-7AFD-4EC5-A588-94035724ED70}" name="Контакт в 1С" dataDxfId="2087"/>
    <tableColumn id="5" xr3:uid="{AC811C2D-D90B-4D24-A0BD-3F9CAA80D274}" name="№ сделки" dataDxfId="2086"/>
    <tableColumn id="6" xr3:uid="{793CBCB7-1373-4B9D-A751-CBF946200AFB}" name="Цель" dataDxfId="2085"/>
    <tableColumn id="7" xr3:uid="{885989C0-7BD7-4617-ADBA-FF3694B4C8AB}" name="Результат" dataDxfId="2084"/>
  </tableColumns>
  <tableStyleInfo name="TableStyleMedium2" showFirstColumn="0" showLastColumn="0" showRowStripes="1" showColumnStripes="0"/>
</table>
</file>

<file path=xl/tables/table2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5" xr:uid="{CA039CDD-9C96-4758-8BEB-333487545E62}" name="Таблица4936997167333146617691106121136151166196211196" displayName="Таблица4936997167333146617691106121136151166196211196" ref="A21:D33" totalsRowShown="0" headerRowDxfId="2083" dataDxfId="2081" headerRowBorderDxfId="2082" tableBorderDxfId="2080" totalsRowBorderDxfId="2079">
  <autoFilter ref="A21:D33" xr:uid="{8999CE3E-52FF-4AF3-AA18-1DA9A764C519}"/>
  <tableColumns count="4">
    <tableColumn id="1" xr3:uid="{E379971F-2161-427F-B3E5-1814CEA09DA5}" name="Месяц" dataDxfId="2078"/>
    <tableColumn id="2" xr3:uid="{689343F7-5C89-4894-9371-66783C739913}" name="Профит" dataDxfId="2077"/>
    <tableColumn id="3" xr3:uid="{6539A983-8B8F-4ACE-B2DF-67D5F2CA7D5E}" name="План" dataDxfId="2076"/>
    <tableColumn id="4" xr3:uid="{A5B45E1D-DC6B-4D1C-96AD-3B743F500CDD}" name="Выполнение" dataDxfId="2075">
      <calculatedColumnFormula>Таблица4936997167333146617691106121136151166196211196[[#This Row],[Профит]]/Таблица4936997167333146617691106121136151166196211196[[#This Row],[План]]</calculatedColumnFormula>
    </tableColumn>
  </tableColumns>
  <tableStyleInfo name="TableStyleMedium2" showFirstColumn="0" showLastColumn="0" showRowStripes="1" showColumnStripes="0"/>
</table>
</file>

<file path=xl/tables/table2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1" xr:uid="{757FE2F2-4EC9-481D-A5CB-7162EE9BF066}" name="Таблица11029163037445158657223303744515865727986931009223548627690104107127139151163183152947637995111127143159175183450668298114130146545561577589605619635651667683700717163247627792107122137152182197182212" displayName="Таблица11029163037445158657223303744515865727986931009223548627690104107127139151163183152947637995111127143159175183450668298114130146545561577589605619635651667683700717163247627792107122137152182197182212" ref="A6:F7" totalsRowShown="0" headerRowDxfId="2074" dataDxfId="2073">
  <tableColumns count="6">
    <tableColumn id="1" xr3:uid="{7B355F45-1389-44E3-9421-7FEF87C1CCBC}" name="Менеджер" dataDxfId="2072"/>
    <tableColumn id="2" xr3:uid="{468440BB-82DD-4A44-BEE3-D5B4B7D75656}" name="План, руб." dataDxfId="2071">
      <calculatedColumnFormula>C31</calculatedColumnFormula>
    </tableColumn>
    <tableColumn id="3" xr3:uid="{2406DDDF-4BD4-4F17-ACBB-44145992EDC0}" name="Факт, руб." dataDxfId="2070">
      <calculatedColumnFormula>B31</calculatedColumnFormula>
    </tableColumn>
    <tableColumn id="4" xr3:uid="{F7AF22A7-9BBB-44C5-B343-016117A373F0}" name="Отклонение, %" dataDxfId="2069" dataCellStyle="Процентный">
      <calculatedColumnFormula>Таблица11029163037445158657223303744515865727986931009223548627690104107127139151163183152947637995111127143159175183450668298114130146545561577589605619635651667683700717163247627792107122137152182197182212[Факт, руб.]/Таблица11029163037445158657223303744515865727986931009223548627690104107127139151163183152947637995111127143159175183450668298114130146545561577589605619635651667683700717163247627792107122137152182197182212[План, руб.]-100%</calculatedColumnFormula>
    </tableColumn>
    <tableColumn id="7" xr3:uid="{FDFE4313-E073-43F2-98C6-DA94F6598357}" name="Отклонение, РУБ" dataDxfId="2068" dataCellStyle="Процентный">
      <calculatedColumnFormula>Таблица11029163037445158657223303744515865727986931009223548627690104107127139151163183152947637995111127143159175183450668298114130146545561577589605619635651667683700717163247627792107122137152182197182212[Факт, руб.]-Таблица11029163037445158657223303744515865727986931009223548627690104107127139151163183152947637995111127143159175183450668298114130146545561577589605619635651667683700717163247627792107122137152182197182212[План, руб.]</calculatedColumnFormula>
    </tableColumn>
    <tableColumn id="5" xr3:uid="{62CE04A1-C09F-4392-8ECE-1018DE5B4E74}" name="Предыд месяц" dataDxfId="2067" dataCellStyle="Процентный">
      <calculatedColumnFormula>B30</calculatedColumnFormula>
    </tableColumn>
  </tableColumns>
  <tableStyleInfo name="TableStyleMedium2" showFirstColumn="0" showLastColumn="0" showRowStripes="1" showColumnStripes="0"/>
</table>
</file>

<file path=xl/tables/table2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2" xr:uid="{9630514B-CC50-4102-92C8-D7894DFBF0FF}" name="Таблица211301731384552596673243138455259667380879410110233649637791105109128140152164184163248648096112128144160176193551678399115131147546562578590606620636652668684701718173348637893108123138153183198183213" displayName="Таблица211301731384552596673243138455259667380879410110233649637791105109128140152164184163248648096112128144160176193551678399115131147546562578590606620636652668684701718173348637893108123138153183198183213" ref="A16:E17" totalsRowShown="0" headerRowDxfId="2066" dataDxfId="2065">
  <tableColumns count="5">
    <tableColumn id="1" xr3:uid="{E0FA0A50-965C-4CB9-A0CF-111AEB5A3911}" name="Менеджер" dataDxfId="2064"/>
    <tableColumn id="2" xr3:uid="{780D68DA-0CDB-4113-8280-25F5C6AC0481}" name="Профит ФГ 23-24" dataDxfId="2063"/>
    <tableColumn id="3" xr3:uid="{9B7C09D0-0C55-4F52-B751-8E45A3912A52}" name="Профит ФГ 24-25" dataDxfId="2062"/>
    <tableColumn id="4" xr3:uid="{FA8782B6-6686-4F3B-8FFA-34770203AB7E}" name="Профит ФГ 25-26" dataDxfId="2061" dataCellStyle="Процентный">
      <calculatedColumnFormula>B34</calculatedColumnFormula>
    </tableColumn>
    <tableColumn id="5" xr3:uid="{5481E8AA-A781-43D6-B064-7639A17AAEAA}" name="Рост накопительно, % " dataDxfId="2060">
      <calculatedColumnFormula>Таблица211301731384552596673243138455259667380879410110233649637791105109128140152164184163248648096112128144160176193551678399115131147546562578590606620636652668684701718173348637893108123138153183198183213[Профит ФГ 25-26]/Таблица211301731384552596673243138455259667380879410110233649637791105109128140152164184163248648096112128144160176193551678399115131147546562578590606620636652668684701718173348637893108123138153183198183213[Профит ФГ 24-25]</calculatedColumnFormula>
    </tableColumn>
  </tableColumns>
  <tableStyleInfo name="TableStyleMedium2" showFirstColumn="0" showLastColumn="0" showRowStripes="1" showColumnStripes="0"/>
</table>
</file>

<file path=xl/tables/table2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3" xr:uid="{23EF23CD-E959-4804-BE33-C1CC03F739A2}" name="Таблица546243318323946536067742532394653606774818895102112437506478921061101291411531651851733496581971131291451611772036526884100116132148547563579593607621637653669685702719193449647994109124139154184199184214" displayName="Таблица546243318323946536067742532394653606774818895102112437506478921061101291411531651851733496581971131291451611772036526884100116132148547563579593607621637653669685702719193449647994109124139154184199184214" ref="A45:D46" totalsRowShown="0" headerRowDxfId="2059" dataDxfId="2058">
  <autoFilter ref="A45:D46" xr:uid="{3EADDA2E-FD58-4130-8A1C-8C20137591BB}"/>
  <tableColumns count="4">
    <tableColumn id="2" xr3:uid="{47B70462-F51D-453A-A203-0788D5D25852}" name="Холдинг" dataDxfId="2057"/>
    <tableColumn id="3" xr3:uid="{A751FD69-B849-432A-909E-69AA06347AF8}" name="Сумма просроченного долга" dataDxfId="2056" dataCellStyle="Денежный"/>
    <tableColumn id="4" xr3:uid="{20576A90-0190-4070-9D62-B193B533850D}" name="Общая сумма долга" dataDxfId="2055" dataCellStyle="Денежный"/>
    <tableColumn id="5" xr3:uid="{6EECC778-D2AE-4D1E-81D4-033CE169266E}" name="% просрочки" dataDxfId="2054" dataCellStyle="Процентный">
      <calculatedColumnFormula>Таблица546243318323946536067742532394653606774818895102112437506478921061101291411531651851733496581971131291451611772036526884100116132148547563579593607621637653669685702719193449647994109124139154184199184214[[#This Row],[Сумма просроченного долга]]/Таблица546243318323946536067742532394653606774818895102112437506478921061101291411531651851733496581971131291451611772036526884100116132148547563579593607621637653669685702719193449647994109124139154184199184214[[#This Row],[Общая сумма долга]]</calculatedColumnFormula>
    </tableColumn>
  </tableColumns>
  <tableStyleInfo name="TableStyleMedium2" showFirstColumn="0" showLastColumn="0" showRowStripes="1" showColumnStripes="0"/>
</table>
</file>

<file path=xl/tables/table2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4" xr:uid="{07DF5CF6-1D43-44C2-AFE9-1EBDB7A1B87E}" name="Таблица173043567084981121171311431551671871935516783991151311471631792238547086102118134150548564580594608622638654670686703720203550658095110125140155185200185215" displayName="Таблица173043567084981121171311431551671871935516783991151311471631792238547086102118134150548564580594608622638654670686703720203550658095110125140155185200185215" ref="A109:G120" totalsRowShown="0" headerRowDxfId="2053" dataDxfId="2052" tableBorderDxfId="2051">
  <autoFilter ref="A109:G120" xr:uid="{5F2E2A5D-7666-4FD4-A50A-70ADD98392B4}"/>
  <sortState xmlns:xlrd2="http://schemas.microsoft.com/office/spreadsheetml/2017/richdata2" ref="A110:G120">
    <sortCondition ref="D109:D120"/>
  </sortState>
  <tableColumns count="7">
    <tableColumn id="1" xr3:uid="{96DC1DF9-1579-4E88-97EB-B7C762428F81}" name="Дата" dataDxfId="2050"/>
    <tableColumn id="2" xr3:uid="{3E517039-6738-4BCC-9665-8A9B6ACC2DBF}" name="Клиент" dataDxfId="2049"/>
    <tableColumn id="3" xr3:uid="{E47612A7-DF23-47A9-95DB-3967D6A0EAF2}" name="Менеджер" dataDxfId="2048" dataCellStyle="Обычный 2"/>
    <tableColumn id="4" xr3:uid="{D46A0088-F603-442A-B54C-65EB6C872C35}" name="Контакт в 1С" dataDxfId="2047"/>
    <tableColumn id="5" xr3:uid="{DD4E081A-5E30-4079-8255-5E6B366EFF5A}" name="№ сделки" dataDxfId="2046"/>
    <tableColumn id="6" xr3:uid="{BB15B442-7CD9-4B52-A3EF-AB20DD8DEE92}" name="Цель" dataDxfId="2045"/>
    <tableColumn id="7" xr3:uid="{5646FED3-CAE7-4693-99B2-1ABA48691B6E}" name="Результат" dataDxfId="2044"/>
  </tableColumns>
  <tableStyleInfo name="TableStyleMedium2" showFirstColumn="0" showLastColumn="0" showRowStripes="1" showColumnStripes="0"/>
</table>
</file>

<file path=xl/tables/table2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5" xr:uid="{98ACDEA0-AFAC-43D2-8E5A-30F5C4D801FE}" name="Таблица1931445771859911312013214415616818820365268841001161321481641802339557187103119135151549565581595609623639655671687704721213651668196111126141156186201186216" displayName="Таблица1931445771859911312013214415616818820365268841001161321481641802339557187103119135151549565581595609623639655671687704721213651668196111126141156186201186216" ref="A125:G128" totalsRowShown="0" headerRowDxfId="2043" dataDxfId="2042" tableBorderDxfId="2041">
  <autoFilter ref="A125:G128" xr:uid="{CC17A23E-B8E4-4CBF-BC3B-16FF0249D515}"/>
  <tableColumns count="7">
    <tableColumn id="1" xr3:uid="{6D1411D9-504E-40FB-82E8-0CBD19B27615}" name="Цель" dataDxfId="2040" dataCellStyle="Обычный 2"/>
    <tableColumn id="2" xr3:uid="{FAA13B24-5FA8-49D5-9181-60F4AA5F2143}" name="Необходимый результат" dataDxfId="2039" dataCellStyle="Обычный 2"/>
    <tableColumn id="3" xr3:uid="{7B6DF905-2103-4A31-B44B-0A02F2E940A5}" name="Выполнено да/нет" dataDxfId="2038" dataCellStyle="Обычный"/>
    <tableColumn id="4" xr3:uid="{2DAF9DF2-6686-4DA9-AD38-708AAE5BCD19}" name="Комментарий по выполненной задаче" dataDxfId="2037" dataCellStyle="Обычный 2"/>
    <tableColumn id="5" xr3:uid="{F6C0A89C-72D0-476A-8F1E-6A829A810F3B}" name="Мотивация" dataDxfId="2036"/>
    <tableColumn id="6" xr3:uid="{E02814C2-C3D7-4F33-97D2-6ED24A349FA3}" name="Менеджер" dataDxfId="2035"/>
    <tableColumn id="7" xr3:uid="{2A5B0714-79B7-4575-8D9A-1CEE00F92A54}" name="К оплате" dataDxfId="2034"/>
  </tableColumns>
  <tableStyleInfo name="TableStyleMedium2" showFirstColumn="0" showLastColumn="0" showRowStripes="1" showColumnStripes="0"/>
</table>
</file>

<file path=xl/tables/table2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6" xr:uid="{889DF6AC-4592-4D85-92AC-8A446214FF3E}" name="Таблица20324558728610011412113314515716918921375369851011171331491651812440567288104120136152550566582596610624640656672688705722223752678297112127142157187202187217" displayName="Таблица20324558728610011412113314515716918921375369851011171331491651812440567288104120136152550566582596610624640656672688705722223752678297112127142157187202187217" ref="A132:G136" totalsRowShown="0" headerRowDxfId="2033" dataDxfId="2032" tableBorderDxfId="2031">
  <autoFilter ref="A132:G136" xr:uid="{16803243-7F25-4AF5-AE4A-7C5E11F25A09}"/>
  <tableColumns count="7">
    <tableColumn id="1" xr3:uid="{399236A8-9681-4C3A-9A5F-6297AC1D50A9}" name="Цель" dataDxfId="2030"/>
    <tableColumn id="2" xr3:uid="{8E0D391A-9BC8-409C-93F9-7C7F45F383BF}" name="Необходимый результат" dataDxfId="2029"/>
    <tableColumn id="3" xr3:uid="{03565E0D-9ADE-4A55-B242-26659A4C7AC7}" name="Выполнено да/нет" dataDxfId="2028"/>
    <tableColumn id="4" xr3:uid="{465BF5DE-9B77-4094-9C0B-512801767770}" name="Комментарий по выполненной задаче" dataDxfId="2027"/>
    <tableColumn id="5" xr3:uid="{F472E8B7-A1E7-45F4-875F-539AF14284E8}" name="Мотивация" dataDxfId="2026"/>
    <tableColumn id="6" xr3:uid="{440C653A-DA50-46DE-BCA8-4307DBE3DAE5}" name="Менеджер" dataDxfId="2025"/>
    <tableColumn id="7" xr3:uid="{C66AEA87-BE04-4387-9E54-FB3BDB31A20D}" name="К оплате" dataDxfId="2024"/>
  </tableColumns>
  <tableStyleInfo name="TableStyleMedium2" showFirstColumn="0" showLastColumn="0" showRowStripes="1" showColumnStripes="0"/>
</table>
</file>

<file path=xl/tables/table2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7" xr:uid="{B360968C-1F8B-4CE7-87FE-D14BA1CA37CA}" name="Таблица16334659738710111512213414615817019022385470861021181341501661822541577389105121137153551567583597611625641657673689706723233853688398113128143158188203188218" displayName="Таблица16334659738710111512213414615817019022385470861021181341501661822541577389105121137153551567583597611625641657673689706723233853688398113128143158188203188218" ref="A52:F61" totalsRowShown="0" headerRowDxfId="2023" dataDxfId="2022" totalsRowDxfId="2020" tableBorderDxfId="2021" totalsRowBorderDxfId="2019">
  <autoFilter ref="A52:F61" xr:uid="{9246B9BD-73A5-4351-9AA2-07EE59ED4E9D}"/>
  <sortState xmlns:xlrd2="http://schemas.microsoft.com/office/spreadsheetml/2017/richdata2" ref="A53:F61">
    <sortCondition descending="1" ref="D52:D61"/>
  </sortState>
  <tableColumns count="6">
    <tableColumn id="1" xr3:uid="{05BD8094-3030-4959-BE9A-5FB2F610E39B}" name="Клиент" dataDxfId="2018" totalsRowDxfId="2017"/>
    <tableColumn id="2" xr3:uid="{414EE977-7C8B-4EB8-AF8C-49551D6BB649}" name="Оборот" dataDxfId="2016" totalsRowDxfId="2015"/>
    <tableColumn id="3" xr3:uid="{1EC2A0CF-24DC-41E7-A3A6-4FB2D6602C59}" name="Профит " dataDxfId="2014" totalsRowDxfId="2013"/>
    <tableColumn id="4" xr3:uid="{3CC191F3-DE86-4C34-AD5F-A3A171A40E3F}" name="%" dataDxfId="2012" totalsRowDxfId="2011"/>
    <tableColumn id="5" xr3:uid="{2EF24C54-7B1A-48AB-A083-72DDE9F3215B}" name="Менеджер" dataDxfId="2010" totalsRowDxfId="2009"/>
    <tableColumn id="6" xr3:uid="{4900CD54-0E87-48EE-A4B9-B27D52737F37}" name="Комментарий" dataDxfId="2008" totalsRowDxfId="2007" dataCellStyle="Финансовый"/>
  </tableColumns>
  <tableStyleInfo name="TableStyleLight9" showFirstColumn="0" showLastColumn="0" showRowStripes="1" showColumnStripes="0"/>
</table>
</file>

<file path=xl/tables/table2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8" xr:uid="{481F94AC-F196-4FB4-BA42-09ED003BA680}" name="Таблица4211720344148556269768390978390111118125132139146153160167174181188195613202734414855626976839097104111118125132139146153160167175183198206214123135147159171191233955718710311913515116718326425874901061221381545525685845986126266426586746907077219" displayName="Таблица4211720344148556269768390978390111118125132139146153160167174181188195613202734414855626976839097104111118125132139146153160167175183198206214123135147159171191233955718710311913515116718326425874901061221381545525685845986126266426586746907077219" ref="A73:H86" totalsRowShown="0" headerRowDxfId="2006" dataDxfId="2005" dataCellStyle="Обычный 2">
  <autoFilter ref="A73:H86" xr:uid="{4ACBF2F4-2982-4E59-8F46-ECCA5C6BC7F5}"/>
  <sortState xmlns:xlrd2="http://schemas.microsoft.com/office/spreadsheetml/2017/richdata2" ref="A74:H86">
    <sortCondition descending="1" ref="G73:G86"/>
  </sortState>
  <tableColumns count="8">
    <tableColumn id="1" xr3:uid="{9BD2A835-DEA3-481E-A1AB-48F92AF9ADFE}" name="Номер" dataDxfId="2004" dataCellStyle="Обычный 2"/>
    <tableColumn id="3" xr3:uid="{00F265B1-4097-486D-8E63-10D5AB83D278}" name="Клиент" dataDxfId="2003" dataCellStyle="Обычный 2"/>
    <tableColumn id="4" xr3:uid="{EC31BE67-5B75-4FCA-9D8D-EEE2E7BD4158}" name="Менеджер" dataDxfId="2002" dataCellStyle="Обычный 2"/>
    <tableColumn id="5" xr3:uid="{E337456C-9176-4464-902E-3A12BA022DFC}" name="Проект" dataDxfId="2001" dataCellStyle="Обычный 2"/>
    <tableColumn id="6" xr3:uid="{097EDA10-D1F2-41E6-8A21-2C90F3BEDA29}" name="Краткое описание проекта" dataDxfId="2000" dataCellStyle="Обычный 2"/>
    <tableColumn id="7" xr3:uid="{85BD4ED7-7F71-4C9F-9682-90079C64C0EC}" name="Дата завершения сделки" dataDxfId="1999" dataCellStyle="Обычный 2"/>
    <tableColumn id="8" xr3:uid="{13A94F39-0A68-41EA-899A-73DE49AAB22D}" name="Сумма, тыс. руб." dataDxfId="1998" dataCellStyle="Обычный"/>
    <tableColumn id="2" xr3:uid="{3A142652-0620-4988-B1FA-53287E1F89F2}" name="Статус" dataDxfId="1997"/>
  </tableColumns>
  <tableStyleInfo name="TableStyleMedium2" showFirstColumn="0" showLastColumn="0" showRowStripes="1" showColumnStripes="0"/>
</table>
</file>

<file path=xl/tables/table2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9" xr:uid="{2EB2F621-D52F-44C6-B589-31437D3291EF}" name="Таблица9132738193340475461687582899682891101171241311381451521591661731801871945121926334047546168758289961031101171241311381451521591661741821902052131191251371491611731932541567288104120136152168184274359759110712313915555356958559961362764365967569220" displayName="Таблица9132738193340475461687582899682891101171241311381451521591661731801871945121926334047546168758289961031101171241311381451521591661741821902052131191251371491611731932541567288104120136152168184274359759110712313915555356958559961362764365967569220" ref="A67:H68" headerRowCount="0" totalsRowShown="0" headerRowDxfId="1996" dataDxfId="1995">
  <tableColumns count="8">
    <tableColumn id="1" xr3:uid="{B08FFF6B-C1FB-4523-B76B-01FE3120F7B2}" name="Февраль 2015" headerRowDxfId="1994" dataDxfId="1993" dataCellStyle="Название"/>
    <tableColumn id="2" xr3:uid="{D19408BF-9A4C-4348-90DB-0FBC5527BBBA}" name="Столбец1" headerRowDxfId="1992" dataDxfId="1991"/>
    <tableColumn id="3" xr3:uid="{E713C245-1C12-475F-BECF-002666550FFC}" name="Столбец2" headerRowDxfId="1990" dataDxfId="1989"/>
    <tableColumn id="4" xr3:uid="{586699D8-0EF7-452D-BF93-F3249536A4AF}" name="Столбец3" headerRowDxfId="1988" dataDxfId="1987"/>
    <tableColumn id="5" xr3:uid="{37A65958-5EA3-498B-8614-30A90490CE27}" name="Столбец4" headerRowDxfId="1986" dataDxfId="1985"/>
    <tableColumn id="6" xr3:uid="{0164D7D8-4200-4183-AE86-0E19DDBF690D}" name="Столбец5" headerRowDxfId="1984" dataDxfId="1983"/>
    <tableColumn id="7" xr3:uid="{CDFC98E3-D332-478E-B8EE-4EE4E4015407}" name="Столбец6" headerRowDxfId="1982" dataDxfId="1981"/>
    <tableColumn id="8" xr3:uid="{6BA6969E-0AC9-42F4-A902-2DD432E7CCAD}" name="Столбец7" headerRowDxfId="1980" dataDxfId="1979"/>
  </tableColumns>
  <tableStyleInfo name="TableStyleMedium2" showFirstColumn="0" showLastColumn="0" showRowStripes="1" showColumnStripes="0"/>
</table>
</file>

<file path=xl/tables/table2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0" xr:uid="{C1D52AEC-BB62-44EB-A5AA-115C02895859}" name="Таблица125138150162174194264257738910512113715316918528446076921081241401565545705866006146286446606766927097262641567186101116131146161191206191221" displayName="Таблица125138150162174194264257738910512113715316918528446076921081241401565545705866006146286446606766927097262641567186101116131146161191206191221" ref="A90:H98" totalsRowShown="0" headerRowDxfId="1978" dataDxfId="1977">
  <autoFilter ref="A90:H98" xr:uid="{0F3DFAA2-5FF8-417D-8496-A5C766071E19}"/>
  <sortState xmlns:xlrd2="http://schemas.microsoft.com/office/spreadsheetml/2017/richdata2" ref="A91:H98">
    <sortCondition descending="1" ref="G90:G98"/>
  </sortState>
  <tableColumns count="8">
    <tableColumn id="1" xr3:uid="{E7D25B35-BF75-4857-BD7D-40304AD9EF7A}" name="Номер" dataDxfId="1976"/>
    <tableColumn id="2" xr3:uid="{FD456F55-7FBF-41D9-B9A7-0C0491895E9C}" name="Клиент" dataDxfId="1975"/>
    <tableColumn id="3" xr3:uid="{828C5E41-2C99-4044-9D23-84B3EC230DF5}" name="Менеджер" dataDxfId="1974" dataCellStyle="Обычный 2"/>
    <tableColumn id="4" xr3:uid="{2F57579E-8BF8-4E70-B01F-6D5052531B5C}" name="Проект" dataDxfId="1973"/>
    <tableColumn id="5" xr3:uid="{ADB92FFA-E85B-4299-AF96-FF732EC53655}" name="Краткое описание проекта" dataDxfId="1972"/>
    <tableColumn id="6" xr3:uid="{98469257-A9BD-44EF-968B-6C9039710344}" name="Дата завершения сделки" dataDxfId="1971"/>
    <tableColumn id="7" xr3:uid="{FF38E5B4-426A-4A38-9DD9-5B298B9BC480}" name="Сумма" dataDxfId="1970"/>
    <tableColumn id="8" xr3:uid="{E5FB3C86-0F46-4BB5-9578-EB7FAE402DF6}" name="Статус" dataDxfId="1969"/>
  </tableColumns>
  <tableStyleInfo name="TableStyleMedium2" showFirstColumn="0" showLastColumn="0" showRowStripes="1" showColumnStripes="0"/>
</table>
</file>

<file path=xl/tables/table2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1" xr:uid="{82548508-A648-471A-8FE9-D005F7FDD123}" name="Таблица175195274358749010612213815417018629456177931091251411575555715876016156296456616776937107272742577287102117132147162192207192222" displayName="Таблица175195274358749010612213815417018629456177931091251411575555715876016156296456616776937107272742577287102117132147162192207192222" ref="A11:E12" totalsRowShown="0" headerRowDxfId="1968" dataDxfId="1967" tableBorderDxfId="1966">
  <tableColumns count="5">
    <tableColumn id="1" xr3:uid="{B1F66421-9AA8-4D70-AACD-7DF31F1A0D8E}" name="Менеджер" dataDxfId="1965"/>
    <tableColumn id="2" xr3:uid="{1DC12BB2-96AE-4D28-A834-FAA3B2AEA134}" name="План с НАЧАЛА ФГ, руб." dataDxfId="1964">
      <calculatedColumnFormula>SUM(C22:C31)</calculatedColumnFormula>
    </tableColumn>
    <tableColumn id="3" xr3:uid="{130AD302-B7C5-4305-B05E-A80D05BFE455}" name="Факт с НАЧАЛА ФГ, руб." dataDxfId="1963">
      <calculatedColumnFormula>B34</calculatedColumnFormula>
    </tableColumn>
    <tableColumn id="4" xr3:uid="{05987A7C-1967-4F3C-B0A8-D1A815D33BB6}" name="Отклонение, %" dataDxfId="1962">
      <calculatedColumnFormula>C12/B12-100%</calculatedColumnFormula>
    </tableColumn>
    <tableColumn id="5" xr3:uid="{1686F467-7A0F-4D8D-BF75-93341AEE413D}" name="Отклонение, РУБ" dataDxfId="1961">
      <calculatedColumnFormula>C12-B12</calculatedColumnFormula>
    </tableColumn>
  </tableColumns>
  <tableStyleInfo name="TableStyleMedium2" showFirstColumn="0" showLastColumn="0" showRowStripes="1" showColumnStripes="0"/>
</table>
</file>

<file path=xl/tables/table2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2" xr:uid="{BB9975FA-4FC0-458B-98CE-A1C135C94DA3}" name="Таблица294459759110712313915517118730466278941101261421585565725886026166306466626786947117282843587388103118133148163193208193223" displayName="Таблица294459759110712313915517118730466278941101261421585565725886026166306466626786947117282843587388103118133148163193208193223" ref="A39:E40" totalsRowShown="0" headerRowDxfId="1960" dataDxfId="1959">
  <autoFilter ref="A39:E40" xr:uid="{A123EA08-D8D4-4987-8146-FF08418E565C}"/>
  <tableColumns count="5">
    <tableColumn id="2" xr3:uid="{A3E29EC4-483E-4707-9E72-F64F8527F841}" name="Факт" dataDxfId="1958">
      <calculatedColumnFormula>B31</calculatedColumnFormula>
    </tableColumn>
    <tableColumn id="9" xr3:uid="{400516F8-F997-438A-A9A0-B53BD3218B47}" name="Оклад" dataDxfId="1957" dataCellStyle="Процентный">
      <calculatedColumnFormula>50000</calculatedColumnFormula>
    </tableColumn>
    <tableColumn id="4" xr3:uid="{0A220233-708D-4BEA-A62C-7FFFD878F20A}" name="Премия" dataDxfId="1956">
      <calculatedColumnFormula>A40*0.07*1</calculatedColumnFormula>
    </tableColumn>
    <tableColumn id="7" xr3:uid="{823FBF70-CD85-42EF-AC6B-F04BC37BC5DB}" name="Доплата за Задачи" dataDxfId="1955">
      <calculatedColumnFormula>SUM(G126:G128)</calculatedColumnFormula>
    </tableColumn>
    <tableColumn id="6" xr3:uid="{C4CCDA00-3BDC-4609-B1D4-C018188818A0}" name="Штрафы" dataDxfId="1954"/>
  </tableColumns>
  <tableStyleInfo name="TableStyleMedium2" showFirstColumn="0" showLastColumn="0" showRowStripes="1" showColumnStripes="0"/>
</table>
</file>

<file path=xl/tables/table2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3" xr:uid="{56424BF2-C9C1-488F-9F06-3BCBF6FB330F}" name="Таблица9132738193340475461687582899682891101171241311381451521591661731801871945121926334047546168758289961031101171241311381451521591661741821902052131241361481601721922440627894110126142158174190334965819711312914516155957559160361763164766367969571224" displayName="Таблица9132738193340475461687582899682891101171241311381451521591661731801871945121926334047546168758289961031101171241311381451521591661741821902052131241361481601721922440627894110126142158174190334965819711312914516155957559160361763164766367969571224" ref="A64:H66" headerRowCount="0" totalsRowShown="0" headerRowDxfId="1953" dataDxfId="1952">
  <tableColumns count="8">
    <tableColumn id="1" xr3:uid="{ECCBC6B4-C846-4223-8182-078E1624DA91}" name="Февраль 2015" headerRowDxfId="1951" dataDxfId="1950" dataCellStyle="Название"/>
    <tableColumn id="2" xr3:uid="{B61D7782-F7F4-4F87-8259-673D0BAFC694}" name="Столбец1" headerRowDxfId="1949" dataDxfId="1948"/>
    <tableColumn id="3" xr3:uid="{92B40ED9-3F8E-434B-9AF5-CCAB1B00DDC4}" name="Столбец2" headerRowDxfId="1947" dataDxfId="1946"/>
    <tableColumn id="4" xr3:uid="{91690740-E2D2-4B2A-B2F5-37B458B8C63D}" name="Столбец3" headerRowDxfId="1945" dataDxfId="1944"/>
    <tableColumn id="5" xr3:uid="{FE854ADE-6C5F-4783-AEAE-57B71B58D99C}" name="Столбец4" headerRowDxfId="1943" dataDxfId="1942"/>
    <tableColumn id="6" xr3:uid="{CB5AC9FD-BAD6-4CBB-B24D-C7E665E1E9BD}" name="Столбец5" headerRowDxfId="1941" dataDxfId="1940"/>
    <tableColumn id="7" xr3:uid="{152768B9-03A0-406D-A406-CE2455DC0BA8}" name="Столбец6" headerRowDxfId="1939" dataDxfId="1938"/>
    <tableColumn id="8" xr3:uid="{E32EE287-396C-417E-81A9-0A6896E9DFE2}" name="Столбец7" headerRowDxfId="1937" dataDxfId="1936"/>
  </tableColumns>
  <tableStyleInfo name="TableStyleMedium2" showFirstColumn="0" showLastColumn="0" showRowStripes="1" showColumnStripes="0"/>
</table>
</file>

<file path=xl/tables/table2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4" xr:uid="{DADFF096-1AFC-4C31-A8ED-F108470141A3}" name="Таблица1529425569839711111613014215416618618345066829811413014616217821375369851011171331495605765926046186326486646806967137303045607590105120135150165195210195225" displayName="Таблица1529425569839711111613014215416618618345066829811413014616217821375369851011171331495605765926046186326486646806967137303045607590105120135150165195210195225" ref="A103:G105" totalsRowShown="0" headerRowDxfId="1935" dataDxfId="1934" tableBorderDxfId="1933">
  <autoFilter ref="A103:G105" xr:uid="{BD66A881-30D1-4979-8390-5888D14E5877}"/>
  <tableColumns count="7">
    <tableColumn id="1" xr3:uid="{7F938DF9-6CCC-4AFA-BF6C-D5102BA91D3F}" name="Дата" dataDxfId="1932"/>
    <tableColumn id="2" xr3:uid="{8A4BFAB8-2957-4F89-B419-DE9BB7A77379}" name="Клиент" dataDxfId="1931"/>
    <tableColumn id="3" xr3:uid="{0764CC97-91C5-406A-943D-4DFED8CEA008}" name="Менеджер" dataDxfId="1930" dataCellStyle="Обычный 2"/>
    <tableColumn id="4" xr3:uid="{56C29046-4389-4F23-94AA-8AD207709395}" name="Контакт в 1С" dataDxfId="1929"/>
    <tableColumn id="5" xr3:uid="{BDC5D583-E9C4-4123-BADD-7FB216D47307}" name="№ сделки" dataDxfId="1928"/>
    <tableColumn id="6" xr3:uid="{53778BF0-78E5-46F7-AFB4-8B5C4002B9D1}" name="Цель" dataDxfId="1927"/>
    <tableColumn id="7" xr3:uid="{583DB236-C0A8-46AC-A0B2-9C98763D4F89}" name="Результат" dataDxfId="1926"/>
  </tableColumns>
  <tableStyleInfo name="TableStyleMedium2" showFirstColumn="0" showLastColumn="0" showRowStripes="1" showColumnStripes="0"/>
</table>
</file>

<file path=xl/tables/table2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5" xr:uid="{26B84FD4-F6DE-4C69-B383-33595720989B}" name="Таблица4936997167333146617691106121136151166196211196226" displayName="Таблица4936997167333146617691106121136151166196211196226" ref="A21:D33" totalsRowShown="0" headerRowDxfId="1925" dataDxfId="1923" headerRowBorderDxfId="1924" tableBorderDxfId="1922" totalsRowBorderDxfId="1921">
  <autoFilter ref="A21:D33" xr:uid="{8999CE3E-52FF-4AF3-AA18-1DA9A764C519}"/>
  <tableColumns count="4">
    <tableColumn id="1" xr3:uid="{5CFBEFA8-2378-45F5-B624-9438C3807189}" name="Месяц" dataDxfId="1920"/>
    <tableColumn id="2" xr3:uid="{B943D524-DE3F-4830-9CE2-42DDA8980674}" name="Профит" dataDxfId="1919"/>
    <tableColumn id="3" xr3:uid="{D3DB0E43-0D6B-42F3-9993-91F23D02D8DB}" name="План" dataDxfId="1918"/>
    <tableColumn id="4" xr3:uid="{FF8CF393-9ED7-4C9B-8093-4B74EEB3CC57}" name="Выполнение" dataDxfId="1917">
      <calculatedColumnFormula>Таблица4936997167333146617691106121136151166196211196226[[#This Row],[Профит]]/Таблица4936997167333146617691106121136151166196211196226[[#This Row],[План]]</calculatedColumnFormula>
    </tableColumn>
  </tableColumns>
  <tableStyleInfo name="TableStyleMedium2" showFirstColumn="0" showLastColumn="0" showRowStripes="1" showColumnStripes="0"/>
</table>
</file>

<file path=xl/tables/table2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6" xr:uid="{07D29210-ADE9-41AF-842F-D2879A69C833}" name="Таблица11029163037445158657223303744515865727986931009223548627690104107127139151163183152947637995111127143159175183450668298114130146545561577589605619635651667683700717163247627792107122137152182197182212227" displayName="Таблица11029163037445158657223303744515865727986931009223548627690104107127139151163183152947637995111127143159175183450668298114130146545561577589605619635651667683700717163247627792107122137152182197182212227" ref="A6:F7" totalsRowShown="0" headerRowDxfId="1916" dataDxfId="1915">
  <tableColumns count="6">
    <tableColumn id="1" xr3:uid="{98798591-651D-4901-B46B-734002226D51}" name="Менеджер" dataDxfId="1914"/>
    <tableColumn id="2" xr3:uid="{1B60C4B0-661A-4927-9E17-F2C9E5696FFA}" name="План, руб." dataDxfId="1913">
      <calculatedColumnFormula>C32</calculatedColumnFormula>
    </tableColumn>
    <tableColumn id="3" xr3:uid="{69E7766B-8534-4ACF-BEAA-E5D21616A519}" name="Факт, руб." dataDxfId="1912">
      <calculatedColumnFormula>B32</calculatedColumnFormula>
    </tableColumn>
    <tableColumn id="4" xr3:uid="{186DF356-B780-4B42-80A5-0A12DF3711A8}" name="Отклонение, %" dataDxfId="1911" dataCellStyle="Процентный">
      <calculatedColumnFormula>Таблица11029163037445158657223303744515865727986931009223548627690104107127139151163183152947637995111127143159175183450668298114130146545561577589605619635651667683700717163247627792107122137152182197182212227[Факт, руб.]/Таблица11029163037445158657223303744515865727986931009223548627690104107127139151163183152947637995111127143159175183450668298114130146545561577589605619635651667683700717163247627792107122137152182197182212227[План, руб.]-100%</calculatedColumnFormula>
    </tableColumn>
    <tableColumn id="7" xr3:uid="{E1255266-79EB-4853-8A6D-1A80ADE8A46D}" name="Отклонение, РУБ" dataDxfId="1910" dataCellStyle="Процентный">
      <calculatedColumnFormula>Таблица11029163037445158657223303744515865727986931009223548627690104107127139151163183152947637995111127143159175183450668298114130146545561577589605619635651667683700717163247627792107122137152182197182212227[Факт, руб.]-Таблица11029163037445158657223303744515865727986931009223548627690104107127139151163183152947637995111127143159175183450668298114130146545561577589605619635651667683700717163247627792107122137152182197182212227[План, руб.]</calculatedColumnFormula>
    </tableColumn>
    <tableColumn id="5" xr3:uid="{E7FEF28C-871A-4B52-8928-D07036A44380}" name="Предыд месяц" dataDxfId="1909" dataCellStyle="Процентный">
      <calculatedColumnFormula>B31</calculatedColumnFormula>
    </tableColumn>
  </tableColumns>
  <tableStyleInfo name="TableStyleMedium2" showFirstColumn="0" showLastColumn="0" showRowStripes="1" showColumnStripes="0"/>
</table>
</file>

<file path=xl/tables/table2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7" xr:uid="{5FA37E2A-15CB-4FE4-A46D-001E2FEB87EF}" name="Таблица211301731384552596673243138455259667380879410110233649637791105109128140152164184163248648096112128144160176193551678399115131147546562578590606620636652668684701718173348637893108123138153183198183213228" displayName="Таблица211301731384552596673243138455259667380879410110233649637791105109128140152164184163248648096112128144160176193551678399115131147546562578590606620636652668684701718173348637893108123138153183198183213228" ref="A16:E17" totalsRowShown="0" headerRowDxfId="1908" dataDxfId="1907">
  <tableColumns count="5">
    <tableColumn id="1" xr3:uid="{0A689F6E-8A27-415A-B937-0916EC6AC7E1}" name="Менеджер" dataDxfId="1906"/>
    <tableColumn id="2" xr3:uid="{325CA568-83BD-4A0E-94A1-27D67A2DAF56}" name="Профит ФГ 23-24" dataDxfId="1905"/>
    <tableColumn id="3" xr3:uid="{990F0122-E73C-4C46-9408-FCBF5B680C29}" name="Профит ФГ 24-25" dataDxfId="1904"/>
    <tableColumn id="4" xr3:uid="{DC06758C-466A-494B-8A36-D0D04B70F047}" name="Профит ФГ 25-26" dataDxfId="1903" dataCellStyle="Процентный">
      <calculatedColumnFormula>B34</calculatedColumnFormula>
    </tableColumn>
    <tableColumn id="5" xr3:uid="{A8F0DF80-B112-4117-88B4-BC335B766720}" name="Рост накопительно, % " dataDxfId="1902">
      <calculatedColumnFormula>Таблица211301731384552596673243138455259667380879410110233649637791105109128140152164184163248648096112128144160176193551678399115131147546562578590606620636652668684701718173348637893108123138153183198183213228[Профит ФГ 25-26]/Таблица211301731384552596673243138455259667380879410110233649637791105109128140152164184163248648096112128144160176193551678399115131147546562578590606620636652668684701718173348637893108123138153183198183213228[Профит ФГ 24-25]</calculatedColumnFormula>
    </tableColumn>
  </tableColumns>
  <tableStyleInfo name="TableStyleMedium2" showFirstColumn="0" showLastColumn="0" showRowStripes="1" showColumnStripes="0"/>
</table>
</file>

<file path=xl/tables/table2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8" xr:uid="{D5A3580D-47D9-4585-847B-59B3E17E7506}" name="Таблица546243318323946536067742532394653606774818895102112437506478921061101291411531651851733496581971131291451611772036526884100116132148547563579593607621637653669685702719193449647994109124139154184199184214229" displayName="Таблица546243318323946536067742532394653606774818895102112437506478921061101291411531651851733496581971131291451611772036526884100116132148547563579593607621637653669685702719193449647994109124139154184199184214229" ref="A45:D50" totalsRowShown="0" headerRowDxfId="1901" dataDxfId="1900">
  <autoFilter ref="A45:D50" xr:uid="{3EADDA2E-FD58-4130-8A1C-8C20137591BB}"/>
  <tableColumns count="4">
    <tableColumn id="2" xr3:uid="{6B71AF02-01EE-4215-97BA-3CB6F00EFCBE}" name="Холдинг" dataDxfId="1899"/>
    <tableColumn id="3" xr3:uid="{10B3B89A-0324-410B-9D4B-5D56DD4FDFCD}" name="Сумма просроченного долга" dataDxfId="1898" dataCellStyle="Денежный"/>
    <tableColumn id="4" xr3:uid="{2C432001-F9A4-43C8-A7CC-6D3D8C68F626}" name="Общая сумма долга" dataDxfId="1897" dataCellStyle="Денежный"/>
    <tableColumn id="5" xr3:uid="{01419389-839A-4181-837C-C878FE8CBDFF}" name="% просрочки" dataDxfId="1896" dataCellStyle="Процентный">
      <calculatedColumnFormula>Таблица546243318323946536067742532394653606774818895102112437506478921061101291411531651851733496581971131291451611772036526884100116132148547563579593607621637653669685702719193449647994109124139154184199184214229[[#This Row],[Сумма просроченного долга]]/Таблица546243318323946536067742532394653606774818895102112437506478921061101291411531651851733496581971131291451611772036526884100116132148547563579593607621637653669685702719193449647994109124139154184199184214229[[#This Row],[Общая сумма долга]]</calculatedColumnFormula>
    </tableColumn>
  </tableColumns>
  <tableStyleInfo name="TableStyleMedium2" showFirstColumn="0" showLastColumn="0" showRowStripes="1" showColumnStripes="0"/>
</table>
</file>

<file path=xl/tables/table2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9" xr:uid="{E1A87C6B-512D-4EF4-80ED-C6AB51E3DDD6}" name="Таблица173043567084981121171311431551671871935516783991151311471631792238547086102118134150548564580594608622638654670686703720203550658095110125140155185200185215230" displayName="Таблица173043567084981121171311431551671871935516783991151311471631792238547086102118134150548564580594608622638654670686703720203550658095110125140155185200185215230" ref="A148:G150" totalsRowShown="0" headerRowDxfId="1895" dataDxfId="1894" tableBorderDxfId="1893">
  <autoFilter ref="A148:G150" xr:uid="{5F2E2A5D-7666-4FD4-A50A-70ADD98392B4}"/>
  <sortState xmlns:xlrd2="http://schemas.microsoft.com/office/spreadsheetml/2017/richdata2" ref="A149:G150">
    <sortCondition ref="D148:D150"/>
  </sortState>
  <tableColumns count="7">
    <tableColumn id="1" xr3:uid="{0D0985F3-71C7-4C5C-97BE-C20A7F8C5E5F}" name="Дата" dataDxfId="1892"/>
    <tableColumn id="2" xr3:uid="{A977566F-C2D4-4C2B-BAC6-ED1816BF1F4E}" name="Клиент" dataDxfId="1891"/>
    <tableColumn id="3" xr3:uid="{C880AED5-720B-4C48-A21C-C4EED3F670A7}" name="Менеджер" dataDxfId="1890" dataCellStyle="Обычный 2"/>
    <tableColumn id="4" xr3:uid="{320EC442-7664-490F-9B0F-12CF2B57EBE8}" name="Контакт в 1С" dataDxfId="1889"/>
    <tableColumn id="5" xr3:uid="{762032C2-2F37-4D8E-9664-4D371E48AB92}" name="№ сделки" dataDxfId="1888"/>
    <tableColumn id="6" xr3:uid="{D9ECAE7D-40BA-4994-8F0B-E2599B6DE5E4}" name="Цель" dataDxfId="1887"/>
    <tableColumn id="7" xr3:uid="{3077EC9E-66AF-4F15-A816-41C85DCBE42A}" name="Результат" dataDxfId="1886"/>
  </tableColumns>
  <tableStyleInfo name="TableStyleMedium2" showFirstColumn="0" showLastColumn="0" showRowStripes="1" showColumnStripes="0"/>
</table>
</file>

<file path=xl/tables/table2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0" xr:uid="{1ACE627B-1092-44F6-9784-463E36C7910C}" name="Таблица1931445771859911312013214415616818820365268841001161321481641802339557187103119135151549565581595609623639655671687704721213651668196111126141156186201186216231" displayName="Таблица1931445771859911312013214415616818820365268841001161321481641802339557187103119135151549565581595609623639655671687704721213651668196111126141156186201186216231" ref="A155:G157" totalsRowShown="0" headerRowDxfId="1885" dataDxfId="1884" tableBorderDxfId="1883">
  <autoFilter ref="A155:G157" xr:uid="{CC17A23E-B8E4-4CBF-BC3B-16FF0249D515}"/>
  <tableColumns count="7">
    <tableColumn id="1" xr3:uid="{852EA779-359E-484E-B3FD-807148482522}" name="Цель" dataDxfId="1882" dataCellStyle="Обычный 2"/>
    <tableColumn id="2" xr3:uid="{2A0D1F9D-BA6F-476A-86B0-0D0B2121C477}" name="Необходимый результат" dataDxfId="1881" dataCellStyle="Обычный 2"/>
    <tableColumn id="3" xr3:uid="{27B0E11F-5361-4CE5-82B9-089A0BCF223D}" name="Выполнено да/нет" dataDxfId="1880" dataCellStyle="Обычный"/>
    <tableColumn id="4" xr3:uid="{C592E117-65F8-4EA7-99DB-5A7506FAE8E3}" name="Комментарий по выполненной задаче" dataDxfId="1879" dataCellStyle="Обычный 2"/>
    <tableColumn id="5" xr3:uid="{AE04309D-0F9B-4E8A-B8A3-20BF5813C303}" name="Мотивация" dataDxfId="1878"/>
    <tableColumn id="6" xr3:uid="{9FA6FC06-75BD-4263-91C3-5C082E471FA3}" name="Менеджер" dataDxfId="1877"/>
    <tableColumn id="7" xr3:uid="{21C463AD-E97D-43A8-AC44-402938016F26}" name="К оплате" dataDxfId="1876"/>
  </tableColumns>
  <tableStyleInfo name="TableStyleMedium2" showFirstColumn="0" showLastColumn="0" showRowStripes="1" showColumnStripes="0"/>
</table>
</file>

<file path=xl/tables/table2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1" xr:uid="{1575B841-6C0F-4411-A611-4E1A8CC43B21}" name="Таблица20324558728610011412113314515716918921375369851011171331491651812440567288104120136152550566582596610624640656672688705722223752678297112127142157187202187217232" displayName="Таблица20324558728610011412113314515716918921375369851011171331491651812440567288104120136152550566582596610624640656672688705722223752678297112127142157187202187217232" ref="A161:G164" totalsRowShown="0" headerRowDxfId="1875" dataDxfId="1874" tableBorderDxfId="1873">
  <autoFilter ref="A161:G164" xr:uid="{16803243-7F25-4AF5-AE4A-7C5E11F25A09}"/>
  <tableColumns count="7">
    <tableColumn id="1" xr3:uid="{3687C740-5312-4301-B7C6-52191C312F7C}" name="Цель" dataDxfId="1872"/>
    <tableColumn id="2" xr3:uid="{2577CCCA-2354-492A-93DF-2FB5A2E8B3C3}" name="Необходимый результат" dataDxfId="1871"/>
    <tableColumn id="3" xr3:uid="{5229EF5E-3832-444F-A1FF-8786ECFF78AE}" name="Выполнено да/нет" dataDxfId="1870"/>
    <tableColumn id="4" xr3:uid="{D326DA0B-BEF5-4D84-9569-A9D7E7313D2A}" name="Комментарий по выполненной задаче" dataDxfId="1869"/>
    <tableColumn id="5" xr3:uid="{7311F114-2870-4D3E-B13C-87ED45D8B2D0}" name="Мотивация" dataDxfId="1868"/>
    <tableColumn id="6" xr3:uid="{C56A558E-6E1E-4842-A622-618B0614A4D1}" name="Менеджер" dataDxfId="1867"/>
    <tableColumn id="7" xr3:uid="{E5E04242-96C8-4F43-8A3A-0FC461E40496}" name="К оплате" dataDxfId="1866"/>
  </tableColumns>
  <tableStyleInfo name="TableStyleMedium2" showFirstColumn="0" showLastColumn="0" showRowStripes="1" showColumnStripes="0"/>
</table>
</file>

<file path=xl/tables/table2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2" xr:uid="{7335D37F-9E5C-49D5-A6E3-4DA10CD44F25}" name="Таблица16334659738710111512213414615817019022385470861021181341501661822541577389105121137153551567583597611625641657673689706723233853688398113128143158188203188218233" displayName="Таблица16334659738710111512213414615817019022385470861021181341501661822541577389105121137153551567583597611625641657673689706723233853688398113128143158188203188218233" ref="A56:F68" totalsRowShown="0" headerRowDxfId="1865" dataDxfId="1864" totalsRowDxfId="1862" tableBorderDxfId="1863" totalsRowBorderDxfId="1861">
  <autoFilter ref="A56:F68" xr:uid="{9246B9BD-73A5-4351-9AA2-07EE59ED4E9D}"/>
  <sortState xmlns:xlrd2="http://schemas.microsoft.com/office/spreadsheetml/2017/richdata2" ref="A57:F68">
    <sortCondition descending="1" ref="D56:D68"/>
  </sortState>
  <tableColumns count="6">
    <tableColumn id="1" xr3:uid="{E8FE1BDF-FBCA-4E35-9A95-55FC8AABD719}" name="Клиент" dataDxfId="1860" totalsRowDxfId="1859"/>
    <tableColumn id="2" xr3:uid="{EF9529EF-DE0E-40BB-8008-547304333213}" name="Оборот" dataDxfId="1858" totalsRowDxfId="1857"/>
    <tableColumn id="3" xr3:uid="{331EA294-F3F6-4B49-9096-954A6E91E9C8}" name="Профит " dataDxfId="1856" totalsRowDxfId="1855"/>
    <tableColumn id="4" xr3:uid="{16D6C51B-0B16-4483-806F-E916C50A0DC2}" name="%" dataDxfId="1854" totalsRowDxfId="1853"/>
    <tableColumn id="5" xr3:uid="{C041531D-768D-4E0E-ADFA-0E82C56BFD30}" name="Менеджер" dataDxfId="1852" totalsRowDxfId="1851"/>
    <tableColumn id="6" xr3:uid="{BDFA039B-9DA0-41F5-BF58-DAE9A31E6129}" name="Комментарий" dataDxfId="1850" totalsRowDxfId="1849" dataCellStyle="Финансовый"/>
  </tableColumns>
  <tableStyleInfo name="TableStyleMedium2" showFirstColumn="0" showLastColumn="0" showRowStripes="1" showColumnStripes="0"/>
</table>
</file>

<file path=xl/tables/table2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3" xr:uid="{D6E91EA1-885A-4D7E-81B9-9246A1EDF8ED}" name="Таблица4211720344148556269768390978390111118125132139146153160167174181188195613202734414855626976839097104111118125132139146153160167175183198206214123135147159171191233955718710311913515116718326425874901061221381545525685845986126266426586746907077234" displayName="Таблица4211720344148556269768390978390111118125132139146153160167174181188195613202734414855626976839097104111118125132139146153160167175183198206214123135147159171191233955718710311913515116718326425874901061221381545525685845986126266426586746907077234" ref="A80:H96" totalsRowShown="0" headerRowDxfId="1848" dataDxfId="1847" dataCellStyle="Обычный 2">
  <autoFilter ref="A80:H96" xr:uid="{4ACBF2F4-2982-4E59-8F46-ECCA5C6BC7F5}"/>
  <sortState xmlns:xlrd2="http://schemas.microsoft.com/office/spreadsheetml/2017/richdata2" ref="A81:H96">
    <sortCondition descending="1" ref="G80:G96"/>
  </sortState>
  <tableColumns count="8">
    <tableColumn id="1" xr3:uid="{8894DCE9-B9CB-4967-833A-79918D683973}" name="Номер" dataDxfId="1846" dataCellStyle="Обычный 2"/>
    <tableColumn id="3" xr3:uid="{5D32B251-6248-429F-B0C7-4D2DCDB6E46F}" name="Клиент" dataDxfId="1845" dataCellStyle="Обычный 2"/>
    <tableColumn id="4" xr3:uid="{03869121-7086-4066-A7EA-40A19A6B2DD2}" name="Менеджер" dataDxfId="1844" dataCellStyle="Обычный 2"/>
    <tableColumn id="5" xr3:uid="{1AEA722A-6935-4B8A-BE46-55AE587BD594}" name="Проект" dataDxfId="1843" dataCellStyle="Обычный 2"/>
    <tableColumn id="6" xr3:uid="{B0538B7C-B36B-4D69-AC32-1B46E10B9CC2}" name="Краткое описание проекта" dataDxfId="1842" dataCellStyle="Обычный 2"/>
    <tableColumn id="7" xr3:uid="{4D438C96-41C7-4AF8-820E-7F252B229F98}" name="Дата завершения сделки" dataDxfId="1841" dataCellStyle="Обычный 2"/>
    <tableColumn id="8" xr3:uid="{6B942C10-B6A0-4B5D-9C2C-3A02C95971E9}" name="Сумма, тыс. руб." dataDxfId="1840" dataCellStyle="Обычный"/>
    <tableColumn id="2" xr3:uid="{BC6A6D50-4805-4C8E-9471-932CF78A6FBB}" name="Статус" dataDxfId="1839"/>
  </tableColumns>
  <tableStyleInfo name="TableStyleMedium2" showFirstColumn="0" showLastColumn="0" showRowStripes="1" showColumnStripes="0"/>
</table>
</file>

<file path=xl/tables/table2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4" xr:uid="{0EE5C99B-4661-4DE5-8885-B29A0A0CB6CE}" name="Таблица9132738193340475461687582899682891101171241311381451521591661731801871945121926334047546168758289961031101171241311381451521591661741821902052131191251371491611731932541567288104120136152168184274359759110712313915555356958559961362764365967569235" displayName="Таблица9132738193340475461687582899682891101171241311381451521591661731801871945121926334047546168758289961031101171241311381451521591661741821902052131191251371491611731932541567288104120136152168184274359759110712313915555356958559961362764365967569235" ref="A74:H75" headerRowCount="0" totalsRowShown="0" headerRowDxfId="1838" dataDxfId="1837">
  <tableColumns count="8">
    <tableColumn id="1" xr3:uid="{9B3C381D-0AD3-4E8C-91F8-9760EDE79CA7}" name="Февраль 2015" headerRowDxfId="1836" dataDxfId="1835" dataCellStyle="Название"/>
    <tableColumn id="2" xr3:uid="{339E49EE-D434-4AD6-98ED-145D11594704}" name="Столбец1" headerRowDxfId="1834" dataDxfId="1833"/>
    <tableColumn id="3" xr3:uid="{63D7BD62-4923-49C7-8BA5-7550A1019EAC}" name="Столбец2" headerRowDxfId="1832" dataDxfId="1831"/>
    <tableColumn id="4" xr3:uid="{4C57DC8F-341C-4F43-9A45-6957EDB249D8}" name="Столбец3" headerRowDxfId="1830" dataDxfId="1829"/>
    <tableColumn id="5" xr3:uid="{B6E4E9C0-BC01-4B43-9C68-BB0B3A4CFDD3}" name="Столбец4" headerRowDxfId="1828" dataDxfId="1827"/>
    <tableColumn id="6" xr3:uid="{A81A6003-CCE0-4712-8EB5-D4E825AB3D0B}" name="Столбец5" headerRowDxfId="1826" dataDxfId="1825"/>
    <tableColumn id="7" xr3:uid="{6DEDCDE6-1429-483D-9BBA-0F65C09E6C9E}" name="Столбец6" headerRowDxfId="1824" dataDxfId="1823"/>
    <tableColumn id="8" xr3:uid="{AE0B70CE-A176-41FC-B848-6C8BA17F3CB1}" name="Столбец7" headerRowDxfId="1822" dataDxfId="1821"/>
  </tableColumns>
  <tableStyleInfo name="TableStyleMedium2" showFirstColumn="0" showLastColumn="0" showRowStripes="1" showColumnStripes="0"/>
</table>
</file>

<file path=xl/tables/table2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5" xr:uid="{2FAD268E-226B-410F-82F6-F4F76D24F292}" name="Таблица125138150162174194264257738910512113715316918528446076921081241401565545705866006146286446606766927097262641567186101116131146161191206191221236" displayName="Таблица125138150162174194264257738910512113715316918528446076921081241401565545705866006146286446606766927097262641567186101116131146161191206191221236" ref="A100:H133" totalsRowShown="0" headerRowDxfId="1820" dataDxfId="1819">
  <autoFilter ref="A100:H133" xr:uid="{0F3DFAA2-5FF8-417D-8496-A5C766071E19}"/>
  <sortState xmlns:xlrd2="http://schemas.microsoft.com/office/spreadsheetml/2017/richdata2" ref="A101:H133">
    <sortCondition descending="1" ref="G100:G133"/>
  </sortState>
  <tableColumns count="8">
    <tableColumn id="1" xr3:uid="{A11AE54C-4BA4-440D-BB8E-6BD43716463D}" name="Номер" dataDxfId="1818"/>
    <tableColumn id="2" xr3:uid="{90580F6F-2F83-4A67-BF55-5F2D435D940D}" name="Клиент" dataDxfId="1817"/>
    <tableColumn id="3" xr3:uid="{41443ED6-B1D0-43E8-84DF-E0B1CFBF81BF}" name="Менеджер" dataDxfId="1816" dataCellStyle="Обычный 2"/>
    <tableColumn id="4" xr3:uid="{DEC2B29A-F4DA-44BC-89ED-B753A462DB7D}" name="Проект" dataDxfId="1815"/>
    <tableColumn id="5" xr3:uid="{F0A85A15-01E6-4C0C-A564-7F4EAB60E5E3}" name="Краткое описание проекта" dataDxfId="1814"/>
    <tableColumn id="6" xr3:uid="{499A1376-AF7F-49E1-8939-A5F3F8BA85FE}" name="Дата завершения сделки" dataDxfId="1813"/>
    <tableColumn id="7" xr3:uid="{2EC17007-A25E-46BE-8DD0-25B3C1A03A88}" name="Сумма" dataDxfId="1812"/>
    <tableColumn id="8" xr3:uid="{E1FAD5E3-8334-461F-9B57-DE8D5936B81A}" name="Статус" dataDxfId="1811"/>
  </tableColumns>
  <tableStyleInfo name="TableStyleMedium2" showFirstColumn="0" showLastColumn="0" showRowStripes="1" showColumnStripes="0"/>
</table>
</file>

<file path=xl/tables/table2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6" xr:uid="{47CCFD2D-F923-4F04-A8F4-C1BA788A9684}" name="Таблица175195274358749010612213815417018629456177931091251411575555715876016156296456616776937107272742577287102117132147162192207192222237" displayName="Таблица175195274358749010612213815417018629456177931091251411575555715876016156296456616776937107272742577287102117132147162192207192222237" ref="A11:E12" totalsRowShown="0" headerRowDxfId="1810" dataDxfId="1809" tableBorderDxfId="1808">
  <tableColumns count="5">
    <tableColumn id="1" xr3:uid="{5186FC9F-1F88-4836-8E76-7C9B7689A2D8}" name="Менеджер" dataDxfId="1807"/>
    <tableColumn id="2" xr3:uid="{5DAF38A8-9A47-4930-AF6A-EAEFB9E6A422}" name="План с НАЧАЛА ФГ, руб." dataDxfId="1806">
      <calculatedColumnFormula>SUM(C22:C32)</calculatedColumnFormula>
    </tableColumn>
    <tableColumn id="3" xr3:uid="{12B0DBE6-321F-46BA-B96E-B25F97C60C48}" name="Факт с НАЧАЛА ФГ, руб." dataDxfId="1805">
      <calculatedColumnFormula>B34</calculatedColumnFormula>
    </tableColumn>
    <tableColumn id="4" xr3:uid="{14797AF1-2BE0-4AFB-B6C6-3671D1F9FCE5}" name="Отклонение, %" dataDxfId="1804">
      <calculatedColumnFormula>C12/B12-100%</calculatedColumnFormula>
    </tableColumn>
    <tableColumn id="5" xr3:uid="{752F5C38-8077-45CC-9108-4A2F05A281C0}" name="Отклонение, РУБ" dataDxfId="1803">
      <calculatedColumnFormula>C12-B12</calculatedColumnFormula>
    </tableColumn>
  </tableColumns>
  <tableStyleInfo name="TableStyleMedium2" showFirstColumn="0" showLastColumn="0" showRowStripes="1" showColumnStripes="0"/>
</table>
</file>

<file path=xl/tables/table2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7" xr:uid="{D6652241-8C6F-4F55-AB8D-414C93D0EF3F}" name="Таблица294459759110712313915517118730466278941101261421585565725886026166306466626786947117282843587388103118133148163193208193223238" displayName="Таблица294459759110712313915517118730466278941101261421585565725886026166306466626786947117282843587388103118133148163193208193223238" ref="A39:E40" totalsRowShown="0" headerRowDxfId="1802" dataDxfId="1801">
  <autoFilter ref="A39:E40" xr:uid="{A123EA08-D8D4-4987-8146-FF08418E565C}"/>
  <tableColumns count="5">
    <tableColumn id="2" xr3:uid="{5EBCCCD8-30FA-4BAF-A9B7-DBF12B0DA758}" name="Факт" dataDxfId="1800">
      <calculatedColumnFormula>B32</calculatedColumnFormula>
    </tableColumn>
    <tableColumn id="9" xr3:uid="{DA2AB36C-BD8F-4662-8053-CBAD0C0F2E04}" name="Оклад" dataDxfId="1799" dataCellStyle="Процентный">
      <calculatedColumnFormula>50000</calculatedColumnFormula>
    </tableColumn>
    <tableColumn id="4" xr3:uid="{07CA77CE-45C4-4F6D-AE8E-90D7A93A1D35}" name="Премия" dataDxfId="1798">
      <calculatedColumnFormula>A40*0.07*1.1</calculatedColumnFormula>
    </tableColumn>
    <tableColumn id="7" xr3:uid="{E6C9B5B9-0014-429B-99B3-E08FA8C49A58}" name="Доплата за Задачи" dataDxfId="1797">
      <calculatedColumnFormula>SUM(G156:G157)</calculatedColumnFormula>
    </tableColumn>
    <tableColumn id="6" xr3:uid="{455B9448-EC35-4CCF-AE54-64AC348832E3}" name="Штрафы" dataDxfId="1796"/>
  </tableColumns>
  <tableStyleInfo name="TableStyleMedium2" showFirstColumn="0" showLastColumn="0" showRowStripes="1" showColumnStripes="0"/>
</table>
</file>

<file path=xl/tables/table2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8" xr:uid="{37EC42C4-FC08-46FC-B15D-00E6E893755D}" name="Таблица9132738193340475461687582899682891101171241311381451521591661731801871945121926334047546168758289961031101171241311381451521591661741821902052131241361481601721922440627894110126142158174190334965819711312914516155957559160361763164766367969571239" displayName="Таблица9132738193340475461687582899682891101171241311381451521591661731801871945121926334047546168758289961031101171241311381451521591661741821902052131241361481601721922440627894110126142158174190334965819711312914516155957559160361763164766367969571239" ref="A71:H73" headerRowCount="0" totalsRowShown="0" headerRowDxfId="1795" dataDxfId="1794">
  <tableColumns count="8">
    <tableColumn id="1" xr3:uid="{228E5B6B-4EF8-4574-B916-5B23C9F85623}" name="Февраль 2015" headerRowDxfId="1793" dataDxfId="1792" dataCellStyle="Название"/>
    <tableColumn id="2" xr3:uid="{5F11BD66-00AA-4AD3-8D48-D2D56205B60E}" name="Столбец1" headerRowDxfId="1791" dataDxfId="1790"/>
    <tableColumn id="3" xr3:uid="{7DC2DEC6-3A9E-4D80-8F81-D2B70809C9F2}" name="Столбец2" headerRowDxfId="1789" dataDxfId="1788"/>
    <tableColumn id="4" xr3:uid="{3A05623F-8BE1-4F48-A469-25D80D2F91F3}" name="Столбец3" headerRowDxfId="1787" dataDxfId="1786"/>
    <tableColumn id="5" xr3:uid="{0A8D42A6-6449-4560-9242-47B63B96EA30}" name="Столбец4" headerRowDxfId="1785" dataDxfId="1784"/>
    <tableColumn id="6" xr3:uid="{8A10856E-6439-4DB8-B152-87A029D2F2DA}" name="Столбец5" headerRowDxfId="1783" dataDxfId="1782"/>
    <tableColumn id="7" xr3:uid="{D2C1CCF2-203B-4433-99A7-6165CB9AC6C3}" name="Столбец6" headerRowDxfId="1781" dataDxfId="1780"/>
    <tableColumn id="8" xr3:uid="{3FCC2900-0E85-4386-8A2F-5360A9E1096A}" name="Столбец7" headerRowDxfId="1779" dataDxfId="1778"/>
  </tableColumns>
  <tableStyleInfo name="TableStyleMedium2" showFirstColumn="0" showLastColumn="0" showRowStripes="1" showColumnStripes="0"/>
</table>
</file>

<file path=xl/tables/table2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9" xr:uid="{CB12F5A8-0A04-41E3-A2DD-07467F560D0F}" name="Таблица1529425569839711111613014215416618618345066829811413014616217821375369851011171331495605765926046186326486646806967137303045607590105120135150165195210195225240" displayName="Таблица1529425569839711111613014215416618618345066829811413014616217821375369851011171331495605765926046186326486646806967137303045607590105120135150165195210195225240" ref="A138:G144" totalsRowShown="0" headerRowDxfId="1777" dataDxfId="1776" tableBorderDxfId="1775">
  <autoFilter ref="A138:G144" xr:uid="{BD66A881-30D1-4979-8390-5888D14E5877}"/>
  <tableColumns count="7">
    <tableColumn id="1" xr3:uid="{5EACA8E0-5DD6-4AC1-A9AC-56295692B519}" name="Дата" dataDxfId="1774"/>
    <tableColumn id="2" xr3:uid="{0E3000D2-7B0C-45DE-9C4F-2D03A0916446}" name="Клиент" dataDxfId="1773"/>
    <tableColumn id="3" xr3:uid="{6F0E4461-A8F7-4CE4-97D3-719D49939131}" name="Менеджер" dataDxfId="1772" dataCellStyle="Обычный 2"/>
    <tableColumn id="4" xr3:uid="{1AB8E737-C520-4303-979A-D39C4D5F5A24}" name="Контакт в 1С" dataDxfId="1771"/>
    <tableColumn id="5" xr3:uid="{500A70BE-641D-4086-9603-63AED12D5A54}" name="№ сделки" dataDxfId="1770"/>
    <tableColumn id="6" xr3:uid="{CA62BB88-7290-470A-8F98-93026E418191}" name="Цель" dataDxfId="1769"/>
    <tableColumn id="7" xr3:uid="{EF3DCB8B-7A69-4E45-B3B6-06D1167E8453}" name="Результат" dataDxfId="1768"/>
  </tableColumns>
  <tableStyleInfo name="TableStyleMedium2" showFirstColumn="0" showLastColumn="0" showRowStripes="1" showColumnStripes="0"/>
</table>
</file>

<file path=xl/tables/table2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0" xr:uid="{854BAE1B-A9A0-4B9F-BCE3-F5B01BCD4DE3}" name="Таблица4936997167333146617691106121136151166196211196226241" displayName="Таблица4936997167333146617691106121136151166196211196226241" ref="A21:D33" totalsRowShown="0" headerRowDxfId="1767" dataDxfId="1765" headerRowBorderDxfId="1766" tableBorderDxfId="1764" totalsRowBorderDxfId="1763">
  <autoFilter ref="A21:D33" xr:uid="{8999CE3E-52FF-4AF3-AA18-1DA9A764C519}"/>
  <tableColumns count="4">
    <tableColumn id="1" xr3:uid="{728F7C64-BB3C-4198-B617-DB114C9E99D3}" name="Месяц" dataDxfId="1762"/>
    <tableColumn id="2" xr3:uid="{8A4284E1-50D9-4EA7-BB56-652BAD6FAFAC}" name="Профит" dataDxfId="1761"/>
    <tableColumn id="3" xr3:uid="{FDFF2937-089C-47A6-91B4-6636DB65A26F}" name="План" dataDxfId="1760"/>
    <tableColumn id="4" xr3:uid="{34F2DA5B-85F4-46B2-9259-46606B35CE98}" name="Выполнение" dataDxfId="1759">
      <calculatedColumnFormula>Таблица4936997167333146617691106121136151166196211196226241[[#This Row],[Профит]]/Таблица4936997167333146617691106121136151166196211196226241[[#This Row],[План]]</calculatedColumnFormula>
    </tableColumn>
  </tableColumns>
  <tableStyleInfo name="TableStyleMedium2" showFirstColumn="0" showLastColumn="0" showRowStripes="1" showColumnStripes="0"/>
</table>
</file>

<file path=xl/tables/table2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1" xr:uid="{AE67A224-CD5D-4516-AFE6-9B25E3FBF57D}" name="Таблица11029163037445158657223303744515865727986931009223548627690104107127139151163183152947637995111127143159175183450668298114130146545561577589605619635651667683700717163247627792107122137152182197182212227242" displayName="Таблица11029163037445158657223303744515865727986931009223548627690104107127139151163183152947637995111127143159175183450668298114130146545561577589605619635651667683700717163247627792107122137152182197182212227242" ref="A6:F7" totalsRowShown="0" headerRowDxfId="1758" dataDxfId="1757">
  <tableColumns count="6">
    <tableColumn id="1" xr3:uid="{C396A08A-D8AC-4414-B6A9-0688FD1F1D1B}" name="Менеджер" dataDxfId="1756"/>
    <tableColumn id="2" xr3:uid="{7BE147CF-7876-4A1E-A5B2-858D78B79189}" name="План, руб." dataDxfId="1755">
      <calculatedColumnFormula>C33</calculatedColumnFormula>
    </tableColumn>
    <tableColumn id="3" xr3:uid="{5ED3A25F-86D8-403C-B18F-9481D93D8099}" name="Факт, руб." dataDxfId="1754">
      <calculatedColumnFormula>B33</calculatedColumnFormula>
    </tableColumn>
    <tableColumn id="4" xr3:uid="{3A03EA5F-F434-4F73-BD4E-380789A39639}" name="Отклонение, %" dataDxfId="1753" dataCellStyle="Процентный">
      <calculatedColumnFormula>Таблица11029163037445158657223303744515865727986931009223548627690104107127139151163183152947637995111127143159175183450668298114130146545561577589605619635651667683700717163247627792107122137152182197182212227242[Факт, руб.]/Таблица11029163037445158657223303744515865727986931009223548627690104107127139151163183152947637995111127143159175183450668298114130146545561577589605619635651667683700717163247627792107122137152182197182212227242[План, руб.]-100%</calculatedColumnFormula>
    </tableColumn>
    <tableColumn id="7" xr3:uid="{63CD18A6-CEF0-485B-8EEE-32CE8974F443}" name="Отклонение, РУБ" dataDxfId="1752" dataCellStyle="Процентный">
      <calculatedColumnFormula>Таблица11029163037445158657223303744515865727986931009223548627690104107127139151163183152947637995111127143159175183450668298114130146545561577589605619635651667683700717163247627792107122137152182197182212227242[Факт, руб.]-Таблица11029163037445158657223303744515865727986931009223548627690104107127139151163183152947637995111127143159175183450668298114130146545561577589605619635651667683700717163247627792107122137152182197182212227242[План, руб.]</calculatedColumnFormula>
    </tableColumn>
    <tableColumn id="5" xr3:uid="{EAC75691-098F-40E1-8A99-DEFC28534831}" name="Предыд месяц" dataDxfId="1751" dataCellStyle="Процентный">
      <calculatedColumnFormula>B32</calculatedColumnFormula>
    </tableColumn>
  </tableColumns>
  <tableStyleInfo name="TableStyleMedium2" showFirstColumn="0" showLastColumn="0" showRowStripes="1" showColumnStripes="0"/>
</table>
</file>

<file path=xl/tables/table2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2" xr:uid="{28E9D232-BE94-405D-AE0A-B6AF4E8EEA77}" name="Таблица211301731384552596673243138455259667380879410110233649637791105109128140152164184163248648096112128144160176193551678399115131147546562578590606620636652668684701718173348637893108123138153183198183213228243" displayName="Таблица211301731384552596673243138455259667380879410110233649637791105109128140152164184163248648096112128144160176193551678399115131147546562578590606620636652668684701718173348637893108123138153183198183213228243" ref="A16:E17" totalsRowShown="0" headerRowDxfId="1750" dataDxfId="1749">
  <tableColumns count="5">
    <tableColumn id="1" xr3:uid="{0CD85562-EEF1-4BCC-9304-1AF6031E88DF}" name="Менеджер" dataDxfId="1748"/>
    <tableColumn id="2" xr3:uid="{29B1E8D8-4A71-4062-BC85-AC13FC006C7F}" name="Профит ФГ 23-24" dataDxfId="1747"/>
    <tableColumn id="3" xr3:uid="{BAED81FC-FA72-4D9D-A723-20A8981815FA}" name="Профит ФГ 24-25" dataDxfId="1746"/>
    <tableColumn id="4" xr3:uid="{DA6B56DA-BB8F-483A-AE1D-5B5D3517F290}" name="Профит ФГ 25-26" dataDxfId="1745" dataCellStyle="Процентный">
      <calculatedColumnFormula>B34</calculatedColumnFormula>
    </tableColumn>
    <tableColumn id="5" xr3:uid="{5551A901-CD46-4AF4-8BA2-FD83A2B4B7D3}" name="Рост накопительно, % " dataDxfId="1744">
      <calculatedColumnFormula>Таблица211301731384552596673243138455259667380879410110233649637791105109128140152164184163248648096112128144160176193551678399115131147546562578590606620636652668684701718173348637893108123138153183198183213228243[Профит ФГ 25-26]/Таблица211301731384552596673243138455259667380879410110233649637791105109128140152164184163248648096112128144160176193551678399115131147546562578590606620636652668684701718173348637893108123138153183198183213228243[Профит ФГ 24-25]</calculatedColumnFormula>
    </tableColumn>
  </tableColumns>
  <tableStyleInfo name="TableStyleMedium2" showFirstColumn="0" showLastColumn="0" showRowStripes="1" showColumnStripes="0"/>
</table>
</file>

<file path=xl/tables/table2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3" xr:uid="{54606F46-570B-4D45-9961-235CFD04C289}" name="Таблица546243318323946536067742532394653606774818895102112437506478921061101291411531651851733496581971131291451611772036526884100116132148547563579593607621637653669685702719193449647994109124139154184199184214229244" displayName="Таблица546243318323946536067742532394653606774818895102112437506478921061101291411531651851733496581971131291451611772036526884100116132148547563579593607621637653669685702719193449647994109124139154184199184214229244" ref="A45:D49" totalsRowShown="0" headerRowDxfId="1743" dataDxfId="1742">
  <autoFilter ref="A45:D49" xr:uid="{3EADDA2E-FD58-4130-8A1C-8C20137591BB}"/>
  <tableColumns count="4">
    <tableColumn id="2" xr3:uid="{6ECE3355-0E2C-49CD-8CA2-7DD43D9A7677}" name="Холдинг" dataDxfId="1741"/>
    <tableColumn id="3" xr3:uid="{E64CC6F3-E7F5-4F68-B31A-8FAD893BC676}" name="Сумма просроченного долга" dataDxfId="1740" dataCellStyle="Денежный"/>
    <tableColumn id="4" xr3:uid="{BDBC790C-511E-4B96-BA5A-9350EB192E58}" name="Общая сумма долга" dataDxfId="1739" dataCellStyle="Денежный"/>
    <tableColumn id="5" xr3:uid="{CD1C3F70-E668-4C30-AC2C-67C3BA1FED2C}" name="% просрочки" dataDxfId="1738" dataCellStyle="Процентный">
      <calculatedColumnFormula>Таблица546243318323946536067742532394653606774818895102112437506478921061101291411531651851733496581971131291451611772036526884100116132148547563579593607621637653669685702719193449647994109124139154184199184214229244[[#This Row],[Сумма просроченного долга]]/Таблица546243318323946536067742532394653606774818895102112437506478921061101291411531651851733496581971131291451611772036526884100116132148547563579593607621637653669685702719193449647994109124139154184199184214229244[[#This Row],[Общая сумма долга]]</calculatedColumnFormula>
    </tableColumn>
  </tableColumns>
  <tableStyleInfo name="TableStyleMedium2" showFirstColumn="0" showLastColumn="0" showRowStripes="1" showColumnStripes="0"/>
</table>
</file>

<file path=xl/tables/table2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4" xr:uid="{B6F34CC1-25FE-428E-A25D-A2EEE7C80DAB}" name="Таблица173043567084981121171311431551671871935516783991151311471631792238547086102118134150548564580594608622638654670686703720203550658095110125140155185200185215230245" displayName="Таблица173043567084981121171311431551671871935516783991151311471631792238547086102118134150548564580594608622638654670686703720203550658095110125140155185200185215230245" ref="A152:G153" totalsRowShown="0" headerRowDxfId="1737" dataDxfId="1736" tableBorderDxfId="1735">
  <autoFilter ref="A152:G153" xr:uid="{5F2E2A5D-7666-4FD4-A50A-70ADD98392B4}"/>
  <sortState xmlns:xlrd2="http://schemas.microsoft.com/office/spreadsheetml/2017/richdata2" ref="A153:G153">
    <sortCondition ref="D152:D153"/>
  </sortState>
  <tableColumns count="7">
    <tableColumn id="1" xr3:uid="{2066ECD4-CEB6-4378-AC66-83CD0324E8FD}" name="Дата" dataDxfId="1734"/>
    <tableColumn id="2" xr3:uid="{5FE93173-B323-4446-9BF9-B139EAA09F3D}" name="Клиент" dataDxfId="1733"/>
    <tableColumn id="3" xr3:uid="{29DC710F-901C-4CCC-863E-22FF067DB073}" name="Менеджер" dataDxfId="1732" dataCellStyle="Обычный 2"/>
    <tableColumn id="4" xr3:uid="{C3CD60B5-BA80-43C3-9F83-D5F4E7219430}" name="Контакт в 1С" dataDxfId="1731"/>
    <tableColumn id="5" xr3:uid="{CCC3773C-B831-4DAC-824C-7D8DAEBD1F6D}" name="№ сделки" dataDxfId="1730"/>
    <tableColumn id="6" xr3:uid="{50F32330-93CC-4055-B8F3-ED71E399CC20}" name="Цель" dataDxfId="1729"/>
    <tableColumn id="7" xr3:uid="{C6C4CA8D-EE51-4C00-89EA-6F06248255EB}" name="Результат" dataDxfId="1728"/>
  </tableColumns>
  <tableStyleInfo name="TableStyleMedium2" showFirstColumn="0" showLastColumn="0" showRowStripes="1" showColumnStripes="0"/>
</table>
</file>

<file path=xl/tables/table2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5" xr:uid="{588C159C-AFA8-4308-9DE0-329EF3CA3F8D}" name="Таблица1931445771859911312013214415616818820365268841001161321481641802339557187103119135151549565581595609623639655671687704721213651668196111126141156186201186216231246" displayName="Таблица1931445771859911312013214415616818820365268841001161321481641802339557187103119135151549565581595609623639655671687704721213651668196111126141156186201186216231246" ref="A158:G161" totalsRowShown="0" headerRowDxfId="1727" dataDxfId="1726" tableBorderDxfId="1725">
  <autoFilter ref="A158:G161" xr:uid="{CC17A23E-B8E4-4CBF-BC3B-16FF0249D515}"/>
  <tableColumns count="7">
    <tableColumn id="1" xr3:uid="{F00F7FBA-E30B-48A5-9157-48DD9DC0BEF9}" name="Цель" dataDxfId="1724" dataCellStyle="Обычный 2"/>
    <tableColumn id="2" xr3:uid="{8EFA39C1-1823-45C9-9138-CE0D786DCF87}" name="Необходимый результат" dataDxfId="1723" dataCellStyle="Обычный 2"/>
    <tableColumn id="3" xr3:uid="{6911E7B2-AAF0-4067-9CC9-5FDD1BAD71BB}" name="Выполнено да/нет" dataDxfId="1722" dataCellStyle="Обычный"/>
    <tableColumn id="4" xr3:uid="{604B30F3-F894-4AB1-8A98-FAD60E9A609B}" name="Комментарий по выполненной задаче" dataDxfId="1721" dataCellStyle="Обычный 2"/>
    <tableColumn id="5" xr3:uid="{1B75D505-8882-4BE6-BA94-AAC15E752122}" name="Мотивация" dataDxfId="1720"/>
    <tableColumn id="6" xr3:uid="{25606FB9-0C5B-45AC-977F-6378826928EA}" name="Менеджер" dataDxfId="1719"/>
    <tableColumn id="7" xr3:uid="{F0F5CDD8-66EC-4ADE-94A5-4AE4F07D322C}" name="К оплате" dataDxfId="1718"/>
  </tableColumns>
  <tableStyleInfo name="TableStyleMedium2" showFirstColumn="0" showLastColumn="0" showRowStripes="1" showColumnStripes="0"/>
</table>
</file>

<file path=xl/tables/table2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6" xr:uid="{AE7A12CB-57F5-4296-B592-1805443F809E}" name="Таблица20324558728610011412113314515716918921375369851011171331491651812440567288104120136152550566582596610624640656672688705722223752678297112127142157187202187217232247" displayName="Таблица20324558728610011412113314515716918921375369851011171331491651812440567288104120136152550566582596610624640656672688705722223752678297112127142157187202187217232247" ref="A165:G169" totalsRowShown="0" headerRowDxfId="1717" dataDxfId="1716" tableBorderDxfId="1715">
  <autoFilter ref="A165:G169" xr:uid="{16803243-7F25-4AF5-AE4A-7C5E11F25A09}"/>
  <tableColumns count="7">
    <tableColumn id="1" xr3:uid="{F5439231-72C8-471B-AEA0-78CBA5274EAF}" name="Цель" dataDxfId="1714"/>
    <tableColumn id="2" xr3:uid="{8F8BA332-FDC3-4989-AC8D-3FC7ECD24CD6}" name="Необходимый результат" dataDxfId="1713"/>
    <tableColumn id="3" xr3:uid="{92D5BC8A-403D-4F5E-B029-35DF6A9648B1}" name="Выполнено да/нет" dataDxfId="1712"/>
    <tableColumn id="4" xr3:uid="{A82552E1-0A72-4AE3-B5C2-E56CF717DF49}" name="Комментарий по выполненной задаче" dataDxfId="1711"/>
    <tableColumn id="5" xr3:uid="{7CCC1323-CE39-49D1-881F-6C7B473FF600}" name="Мотивация" dataDxfId="1710"/>
    <tableColumn id="6" xr3:uid="{F69E0804-F4DF-4B79-97BB-A3A61404662C}" name="Менеджер" dataDxfId="1709"/>
    <tableColumn id="7" xr3:uid="{A7F19F19-E9F6-487F-BEB0-58A762F2E0DB}" name="К оплате" dataDxfId="1708"/>
  </tableColumns>
  <tableStyleInfo name="TableStyleMedium2" showFirstColumn="0" showLastColumn="0" showRowStripes="1" showColumnStripes="0"/>
</table>
</file>

<file path=xl/tables/table2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7" xr:uid="{FFC1AD2F-B290-4384-BD03-DD5DD3B64B93}" name="Таблица16334659738710111512213414615817019022385470861021181341501661822541577389105121137153551567583597611625641657673689706723233853688398113128143158188203188218233248" displayName="Таблица16334659738710111512213414615817019022385470861021181341501661822541577389105121137153551567583597611625641657673689706723233853688398113128143158188203188218233248" ref="A55:F68" totalsRowShown="0" headerRowDxfId="1707" dataDxfId="1706" totalsRowDxfId="1704" tableBorderDxfId="1705" totalsRowBorderDxfId="1703">
  <autoFilter ref="A55:F68" xr:uid="{9246B9BD-73A5-4351-9AA2-07EE59ED4E9D}"/>
  <sortState xmlns:xlrd2="http://schemas.microsoft.com/office/spreadsheetml/2017/richdata2" ref="A56:F68">
    <sortCondition descending="1" ref="D55:D68"/>
  </sortState>
  <tableColumns count="6">
    <tableColumn id="1" xr3:uid="{D4CD4B91-72F2-4015-BB3C-C0331A3E1942}" name="Клиент" dataDxfId="1702" totalsRowDxfId="1701"/>
    <tableColumn id="2" xr3:uid="{3F954FB1-1AB7-4BED-88F3-5645921C407E}" name="Оборот" dataDxfId="1700" totalsRowDxfId="1699"/>
    <tableColumn id="3" xr3:uid="{25A9816B-1107-4B64-814D-1F9534FF9F90}" name="Профит " dataDxfId="1698" totalsRowDxfId="1697"/>
    <tableColumn id="4" xr3:uid="{4DB3D3FB-9594-4BC6-8128-7C730FBF265B}" name="%" dataDxfId="1696" totalsRowDxfId="1695"/>
    <tableColumn id="5" xr3:uid="{47E00F9B-895D-4DB3-9FE1-F38E09807C29}" name="Менеджер" dataDxfId="1694" totalsRowDxfId="1693"/>
    <tableColumn id="6" xr3:uid="{0EBE24A4-38FF-4DF2-A2CC-B2400662DF71}" name="Комментарий" dataDxfId="1692" totalsRowDxfId="1691" dataCellStyle="Финансовый"/>
  </tableColumns>
  <tableStyleInfo name="TableStyleLight9" showFirstColumn="0" showLastColumn="0" showRowStripes="1" showColumnStripes="0"/>
</table>
</file>

<file path=xl/tables/table2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8" xr:uid="{19C16C4F-23A6-40EF-A45D-2DA7A66870F0}" name="Таблица4211720344148556269768390978390111118125132139146153160167174181188195613202734414855626976839097104111118125132139146153160167175183198206214123135147159171191233955718710311913515116718326425874901061221381545525685845986126266426586746907077249" displayName="Таблица4211720344148556269768390978390111118125132139146153160167174181188195613202734414855626976839097104111118125132139146153160167175183198206214123135147159171191233955718710311913515116718326425874901061221381545525685845986126266426586746907077249" ref="A80:H95" totalsRowShown="0" headerRowDxfId="1690" dataDxfId="1689" dataCellStyle="Обычный 2">
  <autoFilter ref="A80:H95" xr:uid="{4ACBF2F4-2982-4E59-8F46-ECCA5C6BC7F5}"/>
  <sortState xmlns:xlrd2="http://schemas.microsoft.com/office/spreadsheetml/2017/richdata2" ref="A81:H95">
    <sortCondition descending="1" ref="G80:G95"/>
  </sortState>
  <tableColumns count="8">
    <tableColumn id="1" xr3:uid="{C7A757A4-F423-4C2D-94BC-E3C8DC8DD20A}" name="Номер" dataDxfId="1688" dataCellStyle="Обычный 2"/>
    <tableColumn id="3" xr3:uid="{9647E77B-3D27-4C65-A1FC-088E331F0F18}" name="Клиент" dataDxfId="1687" dataCellStyle="Обычный 2"/>
    <tableColumn id="4" xr3:uid="{9FFE5DCE-1F20-4D7A-84BD-82142DBF236C}" name="Менеджер" dataDxfId="1686" dataCellStyle="Обычный 2"/>
    <tableColumn id="5" xr3:uid="{9908FFED-2685-4C8E-9DBB-72262962F9E7}" name="Проект" dataDxfId="1685" dataCellStyle="Обычный 2"/>
    <tableColumn id="6" xr3:uid="{D3164FD5-D02D-4E4B-83D5-B4F8A108E9EB}" name="Краткое описание проекта" dataDxfId="1684" dataCellStyle="Обычный 2"/>
    <tableColumn id="7" xr3:uid="{996FF199-C7BB-472A-907A-E0457BFD0EAA}" name="Дата завершения сделки" dataDxfId="1683" dataCellStyle="Обычный 2"/>
    <tableColumn id="8" xr3:uid="{89AFC12B-8845-45AE-8156-89B2E0B13900}" name="Сумма, тыс. руб." dataDxfId="1682" dataCellStyle="Обычный"/>
    <tableColumn id="2" xr3:uid="{34889C22-2B88-4C08-8349-F622C7C7403E}" name="Статус" dataDxfId="1681"/>
  </tableColumns>
  <tableStyleInfo name="TableStyleMedium2" showFirstColumn="0" showLastColumn="0" showRowStripes="1" showColumnStripes="0"/>
</table>
</file>

<file path=xl/tables/table2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9" xr:uid="{114A65A0-0818-4C65-B968-2B13DFFB61C0}" name="Таблица9132738193340475461687582899682891101171241311381451521591661731801871945121926334047546168758289961031101171241311381451521591661741821902052131191251371491611731932541567288104120136152168184274359759110712313915555356958559961362764365967569250" displayName="Таблица9132738193340475461687582899682891101171241311381451521591661731801871945121926334047546168758289961031101171241311381451521591661741821902052131191251371491611731932541567288104120136152168184274359759110712313915555356958559961362764365967569250" ref="A74:H75" headerRowCount="0" totalsRowShown="0" headerRowDxfId="1680" dataDxfId="1679">
  <tableColumns count="8">
    <tableColumn id="1" xr3:uid="{1FDF2071-A82A-463F-ABCA-7241BE548965}" name="Февраль 2015" headerRowDxfId="1678" dataDxfId="1677" dataCellStyle="Название"/>
    <tableColumn id="2" xr3:uid="{073B604C-931B-4C55-A988-E85E8CB489AE}" name="Столбец1" headerRowDxfId="1676" dataDxfId="1675"/>
    <tableColumn id="3" xr3:uid="{21A39623-9209-465E-8ED0-0653196D8C0B}" name="Столбец2" headerRowDxfId="1674" dataDxfId="1673"/>
    <tableColumn id="4" xr3:uid="{8AE405B2-841F-4A5E-B0DC-0A832CD5D5B2}" name="Столбец3" headerRowDxfId="1672" dataDxfId="1671"/>
    <tableColumn id="5" xr3:uid="{56B99910-6434-42D5-BCAB-33A8C35C6E5F}" name="Столбец4" headerRowDxfId="1670" dataDxfId="1669"/>
    <tableColumn id="6" xr3:uid="{BE0BFB1D-A97E-4255-B8ED-925BE67D4F8F}" name="Столбец5" headerRowDxfId="1668" dataDxfId="1667"/>
    <tableColumn id="7" xr3:uid="{48224569-0DD1-4F5A-BF71-C183A2CAF2A4}" name="Столбец6" headerRowDxfId="1666" dataDxfId="1665"/>
    <tableColumn id="8" xr3:uid="{499D0B18-C458-413F-8DFC-148C50013E6B}" name="Столбец7" headerRowDxfId="1664" dataDxfId="1663"/>
  </tableColumns>
  <tableStyleInfo name="TableStyleMedium2" showFirstColumn="0" showLastColumn="0" showRowStripes="1" showColumnStripes="0"/>
</table>
</file>

<file path=xl/tables/table2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0" xr:uid="{661914F1-ADA1-48DA-9EB6-45B41B9A7541}" name="Таблица125138150162174194264257738910512113715316918528446076921081241401565545705866006146286446606766927097262641567186101116131146161191206191221236251" displayName="Таблица125138150162174194264257738910512113715316918528446076921081241401565545705866006146286446606766927097262641567186101116131146161191206191221236251" ref="A99:H142" totalsRowShown="0" headerRowDxfId="1662" dataDxfId="1661">
  <autoFilter ref="A99:H142" xr:uid="{0F3DFAA2-5FF8-417D-8496-A5C766071E19}"/>
  <sortState xmlns:xlrd2="http://schemas.microsoft.com/office/spreadsheetml/2017/richdata2" ref="A100:H142">
    <sortCondition descending="1" ref="G99:G142"/>
  </sortState>
  <tableColumns count="8">
    <tableColumn id="1" xr3:uid="{01FE827A-C5C6-4D07-8027-EFE70D4EF574}" name="Номер" dataDxfId="1660"/>
    <tableColumn id="2" xr3:uid="{031C4B83-7AF5-4F8B-ABAD-79890982F2F1}" name="Клиент" dataDxfId="1659"/>
    <tableColumn id="3" xr3:uid="{B3446436-4BBC-4E0D-B6F9-E7D957798280}" name="Менеджер" dataDxfId="1658" dataCellStyle="Обычный 2"/>
    <tableColumn id="4" xr3:uid="{9877189C-68DC-4AE6-9E2E-3FDC783F9E3C}" name="Проект" dataDxfId="1657"/>
    <tableColumn id="5" xr3:uid="{2141F2A2-F8AD-4075-9BC2-816EDE6E0381}" name="Краткое описание проекта" dataDxfId="1656"/>
    <tableColumn id="6" xr3:uid="{1668063D-8796-4F44-AC17-B65F4C049ABC}" name="Дата завершения сделки" dataDxfId="1655"/>
    <tableColumn id="7" xr3:uid="{C15B5DB6-7BDE-4BF8-AFD6-ABBCED80B5E2}" name="Сумма" dataDxfId="1654"/>
    <tableColumn id="8" xr3:uid="{A2B7B259-1365-4AFC-8F6E-FB7F8BE06FE0}" name="Статус" dataDxfId="1653"/>
  </tableColumns>
  <tableStyleInfo name="TableStyleMedium2" showFirstColumn="0" showLastColumn="0" showRowStripes="1" showColumnStripes="0"/>
</table>
</file>

<file path=xl/tables/table2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1" xr:uid="{FBE65016-881C-4801-B77D-234A5DA403E6}" name="Таблица175195274358749010612213815417018629456177931091251411575555715876016156296456616776937107272742577287102117132147162192207192222237252" displayName="Таблица175195274358749010612213815417018629456177931091251411575555715876016156296456616776937107272742577287102117132147162192207192222237252" ref="A11:E12" totalsRowShown="0" headerRowDxfId="1652" dataDxfId="1651" tableBorderDxfId="1650">
  <tableColumns count="5">
    <tableColumn id="1" xr3:uid="{57F04FB9-FD2D-4CF6-878A-2958EFCD51D1}" name="Менеджер" dataDxfId="1649"/>
    <tableColumn id="2" xr3:uid="{1D9D8281-4E58-40A3-B7D2-4CCE2D540B5E}" name="План с НАЧАЛА ФГ, руб." dataDxfId="1648">
      <calculatedColumnFormula>SUM(C22:C33)</calculatedColumnFormula>
    </tableColumn>
    <tableColumn id="3" xr3:uid="{0AEE06FC-0352-458C-A9F4-8B7D61571774}" name="Факт с НАЧАЛА ФГ, руб." dataDxfId="1647">
      <calculatedColumnFormula>B34</calculatedColumnFormula>
    </tableColumn>
    <tableColumn id="4" xr3:uid="{F05CC0F1-69EF-406F-9008-F14DD2887C3C}" name="Отклонение, %" dataDxfId="1646">
      <calculatedColumnFormula>C12/B12-100%</calculatedColumnFormula>
    </tableColumn>
    <tableColumn id="5" xr3:uid="{8D782C19-F65C-438C-AC6A-7F88E22B02B3}" name="Отклонение, РУБ" dataDxfId="1645">
      <calculatedColumnFormula>C12-B12</calculatedColumnFormula>
    </tableColumn>
  </tableColumns>
  <tableStyleInfo name="TableStyleMedium2" showFirstColumn="0" showLastColumn="0" showRowStripes="1" showColumnStripes="0"/>
</table>
</file>

<file path=xl/tables/table2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2" xr:uid="{688878A0-0F36-44C7-A386-6283E29512C7}" name="Таблица294459759110712313915517118730466278941101261421585565725886026166306466626786947117282843587388103118133148163193208193223238253" displayName="Таблица294459759110712313915517118730466278941101261421585565725886026166306466626786947117282843587388103118133148163193208193223238253" ref="A39:E40" totalsRowShown="0" headerRowDxfId="1644" dataDxfId="1643">
  <autoFilter ref="A39:E40" xr:uid="{A123EA08-D8D4-4987-8146-FF08418E565C}"/>
  <tableColumns count="5">
    <tableColumn id="2" xr3:uid="{88AED694-A7D4-40C7-9485-36AE57B8860C}" name="Факт" dataDxfId="1642">
      <calculatedColumnFormula>B33</calculatedColumnFormula>
    </tableColumn>
    <tableColumn id="9" xr3:uid="{94D8B98F-BE3A-4E2A-A8D4-28A95BF5A8B3}" name="Оклад" dataDxfId="1641" dataCellStyle="Процентный">
      <calculatedColumnFormula>50000</calculatedColumnFormula>
    </tableColumn>
    <tableColumn id="4" xr3:uid="{9602528C-8243-4AD4-A6ED-E5839A70377B}" name="Премия" dataDxfId="1640">
      <calculatedColumnFormula>A40*0.07*1.1</calculatedColumnFormula>
    </tableColumn>
    <tableColumn id="7" xr3:uid="{0376C41A-0D7E-464D-AE15-A32A543B1B05}" name="Доплата за Задачи" dataDxfId="1639">
      <calculatedColumnFormula>SUM(G159:G161)</calculatedColumnFormula>
    </tableColumn>
    <tableColumn id="6" xr3:uid="{44DE6518-3F0D-47BD-9483-F81B93DF19C0}" name="Штрафы" dataDxfId="1638"/>
  </tableColumns>
  <tableStyleInfo name="TableStyleMedium2" showFirstColumn="0" showLastColumn="0" showRowStripes="1" showColumnStripes="0"/>
</table>
</file>

<file path=xl/tables/table2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3" xr:uid="{B9BD6436-10D5-4DDC-A094-65953C55BF86}" name="Таблица9132738193340475461687582899682891101171241311381451521591661731801871945121926334047546168758289961031101171241311381451521591661741821902052131241361481601721922440627894110126142158174190334965819711312914516155957559160361763164766367969571254" displayName="Таблица9132738193340475461687582899682891101171241311381451521591661731801871945121926334047546168758289961031101171241311381451521591661741821902052131241361481601721922440627894110126142158174190334965819711312914516155957559160361763164766367969571254" ref="A71:H73" headerRowCount="0" totalsRowShown="0" headerRowDxfId="1637" dataDxfId="1636">
  <tableColumns count="8">
    <tableColumn id="1" xr3:uid="{EDC59B77-4E92-4C0D-A2BE-5205E9ABA101}" name="Февраль 2015" headerRowDxfId="1635" dataDxfId="1634" dataCellStyle="Название"/>
    <tableColumn id="2" xr3:uid="{E37F82F1-0178-4F33-96F6-F02D4AB213A1}" name="Столбец1" headerRowDxfId="1633" dataDxfId="1632"/>
    <tableColumn id="3" xr3:uid="{D09FF9A9-8E89-44D6-BF3A-59A3618AA194}" name="Столбец2" headerRowDxfId="1631" dataDxfId="1630"/>
    <tableColumn id="4" xr3:uid="{0B103DF1-1872-47FC-B58F-A79602F32482}" name="Столбец3" headerRowDxfId="1629" dataDxfId="1628"/>
    <tableColumn id="5" xr3:uid="{D3249ACC-3D84-47B1-8184-EE3859EE1BFC}" name="Столбец4" headerRowDxfId="1627" dataDxfId="1626"/>
    <tableColumn id="6" xr3:uid="{2795E9B7-D4D1-4E21-8C84-44BDCFCFE81A}" name="Столбец5" headerRowDxfId="1625" dataDxfId="1624"/>
    <tableColumn id="7" xr3:uid="{AB0B0B71-EB4C-4E2D-94F1-83FDC4A4EB38}" name="Столбец6" headerRowDxfId="1623" dataDxfId="1622"/>
    <tableColumn id="8" xr3:uid="{55D9A52A-045B-4162-9C02-1EB6CA6BA8F8}" name="Столбец7" headerRowDxfId="1621" dataDxfId="1620"/>
  </tableColumns>
  <tableStyleInfo name="TableStyleMedium2" showFirstColumn="0" showLastColumn="0" showRowStripes="1" showColumnStripes="0"/>
</table>
</file>

<file path=xl/tables/table2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4" xr:uid="{5DD00682-64AF-417D-BC61-34AA8B3D5DB1}" name="Таблица1529425569839711111613014215416618618345066829811413014616217821375369851011171331495605765926046186326486646806967137303045607590105120135150165195210195225240255" displayName="Таблица1529425569839711111613014215416618618345066829811413014616217821375369851011171331495605765926046186326486646806967137303045607590105120135150165195210195225240255" ref="A147:G148" totalsRowShown="0" headerRowDxfId="1619" dataDxfId="1618" tableBorderDxfId="1617">
  <autoFilter ref="A147:G148" xr:uid="{BD66A881-30D1-4979-8390-5888D14E5877}"/>
  <tableColumns count="7">
    <tableColumn id="1" xr3:uid="{13783657-DC5F-4275-8FA9-E0AD841FFC23}" name="Дата" dataDxfId="1616"/>
    <tableColumn id="2" xr3:uid="{0B5CA7E5-DEED-4EDB-9AA9-D9AEAA9DC0CB}" name="Клиент" dataDxfId="1615"/>
    <tableColumn id="3" xr3:uid="{7A41C99D-FA26-4C48-B3D2-AF05155ACF79}" name="Менеджер" dataDxfId="1614" dataCellStyle="Обычный 2"/>
    <tableColumn id="4" xr3:uid="{BEA77385-6E68-406C-B00B-6C494FB29A03}" name="Контакт в 1С" dataDxfId="1613"/>
    <tableColumn id="5" xr3:uid="{79EE6100-DF4A-49F8-BE3E-EBC0F74AF6D9}" name="№ сделки" dataDxfId="1612"/>
    <tableColumn id="6" xr3:uid="{A19031FF-12DD-45C4-8CBE-2CB761250382}" name="Цель" dataDxfId="1611"/>
    <tableColumn id="7" xr3:uid="{9F72E732-517D-42C5-8B11-6FB4CDB20A61}" name="Результат" dataDxfId="1610"/>
  </tableColumns>
  <tableStyleInfo name="TableStyleMedium2" showFirstColumn="0" showLastColumn="0" showRowStripes="1" showColumnStripes="0"/>
</table>
</file>

<file path=xl/tables/table2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5" xr:uid="{B5CFE9B7-E11E-4840-AA42-B6E75C362D2C}" name="Таблица4936997167333146617691106121136151166196211196226241256" displayName="Таблица4936997167333146617691106121136151166196211196226241256" ref="A21:D33" totalsRowShown="0" headerRowDxfId="1609" dataDxfId="1607" headerRowBorderDxfId="1608" tableBorderDxfId="1606" totalsRowBorderDxfId="1605">
  <autoFilter ref="A21:D33" xr:uid="{8999CE3E-52FF-4AF3-AA18-1DA9A764C519}"/>
  <tableColumns count="4">
    <tableColumn id="1" xr3:uid="{F19409DC-95EE-4608-9788-C4B0EECC72E7}" name="Месяц" dataDxfId="1604"/>
    <tableColumn id="2" xr3:uid="{515C62C3-1C4D-48E3-B9BD-98DF725EB05B}" name="Профит" dataDxfId="1603"/>
    <tableColumn id="3" xr3:uid="{9F412AED-A774-464F-99A9-5649BB771A48}" name="План" dataDxfId="1602"/>
    <tableColumn id="4" xr3:uid="{0497EDAB-C419-4857-9F64-5BA37060E21C}" name="Выполнение" dataDxfId="1601">
      <calculatedColumnFormula>Таблица4936997167333146617691106121136151166196211196226241256[[#This Row],[Профит]]/Таблица4936997167333146617691106121136151166196211196226241256[[#This Row],[План]]</calculatedColumnFormula>
    </tableColumn>
  </tableColumns>
  <tableStyleInfo name="TableStyleMedium2" showFirstColumn="0" showLastColumn="0" showRowStripes="1" showColumnStripes="0"/>
</table>
</file>

<file path=xl/tables/table2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6" xr:uid="{5B898662-9346-4AC6-B7DE-54A63F3E399B}" name="Таблица11029163037445158657223303744515865727986931009223548627690104107127139151163183152947637995111127143159175183450668298114130146545561577589605619635651667683700717163247627792107122137152182197182212227242257" displayName="Таблица11029163037445158657223303744515865727986931009223548627690104107127139151163183152947637995111127143159175183450668298114130146545561577589605619635651667683700717163247627792107122137152182197182212227242257" ref="A6:F7" totalsRowShown="0" headerRowDxfId="1600" dataDxfId="1599">
  <tableColumns count="6">
    <tableColumn id="1" xr3:uid="{18BC4742-32F7-4CB4-A9EF-F407D8C13E4F}" name="Менеджер" dataDxfId="1598"/>
    <tableColumn id="2" xr3:uid="{3DA0F7E0-C985-4CC2-B5DB-3A58FA57386D}" name="План, руб." dataDxfId="1597">
      <calculatedColumnFormula>C22</calculatedColumnFormula>
    </tableColumn>
    <tableColumn id="3" xr3:uid="{A5C22DFD-BB3C-4AE6-ABAC-326F6BF503B8}" name="Факт, руб." dataDxfId="1596">
      <calculatedColumnFormula>B22</calculatedColumnFormula>
    </tableColumn>
    <tableColumn id="4" xr3:uid="{ACA42C88-FD95-44F9-878C-135F90CB3045}" name="Отклонение, %" dataDxfId="1595" dataCellStyle="Процентный">
      <calculatedColumnFormula>Таблица11029163037445158657223303744515865727986931009223548627690104107127139151163183152947637995111127143159175183450668298114130146545561577589605619635651667683700717163247627792107122137152182197182212227242257[Факт, руб.]/Таблица11029163037445158657223303744515865727986931009223548627690104107127139151163183152947637995111127143159175183450668298114130146545561577589605619635651667683700717163247627792107122137152182197182212227242257[План, руб.]-100%</calculatedColumnFormula>
    </tableColumn>
    <tableColumn id="7" xr3:uid="{C090B669-7A76-471A-A0C8-88D30873441D}" name="Отклонение, РУБ" dataDxfId="1594" dataCellStyle="Процентный">
      <calculatedColumnFormula>Таблица11029163037445158657223303744515865727986931009223548627690104107127139151163183152947637995111127143159175183450668298114130146545561577589605619635651667683700717163247627792107122137152182197182212227242257[Факт, руб.]-Таблица11029163037445158657223303744515865727986931009223548627690104107127139151163183152947637995111127143159175183450668298114130146545561577589605619635651667683700717163247627792107122137152182197182212227242257[План, руб.]</calculatedColumnFormula>
    </tableColumn>
    <tableColumn id="5" xr3:uid="{A66F0058-B262-4980-9B7D-EFC7AEFCDBA9}" name="Предыд месяц" dataDxfId="1593" dataCellStyle="Процентный"/>
  </tableColumns>
  <tableStyleInfo name="TableStyleMedium2" showFirstColumn="0" showLastColumn="0" showRowStripes="1" showColumnStripes="0"/>
</table>
</file>

<file path=xl/tables/table2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7" xr:uid="{9215CAC6-9D10-43F6-ADF4-22E0D9932BC8}" name="Таблица211301731384552596673243138455259667380879410110233649637791105109128140152164184163248648096112128144160176193551678399115131147546562578590606620636652668684701718173348637893108123138153183198183213228243258" displayName="Таблица211301731384552596673243138455259667380879410110233649637791105109128140152164184163248648096112128144160176193551678399115131147546562578590606620636652668684701718173348637893108123138153183198183213228243258" ref="A16:E17" totalsRowShown="0" headerRowDxfId="1592" dataDxfId="1591">
  <tableColumns count="5">
    <tableColumn id="1" xr3:uid="{84697208-96CA-4A4C-8321-34894C63DECB}" name="Менеджер" dataDxfId="1590"/>
    <tableColumn id="2" xr3:uid="{33E8A557-3F2C-4A63-8517-14E3C8FF822C}" name="Профит ФГ 24-25" dataDxfId="1589"/>
    <tableColumn id="3" xr3:uid="{434202F6-6774-40BA-A7E3-0ADA8C19C2EE}" name="Профит ФГ 25-26" dataDxfId="1588"/>
    <tableColumn id="4" xr3:uid="{679E8867-6870-4BFC-8B91-2853CAB168A7}" name="Профит ФГ 26-27" dataDxfId="1587" dataCellStyle="Процентный">
      <calculatedColumnFormula>B34</calculatedColumnFormula>
    </tableColumn>
    <tableColumn id="5" xr3:uid="{0FF90144-0D1C-423E-8BF1-F5ADF491A4FE}" name="Рост накопительно, % " dataDxfId="1586">
      <calculatedColumnFormula>Таблица211301731384552596673243138455259667380879410110233649637791105109128140152164184163248648096112128144160176193551678399115131147546562578590606620636652668684701718173348637893108123138153183198183213228243258[Профит ФГ 26-27]/Таблица211301731384552596673243138455259667380879410110233649637791105109128140152164184163248648096112128144160176193551678399115131147546562578590606620636652668684701718173348637893108123138153183198183213228243258[Профит ФГ 25-26]</calculatedColumnFormula>
    </tableColumn>
  </tableColumns>
  <tableStyleInfo name="TableStyleMedium2" showFirstColumn="0" showLastColumn="0" showRowStripes="1" showColumnStripes="0"/>
</table>
</file>

<file path=xl/tables/table2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8" xr:uid="{9CA22DDC-DB8C-4F71-A60B-0D4F7F17F09B}" name="Таблица546243318323946536067742532394653606774818895102112437506478921061101291411531651851733496581971131291451611772036526884100116132148547563579593607621637653669685702719193449647994109124139154184199184214229244259" displayName="Таблица546243318323946536067742532394653606774818895102112437506478921061101291411531651851733496581971131291451611772036526884100116132148547563579593607621637653669685702719193449647994109124139154184199184214229244259" ref="A45:D49" totalsRowShown="0" headerRowDxfId="1585" dataDxfId="1584">
  <autoFilter ref="A45:D49" xr:uid="{3EADDA2E-FD58-4130-8A1C-8C20137591BB}"/>
  <tableColumns count="4">
    <tableColumn id="2" xr3:uid="{FC9B201C-282E-4D0B-8EA1-8AA95F94AC4A}" name="Холдинг" dataDxfId="1583"/>
    <tableColumn id="3" xr3:uid="{342624DD-442E-4D63-8B90-97F9D6194A67}" name="Сумма просроченного долга" dataDxfId="1582" dataCellStyle="Денежный"/>
    <tableColumn id="4" xr3:uid="{C66126F1-5261-4935-8540-200483625607}" name="Общая сумма долга" dataDxfId="1581" dataCellStyle="Денежный"/>
    <tableColumn id="5" xr3:uid="{32E39945-7524-4617-BA20-E64C7DF3C923}" name="% просрочки" dataDxfId="1580" dataCellStyle="Процентный">
      <calculatedColumnFormula>Таблица546243318323946536067742532394653606774818895102112437506478921061101291411531651851733496581971131291451611772036526884100116132148547563579593607621637653669685702719193449647994109124139154184199184214229244259[[#This Row],[Сумма просроченного долга]]/Таблица546243318323946536067742532394653606774818895102112437506478921061101291411531651851733496581971131291451611772036526884100116132148547563579593607621637653669685702719193449647994109124139154184199184214229244259[[#This Row],[Общая сумма долга]]</calculatedColumnFormula>
    </tableColumn>
  </tableColumns>
  <tableStyleInfo name="TableStyleMedium2" showFirstColumn="0" showLastColumn="0" showRowStripes="1" showColumnStripes="0"/>
</table>
</file>

<file path=xl/tables/table2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9" xr:uid="{56FB6523-2A28-4BF2-A4A5-9F36086491E8}" name="Таблица173043567084981121171311431551671871935516783991151311471631792238547086102118134150548564580594608622638654670686703720203550658095110125140155185200185215230245260" displayName="Таблица173043567084981121171311431551671871935516783991151311471631792238547086102118134150548564580594608622638654670686703720203550658095110125140155185200185215230245260" ref="A129:G130" totalsRowShown="0" headerRowDxfId="1579" dataDxfId="1578" tableBorderDxfId="1577">
  <autoFilter ref="A129:G130" xr:uid="{5F2E2A5D-7666-4FD4-A50A-70ADD98392B4}"/>
  <sortState xmlns:xlrd2="http://schemas.microsoft.com/office/spreadsheetml/2017/richdata2" ref="A130:G130">
    <sortCondition ref="D129:D130"/>
  </sortState>
  <tableColumns count="7">
    <tableColumn id="1" xr3:uid="{5F95FA77-3127-403C-81FC-D075DE72A56F}" name="Дата" dataDxfId="1576"/>
    <tableColumn id="2" xr3:uid="{E2C565EF-3A4B-456E-943B-D1F8C76D46D6}" name="Клиент" dataDxfId="1575"/>
    <tableColumn id="3" xr3:uid="{38C1621D-ECD9-485D-8D2B-540C57F41DBA}" name="Менеджер" dataDxfId="1574" dataCellStyle="Обычный 2"/>
    <tableColumn id="4" xr3:uid="{E014FFD2-1D2D-4DC7-B92D-504FE97E9616}" name="Контакт в 1С" dataDxfId="1573"/>
    <tableColumn id="5" xr3:uid="{F3B3C067-682A-44CE-92B5-32C6DFCD80FA}" name="№ сделки" dataDxfId="1572"/>
    <tableColumn id="6" xr3:uid="{0A8C584D-3B75-4745-829A-D3E6AEE78E7C}" name="Цель" dataDxfId="1571"/>
    <tableColumn id="7" xr3:uid="{79CA75A7-89FC-4095-AE69-C241D3152190}" name="Результат" dataDxfId="1570"/>
  </tableColumns>
  <tableStyleInfo name="TableStyleMedium2" showFirstColumn="0" showLastColumn="0" showRowStripes="1" showColumnStripes="0"/>
</table>
</file>

<file path=xl/tables/table2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0" xr:uid="{96E9BB86-716D-4218-A7A2-971C35157F3E}" name="Таблица1931445771859911312013214415616818820365268841001161321481641802339557187103119135151549565581595609623639655671687704721213651668196111126141156186201186216231246261" displayName="Таблица1931445771859911312013214415616818820365268841001161321481641802339557187103119135151549565581595609623639655671687704721213651668196111126141156186201186216231246261" ref="A135:G138" totalsRowShown="0" headerRowDxfId="1569" dataDxfId="1568" tableBorderDxfId="1567">
  <autoFilter ref="A135:G138" xr:uid="{CC17A23E-B8E4-4CBF-BC3B-16FF0249D515}"/>
  <tableColumns count="7">
    <tableColumn id="1" xr3:uid="{12DE8E04-4F8F-4065-A083-28AE7AEC4864}" name="Цель" dataDxfId="1566" dataCellStyle="Обычный 2"/>
    <tableColumn id="2" xr3:uid="{B6A170D9-E5B9-4FE2-AB3E-C9B4DCD0FAA0}" name="Необходимый результат" dataDxfId="1565" dataCellStyle="Обычный 2"/>
    <tableColumn id="3" xr3:uid="{A7238B94-16B8-4A1D-A09A-2B050EA86368}" name="Выполнено да/нет" dataDxfId="1564" dataCellStyle="Обычный"/>
    <tableColumn id="4" xr3:uid="{DE3ED77D-716D-47E2-90A8-EC6284D1A135}" name="Комментарий по выполненной задаче" dataDxfId="1563" dataCellStyle="Обычный 2"/>
    <tableColumn id="5" xr3:uid="{C23617AE-6619-430A-A328-F9137D36DAFC}" name="Мотивация" dataDxfId="1562"/>
    <tableColumn id="6" xr3:uid="{6660FBAB-5D91-4BED-9520-875D4011C9F0}" name="Менеджер" dataDxfId="1561"/>
    <tableColumn id="7" xr3:uid="{EE73E603-92DB-4FD2-B592-14E73208C0BB}" name="К оплате" dataDxfId="1560"/>
  </tableColumns>
  <tableStyleInfo name="TableStyleMedium2" showFirstColumn="0" showLastColumn="0" showRowStripes="1" showColumnStripes="0"/>
</table>
</file>

<file path=xl/tables/table2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1" xr:uid="{8512967B-6426-435A-9187-B87ED2740203}" name="Таблица20324558728610011412113314515716918921375369851011171331491651812440567288104120136152550566582596610624640656672688705722223752678297112127142157187202187217232247262" displayName="Таблица20324558728610011412113314515716918921375369851011171331491651812440567288104120136152550566582596610624640656672688705722223752678297112127142157187202187217232247262" ref="A142:G146" totalsRowShown="0" headerRowDxfId="1559" dataDxfId="1558" tableBorderDxfId="1557">
  <autoFilter ref="A142:G146" xr:uid="{16803243-7F25-4AF5-AE4A-7C5E11F25A09}"/>
  <tableColumns count="7">
    <tableColumn id="1" xr3:uid="{12CD2ABC-26C6-448B-B380-9E145C6C0B60}" name="Цель" dataDxfId="1556"/>
    <tableColumn id="2" xr3:uid="{76559B38-2086-4E97-8F3B-00EEF8B3C353}" name="Необходимый результат" dataDxfId="1555"/>
    <tableColumn id="3" xr3:uid="{8D4816FC-CCB0-40E4-9B77-696DC83E4A49}" name="Выполнено да/нет" dataDxfId="1554"/>
    <tableColumn id="4" xr3:uid="{2318A253-E52C-4A90-AF1C-658A0E5E72FB}" name="Комментарий по выполненной задаче" dataDxfId="1553"/>
    <tableColumn id="5" xr3:uid="{42A62A26-D77B-4BD4-999C-2DF9D2C47337}" name="Мотивация" dataDxfId="1552"/>
    <tableColumn id="6" xr3:uid="{2FE752D2-7017-42EC-B83B-25DCC6B1FA53}" name="Менеджер" dataDxfId="1551"/>
    <tableColumn id="7" xr3:uid="{8D57B779-D1E8-4E0A-AE6A-44D37E4A4D19}" name="К оплате" dataDxfId="1550"/>
  </tableColumns>
  <tableStyleInfo name="TableStyleMedium2" showFirstColumn="0" showLastColumn="0" showRowStripes="1" showColumnStripes="0"/>
</table>
</file>

<file path=xl/tables/table2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2" xr:uid="{DF37AEAB-D671-4435-9BD5-AA9A66C1C461}" name="Таблица16334659738710111512213414615817019022385470861021181341501661822541577389105121137153551567583597611625641657673689706723233853688398113128143158188203188218233248263" displayName="Таблица16334659738710111512213414615817019022385470861021181341501661822541577389105121137153551567583597611625641657673689706723233853688398113128143158188203188218233248263" ref="A55:F66" totalsRowShown="0" headerRowDxfId="1549" dataDxfId="1548" totalsRowDxfId="1546" tableBorderDxfId="1547" totalsRowBorderDxfId="1545">
  <autoFilter ref="A55:F66" xr:uid="{9246B9BD-73A5-4351-9AA2-07EE59ED4E9D}"/>
  <sortState xmlns:xlrd2="http://schemas.microsoft.com/office/spreadsheetml/2017/richdata2" ref="A56:F66">
    <sortCondition descending="1" ref="D55:D66"/>
  </sortState>
  <tableColumns count="6">
    <tableColumn id="1" xr3:uid="{3CC846EA-3EFE-4580-AD99-716A734C57E3}" name="Клиент" dataDxfId="1544" totalsRowDxfId="1543"/>
    <tableColumn id="2" xr3:uid="{CF55BA14-650B-42F0-ADF0-B38A59314999}" name="Оборот" dataDxfId="1542" totalsRowDxfId="1541"/>
    <tableColumn id="3" xr3:uid="{54494363-6F49-4B09-BFB0-31EDB46554C0}" name="Профит " dataDxfId="1540" totalsRowDxfId="1539"/>
    <tableColumn id="4" xr3:uid="{88A52EAC-9C9F-43F3-BCEB-2645C3AFEFA6}" name="%" dataDxfId="1538" totalsRowDxfId="1537"/>
    <tableColumn id="5" xr3:uid="{DC0C63C3-5B1B-4137-B227-BF4A226FB9AA}" name="Менеджер" dataDxfId="1536" totalsRowDxfId="1535"/>
    <tableColumn id="6" xr3:uid="{97ED5011-8ED0-4CAA-9F75-71AAE99A45FD}" name="Комментарий" dataDxfId="1534" totalsRowDxfId="1533" dataCellStyle="Финансовый"/>
  </tableColumns>
  <tableStyleInfo name="TableStyleLight9" showFirstColumn="0" showLastColumn="0" showRowStripes="1" showColumnStripes="0"/>
</table>
</file>

<file path=xl/tables/table2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3" xr:uid="{E114C951-BD28-4657-860E-BF869690AD74}" name="Таблица4211720344148556269768390978390111118125132139146153160167174181188195613202734414855626976839097104111118125132139146153160167175183198206214123135147159171191233955718710311913515116718326425874901061221381545525685845986126266426586746907077264" displayName="Таблица4211720344148556269768390978390111118125132139146153160167174181188195613202734414855626976839097104111118125132139146153160167175183198206214123135147159171191233955718710311913515116718326425874901061221381545525685845986126266426586746907077264" ref="A78:H91" totalsRowShown="0" headerRowDxfId="1532" dataDxfId="1531" dataCellStyle="Обычный 2">
  <autoFilter ref="A78:H91" xr:uid="{4ACBF2F4-2982-4E59-8F46-ECCA5C6BC7F5}"/>
  <sortState xmlns:xlrd2="http://schemas.microsoft.com/office/spreadsheetml/2017/richdata2" ref="A79:H91">
    <sortCondition descending="1" ref="G78:G91"/>
  </sortState>
  <tableColumns count="8">
    <tableColumn id="1" xr3:uid="{4F2FBBA6-90E2-4119-B0C2-445755E7D368}" name="Номер" dataDxfId="1530" dataCellStyle="Обычный 2"/>
    <tableColumn id="3" xr3:uid="{1D3F8A1A-14A7-48B2-85A4-74AE7051E654}" name="Клиент" dataDxfId="1529" dataCellStyle="Обычный 2"/>
    <tableColumn id="4" xr3:uid="{EC75E3D7-8BA2-47DD-941F-9CA40C3D98FF}" name="Менеджер" dataDxfId="1528" dataCellStyle="Обычный 2"/>
    <tableColumn id="5" xr3:uid="{33360A93-A57D-45A9-B81A-433174ABD57D}" name="Проект" dataDxfId="1527" dataCellStyle="Обычный 2"/>
    <tableColumn id="6" xr3:uid="{3375B25E-5914-4CAF-B28A-FB55733E1CBE}" name="Краткое описание проекта" dataDxfId="1526" dataCellStyle="Обычный 2"/>
    <tableColumn id="7" xr3:uid="{2EEC6176-881D-46FE-AA9F-5D8C2EB87DE0}" name="Дата завершения сделки" dataDxfId="1525" dataCellStyle="Обычный 2"/>
    <tableColumn id="8" xr3:uid="{EEB21A84-EB43-4428-956F-07762A36F832}" name="Сумма, тыс. руб." dataDxfId="1524" dataCellStyle="Обычный"/>
    <tableColumn id="2" xr3:uid="{15E2D8C1-A3C9-4623-8D9D-700F04D7F2F5}" name="Статус" dataDxfId="1523"/>
  </tableColumns>
  <tableStyleInfo name="TableStyleMedium2" showFirstColumn="0" showLastColumn="0" showRowStripes="1" showColumnStripes="0"/>
</table>
</file>

<file path=xl/tables/table2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4" xr:uid="{E02AF03E-0F14-46B7-9A65-57178BAD4E06}" name="Таблица9132738193340475461687582899682891101171241311381451521591661731801871945121926334047546168758289961031101171241311381451521591661741821902052131191251371491611731932541567288104120136152168184274359759110712313915555356958559961362764365967569265" displayName="Таблица9132738193340475461687582899682891101171241311381451521591661731801871945121926334047546168758289961031101171241311381451521591661741821902052131191251371491611731932541567288104120136152168184274359759110712313915555356958559961362764365967569265" ref="A72:H73" headerRowCount="0" totalsRowShown="0" headerRowDxfId="1522" dataDxfId="1521">
  <tableColumns count="8">
    <tableColumn id="1" xr3:uid="{A0ED80B6-0922-4F4A-ABC8-7F5C472FCFAE}" name="Февраль 2015" headerRowDxfId="1520" dataDxfId="1519" dataCellStyle="Название"/>
    <tableColumn id="2" xr3:uid="{1E427BD3-A4E4-4488-9595-933638B8057D}" name="Столбец1" headerRowDxfId="1518" dataDxfId="1517"/>
    <tableColumn id="3" xr3:uid="{1EED6663-708D-4FD4-BA8F-BC55E63F1EB5}" name="Столбец2" headerRowDxfId="1516" dataDxfId="1515"/>
    <tableColumn id="4" xr3:uid="{C1182921-0DEB-4739-A2B2-F8A288B0E4DD}" name="Столбец3" headerRowDxfId="1514" dataDxfId="1513"/>
    <tableColumn id="5" xr3:uid="{5D97FAA4-6AF6-41BF-8D2A-B12B9E49BC5D}" name="Столбец4" headerRowDxfId="1512" dataDxfId="1511"/>
    <tableColumn id="6" xr3:uid="{2870A140-AC2E-404D-BDA5-01E452FA1DE6}" name="Столбец5" headerRowDxfId="1510" dataDxfId="1509"/>
    <tableColumn id="7" xr3:uid="{2CFF2F48-229B-4EF6-A38C-DB42D52E7AA7}" name="Столбец6" headerRowDxfId="1508" dataDxfId="1507"/>
    <tableColumn id="8" xr3:uid="{B64CD35D-4FFD-40EF-9010-072C347CF047}" name="Столбец7" headerRowDxfId="1506" dataDxfId="1505"/>
  </tableColumns>
  <tableStyleInfo name="TableStyleMedium2" showFirstColumn="0" showLastColumn="0" showRowStripes="1" showColumnStripes="0"/>
</table>
</file>

<file path=xl/tables/table2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5" xr:uid="{639CA2EF-3A13-4A9B-B4F0-9A4E9B43FAB4}" name="Таблица125138150162174194264257738910512113715316918528446076921081241401565545705866006146286446606766927097262641567186101116131146161191206191221236251266" displayName="Таблица125138150162174194264257738910512113715316918528446076921081241401565545705866006146286446606766927097262641567186101116131146161191206191221236251266" ref="A94:H117" totalsRowShown="0" headerRowDxfId="1504" dataDxfId="1503">
  <autoFilter ref="A94:H117" xr:uid="{0F3DFAA2-5FF8-417D-8496-A5C766071E19}"/>
  <sortState xmlns:xlrd2="http://schemas.microsoft.com/office/spreadsheetml/2017/richdata2" ref="A95:H117">
    <sortCondition descending="1" ref="G94:G117"/>
  </sortState>
  <tableColumns count="8">
    <tableColumn id="1" xr3:uid="{6C69463E-BC77-4152-9B5C-DEE6A9B86201}" name="Номер" dataDxfId="1502"/>
    <tableColumn id="2" xr3:uid="{60AEEA5F-5218-4FF2-8E31-0C72E63A3DF6}" name="Клиент" dataDxfId="1501"/>
    <tableColumn id="3" xr3:uid="{596640AF-575C-4748-A9F2-1D793B61707D}" name="Менеджер" dataDxfId="1500" dataCellStyle="Обычный 2"/>
    <tableColumn id="4" xr3:uid="{0B7F5FCA-3E32-4D15-98B4-40459F237566}" name="Проект" dataDxfId="1499"/>
    <tableColumn id="5" xr3:uid="{A291997D-66C0-4C05-9194-7FDA6FDD7759}" name="Краткое описание проекта" dataDxfId="1498"/>
    <tableColumn id="6" xr3:uid="{B85A3948-FE61-4C69-8231-05416398FCF0}" name="Дата завершения сделки" dataDxfId="1497"/>
    <tableColumn id="7" xr3:uid="{D47DD67F-65DC-4763-8C42-D18E2C2DEDD1}" name="Сумма" dataDxfId="1496"/>
    <tableColumn id="8" xr3:uid="{74167ABA-3D4E-4F64-82A1-E0E16DDF8226}" name="Статус" dataDxfId="1495"/>
  </tableColumns>
  <tableStyleInfo name="TableStyleMedium2" showFirstColumn="0" showLastColumn="0" showRowStripes="1" showColumnStripes="0"/>
</table>
</file>

<file path=xl/tables/table2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6" xr:uid="{DEE0DE51-7538-4A34-BBB5-6868D0C7D6D1}" name="Таблица175195274358749010612213815417018629456177931091251411575555715876016156296456616776937107272742577287102117132147162192207192222237252267" displayName="Таблица175195274358749010612213815417018629456177931091251411575555715876016156296456616776937107272742577287102117132147162192207192222237252267" ref="A11:E12" totalsRowShown="0" headerRowDxfId="1494" dataDxfId="1493" tableBorderDxfId="1492">
  <tableColumns count="5">
    <tableColumn id="1" xr3:uid="{40D5F274-71D7-4425-9DEE-9355E8448722}" name="Менеджер" dataDxfId="1491"/>
    <tableColumn id="2" xr3:uid="{02006FD9-BF81-4A30-BDAE-275A420552F0}" name="План с НАЧАЛА ФГ, руб." dataDxfId="1490">
      <calculatedColumnFormula>SUM(C22)</calculatedColumnFormula>
    </tableColumn>
    <tableColumn id="3" xr3:uid="{D0A2B7D2-C937-441C-922E-AEEAA9FF8558}" name="Факт с НАЧАЛА ФГ, руб." dataDxfId="1489">
      <calculatedColumnFormula>B34</calculatedColumnFormula>
    </tableColumn>
    <tableColumn id="4" xr3:uid="{50C6CA09-C179-4F45-BBC4-34A1E248E2A3}" name="Отклонение, %" dataDxfId="1488">
      <calculatedColumnFormula>C12/B12-100%</calculatedColumnFormula>
    </tableColumn>
    <tableColumn id="5" xr3:uid="{0CE3593A-55E9-4B63-9AA7-98B7E375C7BE}" name="Отклонение, РУБ" dataDxfId="1487">
      <calculatedColumnFormula>C12-B12</calculatedColumnFormula>
    </tableColumn>
  </tableColumns>
  <tableStyleInfo name="TableStyleMedium2" showFirstColumn="0" showLastColumn="0" showRowStripes="1" showColumnStripes="0"/>
</table>
</file>

<file path=xl/tables/table2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7" xr:uid="{4D8279DB-32B0-4E43-B79A-3B1B380E38BE}" name="Таблица294459759110712313915517118730466278941101261421585565725886026166306466626786947117282843587388103118133148163193208193223238253268" displayName="Таблица294459759110712313915517118730466278941101261421585565725886026166306466626786947117282843587388103118133148163193208193223238253268" ref="A39:E40" totalsRowShown="0" headerRowDxfId="1486" dataDxfId="1485">
  <autoFilter ref="A39:E40" xr:uid="{A123EA08-D8D4-4987-8146-FF08418E565C}"/>
  <tableColumns count="5">
    <tableColumn id="2" xr3:uid="{FAEA2329-8704-4BF1-B917-9FEE561BCF95}" name="Факт" dataDxfId="1484">
      <calculatedColumnFormula>B22</calculatedColumnFormula>
    </tableColumn>
    <tableColumn id="9" xr3:uid="{3EC04D11-8129-4989-B56A-9217E35E9627}" name="Оклад" dataDxfId="1483" dataCellStyle="Процентный">
      <calculatedColumnFormula>50000</calculatedColumnFormula>
    </tableColumn>
    <tableColumn id="4" xr3:uid="{FF718C07-615C-4E40-B785-7D5C82B3C9B1}" name="Премия" dataDxfId="1482">
      <calculatedColumnFormula>A40*0.07*1.1</calculatedColumnFormula>
    </tableColumn>
    <tableColumn id="7" xr3:uid="{A75F8355-A8D1-492E-85AD-302304FD856D}" name="Доплата за Задачи" dataDxfId="1481">
      <calculatedColumnFormula>SUM(G136:G138)</calculatedColumnFormula>
    </tableColumn>
    <tableColumn id="6" xr3:uid="{97A7C230-134E-435F-924E-62B293DBE7A6}" name="Штрафы" dataDxfId="1480"/>
  </tableColumns>
  <tableStyleInfo name="TableStyleMedium2" showFirstColumn="0" showLastColumn="0" showRowStripes="1" showColumnStripes="0"/>
</table>
</file>

<file path=xl/tables/table2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8" xr:uid="{645936FF-3B3B-41D0-B6A9-3928435D19ED}" name="Таблица9132738193340475461687582899682891101171241311381451521591661731801871945121926334047546168758289961031101171241311381451521591661741821902052131241361481601721922440627894110126142158174190334965819711312914516155957559160361763164766367969571269" displayName="Таблица9132738193340475461687582899682891101171241311381451521591661731801871945121926334047546168758289961031101171241311381451521591661741821902052131241361481601721922440627894110126142158174190334965819711312914516155957559160361763164766367969571269" ref="A69:H71" headerRowCount="0" totalsRowShown="0" headerRowDxfId="1479" dataDxfId="1478">
  <tableColumns count="8">
    <tableColumn id="1" xr3:uid="{6FD27BBE-7B47-4749-A9DE-816424F719C3}" name="Февраль 2015" headerRowDxfId="1477" dataDxfId="1476" dataCellStyle="Название"/>
    <tableColumn id="2" xr3:uid="{0CDAA490-073E-40A5-B48C-B001F1D72AC9}" name="Столбец1" headerRowDxfId="1475" dataDxfId="1474"/>
    <tableColumn id="3" xr3:uid="{1625381F-96D2-4276-A9A6-70CEC722462C}" name="Столбец2" headerRowDxfId="1473" dataDxfId="1472"/>
    <tableColumn id="4" xr3:uid="{DE9043E0-4133-432F-BB64-8DB8B7DEAD77}" name="Столбец3" headerRowDxfId="1471" dataDxfId="1470"/>
    <tableColumn id="5" xr3:uid="{ECE0F27C-9FB2-464B-B91F-C6A1A065C87F}" name="Столбец4" headerRowDxfId="1469" dataDxfId="1468"/>
    <tableColumn id="6" xr3:uid="{08199314-D3D6-465F-B16A-C8DE2CD3F31E}" name="Столбец5" headerRowDxfId="1467" dataDxfId="1466"/>
    <tableColumn id="7" xr3:uid="{A39E97D4-FBC1-4006-8A62-C3CDEE1C2CFE}" name="Столбец6" headerRowDxfId="1465" dataDxfId="1464"/>
    <tableColumn id="8" xr3:uid="{4208BD7F-BDED-4E2D-AA57-410489CB58B5}" name="Столбец7" headerRowDxfId="1463" dataDxfId="1462"/>
  </tableColumns>
  <tableStyleInfo name="TableStyleMedium2" showFirstColumn="0" showLastColumn="0" showRowStripes="1" showColumnStripes="0"/>
</table>
</file>

<file path=xl/tables/table2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9" xr:uid="{D23CA611-3EEF-49C6-A8EE-B35DE20E2427}" name="Таблица1529425569839711111613014215416618618345066829811413014616217821375369851011171331495605765926046186326486646806967137303045607590105120135150165195210195225240255270" displayName="Таблица1529425569839711111613014215416618618345066829811413014616217821375369851011171331495605765926046186326486646806967137303045607590105120135150165195210195225240255270" ref="A122:G125" totalsRowShown="0" headerRowDxfId="1461" dataDxfId="1460" tableBorderDxfId="1459">
  <autoFilter ref="A122:G125" xr:uid="{BD66A881-30D1-4979-8390-5888D14E5877}"/>
  <tableColumns count="7">
    <tableColumn id="1" xr3:uid="{C900D6BB-D928-47BF-9629-D8E717A714C0}" name="Дата" dataDxfId="1458"/>
    <tableColumn id="2" xr3:uid="{EFE42A02-A189-44F9-BDDB-1ACEDF70D271}" name="Клиент" dataDxfId="1457"/>
    <tableColumn id="3" xr3:uid="{4FC38DD8-8068-4810-A702-FB6976A5EC4B}" name="Менеджер" dataDxfId="1456" dataCellStyle="Обычный 2"/>
    <tableColumn id="4" xr3:uid="{F1AA0E02-4341-4687-A860-40DF685516C4}" name="Контакт в 1С" dataDxfId="1455"/>
    <tableColumn id="5" xr3:uid="{57B1ADB1-5F2B-4076-83F5-52E08F9E0108}" name="№ сделки" dataDxfId="1454"/>
    <tableColumn id="6" xr3:uid="{11FE91DD-3BB8-498E-B5CA-45BAE1662F2D}" name="Цель" dataDxfId="1453"/>
    <tableColumn id="7" xr3:uid="{CB5A7B07-AC4E-4147-A880-E33ED506B187}" name="Результат" dataDxfId="1452"/>
  </tableColumns>
  <tableStyleInfo name="TableStyleMedium2" showFirstColumn="0" showLastColumn="0" showRowStripes="1" showColumnStripes="0"/>
</table>
</file>

<file path=xl/tables/table2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0" xr:uid="{38146636-04F9-4B9E-8909-816C6781C18D}" name="Таблица4936997167333146617691106121136151166196211196226241256271" displayName="Таблица4936997167333146617691106121136151166196211196226241256271" ref="A21:D33" totalsRowShown="0" headerRowDxfId="1451" dataDxfId="1449" headerRowBorderDxfId="1450" tableBorderDxfId="1448" totalsRowBorderDxfId="1447">
  <autoFilter ref="A21:D33" xr:uid="{8999CE3E-52FF-4AF3-AA18-1DA9A764C519}"/>
  <tableColumns count="4">
    <tableColumn id="1" xr3:uid="{459636D8-8E15-4335-BB9F-223DBAE65EC6}" name="Месяц" dataDxfId="1446"/>
    <tableColumn id="2" xr3:uid="{B2B92233-F110-4A0F-AC22-5D5AF4B46087}" name="Профит" dataDxfId="1445"/>
    <tableColumn id="3" xr3:uid="{8703827E-5C93-43CC-B497-E9EE5701C4A8}" name="План" dataDxfId="1444"/>
    <tableColumn id="4" xr3:uid="{41513084-B56F-4CB4-9202-053A7671C242}" name="Выполнение" dataDxfId="1443">
      <calculatedColumnFormula>Таблица4936997167333146617691106121136151166196211196226241256271[[#This Row],[Профит]]/Таблица4936997167333146617691106121136151166196211196226241256271[[#This Row],[План]]</calculatedColumnFormula>
    </tableColumn>
  </tableColumns>
  <tableStyleInfo name="TableStyleMedium2" showFirstColumn="0" showLastColumn="0" showRowStripes="1" showColumnStripes="0"/>
</table>
</file>

<file path=xl/tables/table2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6" xr:uid="{C10BC07D-4E01-4405-AF1F-C8E0504353A7}" name="Таблица11029163037445158657223303744515865727986931009223548627690104107127139151163183152947637995111127143159175183450668298114130146545561577589605619635651667683700717163247627792107122137152182197182212227242257287" displayName="Таблица11029163037445158657223303744515865727986931009223548627690104107127139151163183152947637995111127143159175183450668298114130146545561577589605619635651667683700717163247627792107122137152182197182212227242257287" ref="A6:F7" totalsRowShown="0" headerRowDxfId="1442" dataDxfId="1441">
  <tableColumns count="6">
    <tableColumn id="1" xr3:uid="{13A969B9-A778-416D-9704-E43F6EEC328C}" name="Менеджер" dataDxfId="1440"/>
    <tableColumn id="2" xr3:uid="{21525F82-D761-4A28-A7F6-B3A210DBFF86}" name="План, руб." dataDxfId="1439">
      <calculatedColumnFormula>C23</calculatedColumnFormula>
    </tableColumn>
    <tableColumn id="3" xr3:uid="{121B6058-FD7A-4112-8A1B-19424DB3183C}" name="Факт, руб." dataDxfId="1438">
      <calculatedColumnFormula>B23</calculatedColumnFormula>
    </tableColumn>
    <tableColumn id="4" xr3:uid="{1B23EDD5-053D-4D6B-8C9F-E21A4387C888}" name="Отклонение, %" dataDxfId="1437" dataCellStyle="Процентный">
      <calculatedColumnFormula>Таблица11029163037445158657223303744515865727986931009223548627690104107127139151163183152947637995111127143159175183450668298114130146545561577589605619635651667683700717163247627792107122137152182197182212227242257287[Факт, руб.]/Таблица11029163037445158657223303744515865727986931009223548627690104107127139151163183152947637995111127143159175183450668298114130146545561577589605619635651667683700717163247627792107122137152182197182212227242257287[План, руб.]-100%</calculatedColumnFormula>
    </tableColumn>
    <tableColumn id="7" xr3:uid="{CA37B902-C226-4B85-9D12-096DB0891187}" name="Отклонение, РУБ" dataDxfId="1436" dataCellStyle="Процентный">
      <calculatedColumnFormula>Таблица11029163037445158657223303744515865727986931009223548627690104107127139151163183152947637995111127143159175183450668298114130146545561577589605619635651667683700717163247627792107122137152182197182212227242257287[Факт, руб.]-Таблица11029163037445158657223303744515865727986931009223548627690104107127139151163183152947637995111127143159175183450668298114130146545561577589605619635651667683700717163247627792107122137152182197182212227242257287[План, руб.]</calculatedColumnFormula>
    </tableColumn>
    <tableColumn id="5" xr3:uid="{AB0E6212-B05D-4F3E-BDE4-0F1F866D3439}" name="Предыд месяц" dataDxfId="1435" dataCellStyle="Процентный">
      <calculatedColumnFormula>B22</calculatedColumnFormula>
    </tableColumn>
  </tableColumns>
  <tableStyleInfo name="TableStyleMedium2" showFirstColumn="0" showLastColumn="0" showRowStripes="1" showColumnStripes="0"/>
</table>
</file>

<file path=xl/tables/table2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7" xr:uid="{C5B453C4-BAA8-48AF-9521-43A631B47D69}" name="Таблица211301731384552596673243138455259667380879410110233649637791105109128140152164184163248648096112128144160176193551678399115131147546562578590606620636652668684701718173348637893108123138153183198183213228243258288" displayName="Таблица211301731384552596673243138455259667380879410110233649637791105109128140152164184163248648096112128144160176193551678399115131147546562578590606620636652668684701718173348637893108123138153183198183213228243258288" ref="A16:E17" totalsRowShown="0" headerRowDxfId="1434" dataDxfId="1433">
  <tableColumns count="5">
    <tableColumn id="1" xr3:uid="{7EB6CDA7-3B8F-4E3F-9339-754ABE6BA1CF}" name="Менеджер" dataDxfId="1432"/>
    <tableColumn id="2" xr3:uid="{25463D22-6D0B-40A0-BC45-9CB4AA0B091B}" name="Профит ФГ 24-25" dataDxfId="1431"/>
    <tableColumn id="3" xr3:uid="{40766C24-6809-46A3-B333-24E3A8D59A95}" name="Профит ФГ 25-26" dataDxfId="1430"/>
    <tableColumn id="4" xr3:uid="{54597124-46D6-452A-9BAC-A0A531F0DEC2}" name="Профит ФГ 26-27" dataDxfId="1429" dataCellStyle="Процентный">
      <calculatedColumnFormula>B34</calculatedColumnFormula>
    </tableColumn>
    <tableColumn id="5" xr3:uid="{23232C65-1AF1-4414-A9C9-1C8D1D63F820}" name="Рост накопительно, % " dataDxfId="1428">
      <calculatedColumnFormula>Таблица211301731384552596673243138455259667380879410110233649637791105109128140152164184163248648096112128144160176193551678399115131147546562578590606620636652668684701718173348637893108123138153183198183213228243258288[Профит ФГ 26-27]/Таблица211301731384552596673243138455259667380879410110233649637791105109128140152164184163248648096112128144160176193551678399115131147546562578590606620636652668684701718173348637893108123138153183198183213228243258288[Профит ФГ 25-26]</calculatedColumnFormula>
    </tableColumn>
  </tableColumns>
  <tableStyleInfo name="TableStyleMedium2" showFirstColumn="0" showLastColumn="0" showRowStripes="1" showColumnStripes="0"/>
</table>
</file>

<file path=xl/tables/table2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8" xr:uid="{DE6BB601-6E2C-4D83-BA44-89235A37FA72}" name="Таблица546243318323946536067742532394653606774818895102112437506478921061101291411531651851733496581971131291451611772036526884100116132148547563579593607621637653669685702719193449647994109124139154184199184214229244259289" displayName="Таблица546243318323946536067742532394653606774818895102112437506478921061101291411531651851733496581971131291451611772036526884100116132148547563579593607621637653669685702719193449647994109124139154184199184214229244259289" ref="A45:D47" totalsRowShown="0" headerRowDxfId="1427" dataDxfId="1426">
  <autoFilter ref="A45:D47" xr:uid="{3EADDA2E-FD58-4130-8A1C-8C20137591BB}"/>
  <tableColumns count="4">
    <tableColumn id="2" xr3:uid="{5F96FC85-55A2-4B26-B80B-9A1FBC0179B1}" name="Холдинг" dataDxfId="1425"/>
    <tableColumn id="3" xr3:uid="{10CCE790-8148-4DB1-9C09-6104A8E2D32A}" name="Сумма просроченного долга" dataDxfId="1424" dataCellStyle="Денежный"/>
    <tableColumn id="4" xr3:uid="{06D7BC2C-8690-4262-AEE9-F54282ED4017}" name="Общая сумма долга" dataDxfId="1423" dataCellStyle="Денежный"/>
    <tableColumn id="5" xr3:uid="{85F8AE66-115F-4852-8B3F-68B1195A2A33}" name="% просрочки" dataDxfId="1422" dataCellStyle="Процентный">
      <calculatedColumnFormula>Таблица546243318323946536067742532394653606774818895102112437506478921061101291411531651851733496581971131291451611772036526884100116132148547563579593607621637653669685702719193449647994109124139154184199184214229244259289[[#This Row],[Сумма просроченного долга]]/Таблица546243318323946536067742532394653606774818895102112437506478921061101291411531651851733496581971131291451611772036526884100116132148547563579593607621637653669685702719193449647994109124139154184199184214229244259289[[#This Row],[Общая сумма долга]]</calculatedColumnFormula>
    </tableColumn>
  </tableColumns>
  <tableStyleInfo name="TableStyleMedium2" showFirstColumn="0" showLastColumn="0" showRowStripes="1" showColumnStripes="0"/>
</table>
</file>

<file path=xl/tables/table2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9" xr:uid="{6F18201C-52B4-4B2F-A06C-3560A4CCD7F3}" name="Таблица173043567084981121171311431551671871935516783991151311471631792238547086102118134150548564580594608622638654670686703720203550658095110125140155185200185215230245260290" displayName="Таблица173043567084981121171311431551671871935516783991151311471631792238547086102118134150548564580594608622638654670686703720203550658095110125140155185200185215230245260290" ref="A104:G105" totalsRowShown="0" headerRowDxfId="1421" dataDxfId="1420" tableBorderDxfId="1419">
  <autoFilter ref="A104:G105" xr:uid="{5F2E2A5D-7666-4FD4-A50A-70ADD98392B4}"/>
  <sortState xmlns:xlrd2="http://schemas.microsoft.com/office/spreadsheetml/2017/richdata2" ref="A105:G105">
    <sortCondition ref="D104:D105"/>
  </sortState>
  <tableColumns count="7">
    <tableColumn id="1" xr3:uid="{33D7F432-6D1D-4E80-8774-7948B0F191F0}" name="Дата" dataDxfId="1418"/>
    <tableColumn id="2" xr3:uid="{94FEA22B-56A7-4540-A3B6-B1940D652EB8}" name="Клиент" dataDxfId="1417"/>
    <tableColumn id="3" xr3:uid="{28E67EEB-24DC-479D-9718-D4E8CA522672}" name="Менеджер" dataDxfId="1416" dataCellStyle="Обычный 2"/>
    <tableColumn id="4" xr3:uid="{804EBCD4-4881-427D-904E-B32B042F32B3}" name="Контакт в 1С" dataDxfId="1415"/>
    <tableColumn id="5" xr3:uid="{172A9D12-49EC-4F02-8FAF-80DF257BED3D}" name="№ сделки" dataDxfId="1414"/>
    <tableColumn id="6" xr3:uid="{2EF4C2F1-3888-4DE1-AFDF-7E869D42A991}" name="Цель" dataDxfId="1413"/>
    <tableColumn id="7" xr3:uid="{4C1F66F1-268F-4878-A68C-DE9F4C17310D}" name="Результат" dataDxfId="1412"/>
  </tableColumns>
  <tableStyleInfo name="TableStyleMedium2" showFirstColumn="0" showLastColumn="0" showRowStripes="1" showColumnStripes="0"/>
</table>
</file>

<file path=xl/tables/table2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0" xr:uid="{20867F29-EAA0-4867-956C-83D8890A6C19}" name="Таблица1931445771859911312013214415616818820365268841001161321481641802339557187103119135151549565581595609623639655671687704721213651668196111126141156186201186216231246261291" displayName="Таблица1931445771859911312013214415616818820365268841001161321481641802339557187103119135151549565581595609623639655671687704721213651668196111126141156186201186216231246261291" ref="A110:G113" totalsRowShown="0" headerRowDxfId="1411" dataDxfId="1410" tableBorderDxfId="1409">
  <autoFilter ref="A110:G113" xr:uid="{CC17A23E-B8E4-4CBF-BC3B-16FF0249D515}"/>
  <tableColumns count="7">
    <tableColumn id="1" xr3:uid="{B5DBB243-FDE7-4D47-BE18-D8418F353E41}" name="Цель" dataDxfId="1408" dataCellStyle="Обычный 2"/>
    <tableColumn id="2" xr3:uid="{FB02FC4E-8298-4141-BED9-8641B7A69E1C}" name="Необходимый результат" dataDxfId="1407" dataCellStyle="Обычный 2"/>
    <tableColumn id="3" xr3:uid="{9D00618A-170B-483C-BC98-3A50AD2F3AD5}" name="Выполнено да/нет" dataDxfId="1406" dataCellStyle="Обычный"/>
    <tableColumn id="4" xr3:uid="{16E47EA9-1ECE-4006-AE36-5AD3FFA644BF}" name="Комментарий по выполненной задаче" dataDxfId="1405" dataCellStyle="Обычный 2"/>
    <tableColumn id="5" xr3:uid="{F5D4D653-C8FD-4C7B-8F6E-9934EE545948}" name="Мотивация" dataDxfId="1404"/>
    <tableColumn id="6" xr3:uid="{70CC9542-0B3F-4C85-AFE2-760E47C365A3}" name="Менеджер" dataDxfId="1403"/>
    <tableColumn id="7" xr3:uid="{3E27B0A1-1E14-40B7-850F-619EE2324464}" name="К оплате" dataDxfId="1402"/>
  </tableColumns>
  <tableStyleInfo name="TableStyleMedium2" showFirstColumn="0" showLastColumn="0" showRowStripes="1" showColumnStripes="0"/>
</table>
</file>

<file path=xl/tables/table2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1" xr:uid="{24E03634-500D-46F5-BBFB-F8500E556B9F}" name="Таблица20324558728610011412113314515716918921375369851011171331491651812440567288104120136152550566582596610624640656672688705722223752678297112127142157187202187217232247262292" displayName="Таблица20324558728610011412113314515716918921375369851011171331491651812440567288104120136152550566582596610624640656672688705722223752678297112127142157187202187217232247262292" ref="A116:G119" totalsRowShown="0" headerRowDxfId="1401" dataDxfId="1400" tableBorderDxfId="1399">
  <autoFilter ref="A116:G119" xr:uid="{16803243-7F25-4AF5-AE4A-7C5E11F25A09}"/>
  <tableColumns count="7">
    <tableColumn id="1" xr3:uid="{2840B8E1-0761-4FF0-BF24-592468718950}" name="Цель" dataDxfId="1398"/>
    <tableColumn id="2" xr3:uid="{F50F293B-229E-48C9-BEC5-3A040CD88B1F}" name="Необходимый результат" dataDxfId="1397"/>
    <tableColumn id="3" xr3:uid="{C6EBED6C-F73F-4A9A-985C-D12BDC87442D}" name="Выполнено да/нет" dataDxfId="1396"/>
    <tableColumn id="4" xr3:uid="{86AB8C29-4037-483A-A4C8-9C2C72C9A955}" name="Комментарий по выполненной задаче" dataDxfId="1395"/>
    <tableColumn id="5" xr3:uid="{09C8F08E-665F-4755-A593-628292D9D86C}" name="Мотивация" dataDxfId="1394"/>
    <tableColumn id="6" xr3:uid="{3FE174AE-D24F-4207-8F2A-9BD3E6DFA30D}" name="Менеджер" dataDxfId="1393"/>
    <tableColumn id="7" xr3:uid="{69BDB2F0-93A6-49A3-AE20-CCA61DF2EFE0}" name="К оплате" dataDxfId="1392"/>
  </tableColumns>
  <tableStyleInfo name="TableStyleMedium2" showFirstColumn="0" showLastColumn="0" showRowStripes="1" showColumnStripes="0"/>
</table>
</file>

<file path=xl/tables/table2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2" xr:uid="{34FCD5D2-1CA9-4874-A24F-297850ED3EA2}" name="Таблица16334659738710111512213414615817019022385470861021181341501661822541577389105121137153551567583597611625641657673689706723233853688398113128143158188203188218233248263293" displayName="Таблица16334659738710111512213414615817019022385470861021181341501661822541577389105121137153551567583597611625641657673689706723233853688398113128143158188203188218233248263293" ref="A53:F61" totalsRowShown="0" headerRowDxfId="1391" dataDxfId="1390" totalsRowDxfId="1388" tableBorderDxfId="1389" totalsRowBorderDxfId="1387">
  <autoFilter ref="A53:F61" xr:uid="{9246B9BD-73A5-4351-9AA2-07EE59ED4E9D}"/>
  <sortState xmlns:xlrd2="http://schemas.microsoft.com/office/spreadsheetml/2017/richdata2" ref="A54:F61">
    <sortCondition descending="1" ref="D53:D61"/>
  </sortState>
  <tableColumns count="6">
    <tableColumn id="1" xr3:uid="{CC0A3E78-97A1-4754-9558-20F65DEEDF2F}" name="Клиент" dataDxfId="1386" totalsRowDxfId="1385"/>
    <tableColumn id="2" xr3:uid="{4B4BEABD-A21A-4A4C-B2F4-4C9870EE4726}" name="Оборот" dataDxfId="1384" totalsRowDxfId="1383"/>
    <tableColumn id="3" xr3:uid="{D498DAFF-CA5B-49C7-A33B-8A1EB60B64A3}" name="Профит " dataDxfId="1382" totalsRowDxfId="1381"/>
    <tableColumn id="4" xr3:uid="{12E2691D-96AE-49B8-BB9F-32924B029732}" name="%" dataDxfId="1380" totalsRowDxfId="1379"/>
    <tableColumn id="5" xr3:uid="{4A282F1A-80E1-4E63-B150-258D25FFD95D}" name="Менеджер" dataDxfId="1378" totalsRowDxfId="1377"/>
    <tableColumn id="6" xr3:uid="{4FBECEAB-C793-43BB-86FA-0DF7DD67586D}" name="Комментарий" dataDxfId="1376" totalsRowDxfId="1375" dataCellStyle="Финансовый"/>
  </tableColumns>
  <tableStyleInfo name="TableStyleLight9" showFirstColumn="0" showLastColumn="0" showRowStripes="1" showColumnStripes="0"/>
</table>
</file>

<file path=xl/tables/table2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3" xr:uid="{CC2A6024-9C9F-496B-9F77-F7A259A6CEEB}" name="Таблица4211720344148556269768390978390111118125132139146153160167174181188195613202734414855626976839097104111118125132139146153160167175183198206214123135147159171191233955718710311913515116718326425874901061221381545525685845986126266426586746907077294" displayName="Таблица4211720344148556269768390978390111118125132139146153160167174181188195613202734414855626976839097104111118125132139146153160167175183198206214123135147159171191233955718710311913515116718326425874901061221381545525685845986126266426586746907077294" ref="A73:H80" totalsRowShown="0" headerRowDxfId="1374" dataDxfId="1373" dataCellStyle="Обычный 2">
  <autoFilter ref="A73:H80" xr:uid="{4ACBF2F4-2982-4E59-8F46-ECCA5C6BC7F5}"/>
  <sortState xmlns:xlrd2="http://schemas.microsoft.com/office/spreadsheetml/2017/richdata2" ref="A74:H80">
    <sortCondition descending="1" ref="G73:G80"/>
  </sortState>
  <tableColumns count="8">
    <tableColumn id="1" xr3:uid="{40A68658-4815-446A-BDDA-7BFF4C6F6673}" name="Номер" dataDxfId="1372" dataCellStyle="Обычный 2"/>
    <tableColumn id="3" xr3:uid="{8A6B6110-1BA0-4A96-BE41-930EB1EB94BB}" name="Клиент" dataDxfId="1371" dataCellStyle="Обычный 2"/>
    <tableColumn id="4" xr3:uid="{2B4A18D1-97C6-42BD-A8FB-F3E35041DA68}" name="Менеджер" dataDxfId="1370" dataCellStyle="Обычный 2"/>
    <tableColumn id="5" xr3:uid="{3747250C-22AF-447C-AE5A-9E77CE66EE58}" name="Проект" dataDxfId="1369" dataCellStyle="Обычный 2"/>
    <tableColumn id="6" xr3:uid="{7BF5AA9E-676B-40EB-8E96-557BEF9D33FF}" name="Краткое описание проекта" dataDxfId="1368" dataCellStyle="Обычный 2"/>
    <tableColumn id="7" xr3:uid="{3AE9BEC5-49B2-447A-AA40-0DE60FA48C15}" name="Дата завершения сделки" dataDxfId="1367" dataCellStyle="Обычный 2"/>
    <tableColumn id="8" xr3:uid="{892C654D-56D4-4027-9F06-9AE9C5BDDE95}" name="Сумма, тыс. руб." dataDxfId="1366" dataCellStyle="Обычный"/>
    <tableColumn id="2" xr3:uid="{B1E7AAB4-99A1-4723-A632-B2F9ABD904BB}" name="Статус" dataDxfId="1365"/>
  </tableColumns>
  <tableStyleInfo name="TableStyleMedium2" showFirstColumn="0" showLastColumn="0" showRowStripes="1" showColumnStripes="0"/>
</table>
</file>

<file path=xl/tables/table2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4" xr:uid="{A0EEA048-5DB9-4833-9B83-7210E4977BC4}" name="Таблица9132738193340475461687582899682891101171241311381451521591661731801871945121926334047546168758289961031101171241311381451521591661741821902052131191251371491611731932541567288104120136152168184274359759110712313915555356958559961362764365967569295" displayName="Таблица9132738193340475461687582899682891101171241311381451521591661731801871945121926334047546168758289961031101171241311381451521591661741821902052131191251371491611731932541567288104120136152168184274359759110712313915555356958559961362764365967569295" ref="A67:H68" headerRowCount="0" totalsRowShown="0" headerRowDxfId="1364" dataDxfId="1363">
  <tableColumns count="8">
    <tableColumn id="1" xr3:uid="{81706703-EF21-4D5C-B9FB-645B8F9CC6F1}" name="Февраль 2015" headerRowDxfId="1362" dataDxfId="1361" dataCellStyle="Название"/>
    <tableColumn id="2" xr3:uid="{596679C2-58BA-4309-A55A-68E6BC1F96D9}" name="Столбец1" headerRowDxfId="1360" dataDxfId="1359"/>
    <tableColumn id="3" xr3:uid="{77DF62D2-3251-4325-A289-F1BFB41E1143}" name="Столбец2" headerRowDxfId="1358" dataDxfId="1357"/>
    <tableColumn id="4" xr3:uid="{E5A68220-3415-4FFD-BC08-9879919D9681}" name="Столбец3" headerRowDxfId="1356" dataDxfId="1355"/>
    <tableColumn id="5" xr3:uid="{D92C2734-9299-465D-90EE-E8F0D45E5C75}" name="Столбец4" headerRowDxfId="1354" dataDxfId="1353"/>
    <tableColumn id="6" xr3:uid="{D6E47BE6-42EF-4EC8-9865-ABA18D3BDF9A}" name="Столбец5" headerRowDxfId="1352" dataDxfId="1351"/>
    <tableColumn id="7" xr3:uid="{AE6C7A2D-F1CF-4B52-8E13-839D269E46A6}" name="Столбец6" headerRowDxfId="1350" dataDxfId="1349"/>
    <tableColumn id="8" xr3:uid="{E232A240-F141-4FD7-A487-9C095C6B1215}" name="Столбец7" headerRowDxfId="1348" dataDxfId="1347"/>
  </tableColumns>
  <tableStyleInfo name="TableStyleMedium2" showFirstColumn="0" showLastColumn="0" showRowStripes="1" showColumnStripes="0"/>
</table>
</file>

<file path=xl/tables/table2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5" xr:uid="{3A2A1B57-29A7-4FE5-A175-C71BA91055D3}" name="Таблица125138150162174194264257738910512113715316918528446076921081241401565545705866006146286446606766927097262641567186101116131146161191206191221236251266296" displayName="Таблица125138150162174194264257738910512113715316918528446076921081241401565545705866006146286446606766927097262641567186101116131146161191206191221236251266296" ref="A83:H95" totalsRowShown="0" headerRowDxfId="1346" dataDxfId="1345">
  <autoFilter ref="A83:H95" xr:uid="{0F3DFAA2-5FF8-417D-8496-A5C766071E19}"/>
  <sortState xmlns:xlrd2="http://schemas.microsoft.com/office/spreadsheetml/2017/richdata2" ref="A84:H95">
    <sortCondition descending="1" ref="G83:G95"/>
  </sortState>
  <tableColumns count="8">
    <tableColumn id="1" xr3:uid="{9F5C08E2-523D-450F-B7D9-2C0EEFE63BF3}" name="Номер" dataDxfId="1344"/>
    <tableColumn id="2" xr3:uid="{8B0856F9-AD5C-42D2-81EB-10FBDCC568D9}" name="Клиент" dataDxfId="1343"/>
    <tableColumn id="3" xr3:uid="{99ED805C-7C69-4C28-83EF-6023FD6155FB}" name="Менеджер" dataDxfId="1342" dataCellStyle="Обычный 2"/>
    <tableColumn id="4" xr3:uid="{5F9C47CB-98AA-4DA7-8C47-23DD5E2AFE9B}" name="Проект" dataDxfId="1341"/>
    <tableColumn id="5" xr3:uid="{086A4794-26A4-44F5-A805-5BC71733E2D8}" name="Краткое описание проекта" dataDxfId="1340"/>
    <tableColumn id="6" xr3:uid="{88B654D8-D469-423F-B9F3-B97D9C92B948}" name="Дата завершения сделки" dataDxfId="1339"/>
    <tableColumn id="7" xr3:uid="{DD7698FB-A781-4878-9A69-A265D3801F2F}" name="Сумма" dataDxfId="1338"/>
    <tableColumn id="8" xr3:uid="{73C19952-7014-4417-A707-E50E48CEEF29}" name="Статус" dataDxfId="1337"/>
  </tableColumns>
  <tableStyleInfo name="TableStyleMedium2" showFirstColumn="0" showLastColumn="0" showRowStripes="1" showColumnStripes="0"/>
</table>
</file>

<file path=xl/tables/table2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6" xr:uid="{1B5DFC00-6461-4245-9B38-B878F67249DA}" name="Таблица175195274358749010612213815417018629456177931091251411575555715876016156296456616776937107272742577287102117132147162192207192222237252267297" displayName="Таблица175195274358749010612213815417018629456177931091251411575555715876016156296456616776937107272742577287102117132147162192207192222237252267297" ref="A11:E12" totalsRowShown="0" headerRowDxfId="1336" dataDxfId="1335" tableBorderDxfId="1334">
  <tableColumns count="5">
    <tableColumn id="1" xr3:uid="{AAAD6015-98E9-48E6-A90C-94A85C7E5440}" name="Менеджер" dataDxfId="1333"/>
    <tableColumn id="2" xr3:uid="{B6EE2E7E-4361-4D33-92D3-28360BC9F605}" name="План с НАЧАЛА ФГ, руб." dataDxfId="1332">
      <calculatedColumnFormula>SUM(C22:C23)</calculatedColumnFormula>
    </tableColumn>
    <tableColumn id="3" xr3:uid="{6E1B36EE-F070-4F0F-8994-19DF6B99219A}" name="Факт с НАЧАЛА ФГ, руб." dataDxfId="1331">
      <calculatedColumnFormula>B34</calculatedColumnFormula>
    </tableColumn>
    <tableColumn id="4" xr3:uid="{3DF63F38-FFE1-4FDD-9CE9-3A7AE04B66EB}" name="Отклонение, %" dataDxfId="1330">
      <calculatedColumnFormula>C12/B12-100%</calculatedColumnFormula>
    </tableColumn>
    <tableColumn id="5" xr3:uid="{B284071D-CE40-441B-98B0-2B42FB60B3D3}" name="Отклонение, РУБ" dataDxfId="1329">
      <calculatedColumnFormula>C12-B12</calculatedColumnFormula>
    </tableColumn>
  </tableColumns>
  <tableStyleInfo name="TableStyleMedium2" showFirstColumn="0" showLastColumn="0" showRowStripes="1" showColumnStripes="0"/>
</table>
</file>

<file path=xl/tables/table2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7" xr:uid="{97346415-6DCC-4E8E-8BE4-158883D1D140}" name="Таблица294459759110712313915517118730466278941101261421585565725886026166306466626786947117282843587388103118133148163193208193223238253268298" displayName="Таблица294459759110712313915517118730466278941101261421585565725886026166306466626786947117282843587388103118133148163193208193223238253268298" ref="A39:E40" totalsRowShown="0" headerRowDxfId="1328" dataDxfId="1327">
  <autoFilter ref="A39:E40" xr:uid="{A123EA08-D8D4-4987-8146-FF08418E565C}"/>
  <tableColumns count="5">
    <tableColumn id="2" xr3:uid="{28514752-4E24-4781-AAD7-AE0030954666}" name="Факт" dataDxfId="1326">
      <calculatedColumnFormula>B23</calculatedColumnFormula>
    </tableColumn>
    <tableColumn id="9" xr3:uid="{DB75E830-DDFB-4122-84ED-C025EE2D2ED5}" name="Оклад" dataDxfId="1325" dataCellStyle="Процентный">
      <calculatedColumnFormula>50000</calculatedColumnFormula>
    </tableColumn>
    <tableColumn id="4" xr3:uid="{EB57AB0C-C2F3-4C76-8C7D-C0074952E2AC}" name="Премия" dataDxfId="1324">
      <calculatedColumnFormula>A40*0.1*0.9</calculatedColumnFormula>
    </tableColumn>
    <tableColumn id="7" xr3:uid="{885EA460-D064-4AB0-B248-006CC9E5F228}" name="Доплата за Задачи" dataDxfId="1323">
      <calculatedColumnFormula>SUM(G111:G113)</calculatedColumnFormula>
    </tableColumn>
    <tableColumn id="6" xr3:uid="{270F0F24-00F4-4A98-A2DD-09C948A761C4}" name="Штрафы" dataDxfId="1322"/>
  </tableColumns>
  <tableStyleInfo name="TableStyleMedium2" showFirstColumn="0" showLastColumn="0" showRowStripes="1" showColumnStripes="0"/>
</table>
</file>

<file path=xl/tables/table2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8" xr:uid="{66F01AA8-0AFC-4079-9C16-C61A818F8C51}" name="Таблица9132738193340475461687582899682891101171241311381451521591661731801871945121926334047546168758289961031101171241311381451521591661741821902052131241361481601721922440627894110126142158174190334965819711312914516155957559160361763164766367969571299" displayName="Таблица9132738193340475461687582899682891101171241311381451521591661731801871945121926334047546168758289961031101171241311381451521591661741821902052131241361481601721922440627894110126142158174190334965819711312914516155957559160361763164766367969571299" ref="A64:H66" headerRowCount="0" totalsRowShown="0" headerRowDxfId="1321" dataDxfId="1320">
  <tableColumns count="8">
    <tableColumn id="1" xr3:uid="{23CD0A1B-96F2-4C8E-ABA4-FD658C32F69F}" name="Февраль 2015" headerRowDxfId="1319" dataDxfId="1318" dataCellStyle="Название"/>
    <tableColumn id="2" xr3:uid="{CE4ACA3E-8314-4324-BA5F-EFE585EE32E2}" name="Столбец1" headerRowDxfId="1317" dataDxfId="1316"/>
    <tableColumn id="3" xr3:uid="{C3EE5F12-5CF2-4A9B-9104-A53CB87BB98F}" name="Столбец2" headerRowDxfId="1315" dataDxfId="1314"/>
    <tableColumn id="4" xr3:uid="{91DAF119-5430-48A0-90E6-3B41D2A0ABC2}" name="Столбец3" headerRowDxfId="1313" dataDxfId="1312"/>
    <tableColumn id="5" xr3:uid="{51015BE7-3965-4708-981F-BE1BA225EFF5}" name="Столбец4" headerRowDxfId="1311" dataDxfId="1310"/>
    <tableColumn id="6" xr3:uid="{AD34B8CB-1A1E-4BF8-B27C-BDE43F31CCAD}" name="Столбец5" headerRowDxfId="1309" dataDxfId="1308"/>
    <tableColumn id="7" xr3:uid="{382F8B08-E659-496F-B517-640A798720EA}" name="Столбец6" headerRowDxfId="1307" dataDxfId="1306"/>
    <tableColumn id="8" xr3:uid="{199D3C62-B3E5-4EB1-AF92-6B985AC28BA2}" name="Столбец7" headerRowDxfId="1305" dataDxfId="1304"/>
  </tableColumns>
  <tableStyleInfo name="TableStyleMedium2" showFirstColumn="0" showLastColumn="0" showRowStripes="1" showColumnStripes="0"/>
</table>
</file>

<file path=xl/tables/table2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9" xr:uid="{E3FA6B04-4883-4ECB-9242-2F9E10F169E6}" name="Таблица1529425569839711111613014215416618618345066829811413014616217821375369851011171331495605765926046186326486646806967137303045607590105120135150165195210195225240255270300" displayName="Таблица1529425569839711111613014215416618618345066829811413014616217821375369851011171331495605765926046186326486646806967137303045607590105120135150165195210195225240255270300" ref="A99:G100" totalsRowShown="0" headerRowDxfId="1303" dataDxfId="1302" tableBorderDxfId="1301">
  <autoFilter ref="A99:G100" xr:uid="{BD66A881-30D1-4979-8390-5888D14E5877}"/>
  <tableColumns count="7">
    <tableColumn id="1" xr3:uid="{9EE53055-F093-4D7B-A35D-8DFF582AC9EB}" name="Дата" dataDxfId="1300"/>
    <tableColumn id="2" xr3:uid="{06D9B112-6BAD-4DB3-90D9-397E1103E0D0}" name="Клиент" dataDxfId="1299"/>
    <tableColumn id="3" xr3:uid="{E4E8458D-F7D9-4A46-A46A-0A12FC75E0BE}" name="Менеджер" dataDxfId="1298" dataCellStyle="Обычный 2"/>
    <tableColumn id="4" xr3:uid="{E27B8E6F-6318-48FC-88F9-D5207AD4947F}" name="Контакт в 1С" dataDxfId="1297"/>
    <tableColumn id="5" xr3:uid="{E1152C68-9A52-4B7B-832B-2D36DA1B13C3}" name="№ сделки" dataDxfId="1296"/>
    <tableColumn id="6" xr3:uid="{E0B8136F-C5B4-4FED-A6A9-EA07DDE5795A}" name="Цель" dataDxfId="1295"/>
    <tableColumn id="7" xr3:uid="{59EEE2A1-4E42-4E4C-B1E7-2FCC9FC7525F}" name="Результат" dataDxfId="1294"/>
  </tableColumns>
  <tableStyleInfo name="TableStyleMedium2" showFirstColumn="0" showLastColumn="0" showRowStripes="1" showColumnStripes="0"/>
</table>
</file>

<file path=xl/tables/table2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0" xr:uid="{AD92EA09-C7FC-481C-8369-99242EF42A28}" name="Таблица4936997167333146617691106121136151166196211196226241256271301" displayName="Таблица4936997167333146617691106121136151166196211196226241256271301" ref="A21:D33" totalsRowShown="0" headerRowDxfId="1293" dataDxfId="1291" headerRowBorderDxfId="1292" tableBorderDxfId="1290" totalsRowBorderDxfId="1289">
  <autoFilter ref="A21:D33" xr:uid="{8999CE3E-52FF-4AF3-AA18-1DA9A764C519}"/>
  <tableColumns count="4">
    <tableColumn id="1" xr3:uid="{0AB1D8EB-4363-4776-94B3-ACA233D88286}" name="Месяц" dataDxfId="1288"/>
    <tableColumn id="2" xr3:uid="{97E1EF2F-F299-4B30-9F13-50CA5238A727}" name="Профит" dataDxfId="1287"/>
    <tableColumn id="3" xr3:uid="{B97A93A1-AF2D-410E-8DB4-DFC7F0E5254B}" name="План" dataDxfId="1286"/>
    <tableColumn id="4" xr3:uid="{3BB81093-C6B1-496E-9690-6B4962FB5D20}" name="Выполнение" dataDxfId="1285">
      <calculatedColumnFormula>Таблица4936997167333146617691106121136151166196211196226241256271301[[#This Row],[Профит]]/Таблица4936997167333146617691106121136151166196211196226241256271301[[#This Row],[План]]</calculatedColumnFormula>
    </tableColumn>
  </tableColumns>
  <tableStyleInfo name="TableStyleMedium2" showFirstColumn="0" showLastColumn="0" showRowStripes="1" showColumnStripes="0"/>
</table>
</file>

<file path=xl/tables/table2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1" xr:uid="{F8771602-1B99-4256-B883-039265349F94}" name="Таблица11029163037445158657223303744515865727986931009223548627690104107127139151163183152947637995111127143159175183450668298114130146545561577589605619635651667683700717163247627792107122137152182197182212227242257287302" displayName="Таблица11029163037445158657223303744515865727986931009223548627690104107127139151163183152947637995111127143159175183450668298114130146545561577589605619635651667683700717163247627792107122137152182197182212227242257287302" ref="A6:F7" totalsRowShown="0" headerRowDxfId="1284" dataDxfId="1283">
  <tableColumns count="6">
    <tableColumn id="1" xr3:uid="{9E04F656-94A7-45A3-9F05-0E89433240D7}" name="Менеджер" dataDxfId="1282"/>
    <tableColumn id="2" xr3:uid="{93C3CD4F-0698-4F6B-BD43-95E6EEB6E552}" name="План, руб." dataDxfId="1281">
      <calculatedColumnFormula>C24</calculatedColumnFormula>
    </tableColumn>
    <tableColumn id="3" xr3:uid="{A627929C-E3A2-4A71-AB8C-75A23CF734BA}" name="Факт, руб." dataDxfId="1280">
      <calculatedColumnFormula>B24</calculatedColumnFormula>
    </tableColumn>
    <tableColumn id="4" xr3:uid="{65AA963D-29DF-43AA-819B-12C969A429DA}" name="Отклонение, %" dataDxfId="1279" dataCellStyle="Процентный">
      <calculatedColumnFormula>Таблица11029163037445158657223303744515865727986931009223548627690104107127139151163183152947637995111127143159175183450668298114130146545561577589605619635651667683700717163247627792107122137152182197182212227242257287302[Факт, руб.]/Таблица11029163037445158657223303744515865727986931009223548627690104107127139151163183152947637995111127143159175183450668298114130146545561577589605619635651667683700717163247627792107122137152182197182212227242257287302[План, руб.]-100%</calculatedColumnFormula>
    </tableColumn>
    <tableColumn id="7" xr3:uid="{C7D21F7D-9C60-46C9-87AE-3DB67F9F1CE3}" name="Отклонение, РУБ" dataDxfId="1278" dataCellStyle="Процентный">
      <calculatedColumnFormula>Таблица11029163037445158657223303744515865727986931009223548627690104107127139151163183152947637995111127143159175183450668298114130146545561577589605619635651667683700717163247627792107122137152182197182212227242257287302[Факт, руб.]-Таблица11029163037445158657223303744515865727986931009223548627690104107127139151163183152947637995111127143159175183450668298114130146545561577589605619635651667683700717163247627792107122137152182197182212227242257287302[План, руб.]</calculatedColumnFormula>
    </tableColumn>
    <tableColumn id="5" xr3:uid="{68253676-6A38-4C21-A960-442F5A0EE219}" name="Предыд месяц" dataDxfId="1277" dataCellStyle="Процентный">
      <calculatedColumnFormula>B23</calculatedColumnFormula>
    </tableColumn>
  </tableColumns>
  <tableStyleInfo name="TableStyleMedium2" showFirstColumn="0" showLastColumn="0" showRowStripes="1" showColumnStripes="0"/>
</table>
</file>

<file path=xl/tables/table2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2" xr:uid="{8A949039-287D-4E61-B3A5-D638C4B56227}" name="Таблица211301731384552596673243138455259667380879410110233649637791105109128140152164184163248648096112128144160176193551678399115131147546562578590606620636652668684701718173348637893108123138153183198183213228243258288303" displayName="Таблица211301731384552596673243138455259667380879410110233649637791105109128140152164184163248648096112128144160176193551678399115131147546562578590606620636652668684701718173348637893108123138153183198183213228243258288303" ref="A16:E17" totalsRowShown="0" headerRowDxfId="1276" dataDxfId="1275">
  <tableColumns count="5">
    <tableColumn id="1" xr3:uid="{56513A2A-3973-4EB3-A096-B1C941744CE6}" name="Менеджер" dataDxfId="1274"/>
    <tableColumn id="2" xr3:uid="{5CE82335-C046-451E-8CB5-9D3ECFF203B8}" name="Профит ФГ 24-25" dataDxfId="1273"/>
    <tableColumn id="3" xr3:uid="{F38B0C0F-241B-4A0C-9912-702E3A9FEE5E}" name="Профит ФГ 25-26" dataDxfId="1272"/>
    <tableColumn id="4" xr3:uid="{671412B4-AFFD-4B2A-A32A-057C128E1A36}" name="Профит ФГ 26-27" dataDxfId="1271" dataCellStyle="Процентный">
      <calculatedColumnFormula>B34</calculatedColumnFormula>
    </tableColumn>
    <tableColumn id="5" xr3:uid="{9206B706-FFC4-4B59-8A82-021EDB315714}" name="Рост накопительно, % " dataDxfId="1270">
      <calculatedColumnFormula>Таблица211301731384552596673243138455259667380879410110233649637791105109128140152164184163248648096112128144160176193551678399115131147546562578590606620636652668684701718173348637893108123138153183198183213228243258288303[Профит ФГ 26-27]/Таблица211301731384552596673243138455259667380879410110233649637791105109128140152164184163248648096112128144160176193551678399115131147546562578590606620636652668684701718173348637893108123138153183198183213228243258288303[Профит ФГ 25-26]</calculatedColumnFormula>
    </tableColumn>
  </tableColumns>
  <tableStyleInfo name="TableStyleMedium2" showFirstColumn="0" showLastColumn="0" showRowStripes="1" showColumnStripes="0"/>
</table>
</file>

<file path=xl/tables/table2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3" xr:uid="{83B11921-2AD3-4A4B-AC22-593E40862FA3}" name="Таблица546243318323946536067742532394653606774818895102112437506478921061101291411531651851733496581971131291451611772036526884100116132148547563579593607621637653669685702719193449647994109124139154184199184214229244259289304" displayName="Таблица546243318323946536067742532394653606774818895102112437506478921061101291411531651851733496581971131291451611772036526884100116132148547563579593607621637653669685702719193449647994109124139154184199184214229244259289304" ref="A45:D50" totalsRowShown="0" headerRowDxfId="1269" dataDxfId="1268">
  <autoFilter ref="A45:D50" xr:uid="{3EADDA2E-FD58-4130-8A1C-8C20137591BB}"/>
  <tableColumns count="4">
    <tableColumn id="2" xr3:uid="{7CF42875-027F-4B13-BF60-672134F312EC}" name="Холдинг" dataDxfId="1267"/>
    <tableColumn id="3" xr3:uid="{375734D3-62C8-4F2C-A1B8-8FE2913C1F1F}" name="Сумма просроченного долга" dataDxfId="1266" dataCellStyle="Денежный"/>
    <tableColumn id="4" xr3:uid="{B6474B67-22A5-4AF3-BB54-EADF352721D3}" name="Общая сумма долга" dataDxfId="1265" dataCellStyle="Денежный"/>
    <tableColumn id="5" xr3:uid="{EAB3688B-735E-478C-93F9-342545DBE88D}" name="% просрочки" dataDxfId="1264" dataCellStyle="Процентный">
      <calculatedColumnFormula>Таблица546243318323946536067742532394653606774818895102112437506478921061101291411531651851733496581971131291451611772036526884100116132148547563579593607621637653669685702719193449647994109124139154184199184214229244259289304[[#This Row],[Сумма просроченного долга]]/Таблица546243318323946536067742532394653606774818895102112437506478921061101291411531651851733496581971131291451611772036526884100116132148547563579593607621637653669685702719193449647994109124139154184199184214229244259289304[[#This Row],[Общая сумма долга]]</calculatedColumnFormula>
    </tableColumn>
  </tableColumns>
  <tableStyleInfo name="TableStyleMedium2" showFirstColumn="0" showLastColumn="0" showRowStripes="1" showColumnStripes="0"/>
</table>
</file>

<file path=xl/tables/table2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4" xr:uid="{FC8214D2-B959-4F2F-952C-293C482A3E39}" name="Таблица173043567084981121171311431551671871935516783991151311471631792238547086102118134150548564580594608622638654670686703720203550658095110125140155185200185215230245260290305" displayName="Таблица173043567084981121171311431551671871935516783991151311471631792238547086102118134150548564580594608622638654670686703720203550658095110125140155185200185215230245260290305" ref="A103:G104" totalsRowShown="0" headerRowDxfId="1263" dataDxfId="1262" tableBorderDxfId="1261">
  <autoFilter ref="A103:G104" xr:uid="{5F2E2A5D-7666-4FD4-A50A-70ADD98392B4}"/>
  <sortState xmlns:xlrd2="http://schemas.microsoft.com/office/spreadsheetml/2017/richdata2" ref="A104:G104">
    <sortCondition ref="D103:D104"/>
  </sortState>
  <tableColumns count="7">
    <tableColumn id="1" xr3:uid="{18EAC4D3-A23C-4F21-A447-A598974CF141}" name="Дата" dataDxfId="1260"/>
    <tableColumn id="2" xr3:uid="{D0706174-4EAF-497B-A263-99194F0F4B57}" name="Клиент" dataDxfId="1259"/>
    <tableColumn id="3" xr3:uid="{52BF3A78-9A64-4696-B473-63B37E067149}" name="Менеджер" dataDxfId="1258" dataCellStyle="Обычный 2"/>
    <tableColumn id="4" xr3:uid="{1DA933C9-039E-4BDA-8EB5-2F428E772163}" name="Контакт в 1С" dataDxfId="1257"/>
    <tableColumn id="5" xr3:uid="{A84A4253-7644-47EB-BCA6-27AC9D94B061}" name="№ сделки" dataDxfId="1256"/>
    <tableColumn id="6" xr3:uid="{7D8EECF2-00E7-4A4A-A927-F45210BE8567}" name="Цель" dataDxfId="1255"/>
    <tableColumn id="7" xr3:uid="{EB0F7C22-9BE2-4ECD-A575-496222C69AFC}" name="Результат" dataDxfId="1254"/>
  </tableColumns>
  <tableStyleInfo name="TableStyleMedium2" showFirstColumn="0" showLastColumn="0" showRowStripes="1" showColumnStripes="0"/>
</table>
</file>

<file path=xl/tables/table2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5" xr:uid="{832DE55F-106D-40ED-92B6-8E31440362B0}" name="Таблица1931445771859911312013214415616818820365268841001161321481641802339557187103119135151549565581595609623639655671687704721213651668196111126141156186201186216231246261291306" displayName="Таблица1931445771859911312013214415616818820365268841001161321481641802339557187103119135151549565581595609623639655671687704721213651668196111126141156186201186216231246261291306" ref="A109:G113" totalsRowShown="0" headerRowDxfId="1253" dataDxfId="1252" tableBorderDxfId="1251">
  <autoFilter ref="A109:G113" xr:uid="{CC17A23E-B8E4-4CBF-BC3B-16FF0249D515}"/>
  <tableColumns count="7">
    <tableColumn id="1" xr3:uid="{3DA4ADD0-4BAF-497E-8B8E-C0ECEA1AAFB9}" name="Цель" dataDxfId="1250" dataCellStyle="Обычный 2"/>
    <tableColumn id="2" xr3:uid="{41312505-52FC-4444-9A71-EB9D15D1C395}" name="Необходимый результат" dataDxfId="1249" dataCellStyle="Обычный 2"/>
    <tableColumn id="3" xr3:uid="{253540A2-3B46-4794-95C0-D07BB661667A}" name="Выполнено да/нет" dataDxfId="1248" dataCellStyle="Обычный"/>
    <tableColumn id="4" xr3:uid="{9E179D9C-D465-4874-9578-A1505F54850F}" name="Комментарий по выполненной задаче" dataDxfId="1247" dataCellStyle="Обычный 2"/>
    <tableColumn id="5" xr3:uid="{E1F20566-8689-4BEA-8923-3F093B3445C9}" name="Мотивация" dataDxfId="1246"/>
    <tableColumn id="6" xr3:uid="{6D52261A-FFD9-468D-85C0-CDFB629FA03A}" name="Менеджер" dataDxfId="1245"/>
    <tableColumn id="7" xr3:uid="{766F412A-53A2-4C39-B124-D27289AC05C4}" name="К оплате" dataDxfId="1244"/>
  </tableColumns>
  <tableStyleInfo name="TableStyleMedium2" showFirstColumn="0" showLastColumn="0" showRowStripes="1" showColumnStripes="0"/>
</table>
</file>

<file path=xl/tables/table2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6" xr:uid="{DE736842-4B4B-4D03-B0ED-26462AF3AD64}" name="Таблица20324558728610011412113314515716918921375369851011171331491651812440567288104120136152550566582596610624640656672688705722223752678297112127142157187202187217232247262292307" displayName="Таблица20324558728610011412113314515716918921375369851011171331491651812440567288104120136152550566582596610624640656672688705722223752678297112127142157187202187217232247262292307" ref="A116:G120" totalsRowShown="0" headerRowDxfId="1243" dataDxfId="1242" tableBorderDxfId="1241">
  <autoFilter ref="A116:G120" xr:uid="{16803243-7F25-4AF5-AE4A-7C5E11F25A09}"/>
  <tableColumns count="7">
    <tableColumn id="1" xr3:uid="{8F02B5D0-5F87-47C9-BB3A-68882ECD7122}" name="Цель" dataDxfId="1240"/>
    <tableColumn id="2" xr3:uid="{0DB1893F-97D0-4183-BBC8-1BF86C0ECA92}" name="Необходимый результат" dataDxfId="1239"/>
    <tableColumn id="3" xr3:uid="{C0AB2D3C-CA62-4430-B277-85274016DC06}" name="Выполнено да/нет" dataDxfId="1238"/>
    <tableColumn id="4" xr3:uid="{4650A622-871A-478C-B671-5F6B3408921B}" name="Комментарий по выполненной задаче" dataDxfId="1237"/>
    <tableColumn id="5" xr3:uid="{0EA5CC7C-8387-40A8-8296-EEA36D4002E7}" name="Мотивация" dataDxfId="1236"/>
    <tableColumn id="6" xr3:uid="{07FF88CA-897E-48B9-9E70-E18C5550518F}" name="Менеджер" dataDxfId="1235"/>
    <tableColumn id="7" xr3:uid="{3CF06895-19B3-44FB-9629-CE11E267EA78}" name="К оплате" dataDxfId="1234"/>
  </tableColumns>
  <tableStyleInfo name="TableStyleMedium2" showFirstColumn="0" showLastColumn="0" showRowStripes="1" showColumnStripes="0"/>
</table>
</file>

<file path=xl/tables/table2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7" xr:uid="{375D2D90-BD4F-41C6-9262-5B9DE7774D2B}" name="Таблица16334659738710111512213414615817019022385470861021181341501661822541577389105121137153551567583597611625641657673689706723233853688398113128143158188203188218233248263293308" displayName="Таблица16334659738710111512213414615817019022385470861021181341501661822541577389105121137153551567583597611625641657673689706723233853688398113128143158188203188218233248263293308" ref="A56:G66" totalsRowShown="0" headerRowDxfId="1233" dataDxfId="1232" totalsRowDxfId="1230" tableBorderDxfId="1231" totalsRowBorderDxfId="1229">
  <autoFilter ref="A56:G66" xr:uid="{9246B9BD-73A5-4351-9AA2-07EE59ED4E9D}"/>
  <sortState xmlns:xlrd2="http://schemas.microsoft.com/office/spreadsheetml/2017/richdata2" ref="A57:F66">
    <sortCondition descending="1" ref="D56:D66"/>
  </sortState>
  <tableColumns count="7">
    <tableColumn id="1" xr3:uid="{49A86945-9A45-4C26-A717-83A41005A134}" name="Клиент" dataDxfId="1228" totalsRowDxfId="1227"/>
    <tableColumn id="2" xr3:uid="{4F837B44-C030-40F8-8DAD-8D2A676EE3F9}" name="Оборот" dataDxfId="1226" totalsRowDxfId="1225"/>
    <tableColumn id="3" xr3:uid="{3190ADE5-07F3-420C-8B06-1983B8DA991D}" name="Профит " dataDxfId="1224" totalsRowDxfId="1223"/>
    <tableColumn id="4" xr3:uid="{80499AB8-9071-49B2-9629-C9436A0222F3}" name="%" dataDxfId="1222" totalsRowDxfId="1221"/>
    <tableColumn id="5" xr3:uid="{F20BA15F-AD57-4C10-894F-4318AF00AEDA}" name="Менеджер" dataDxfId="1220" totalsRowDxfId="1219"/>
    <tableColumn id="6" xr3:uid="{6804262D-55B3-45AC-9082-3533AA03DE27}" name="Комментарий" dataDxfId="1218" totalsRowDxfId="1217" dataCellStyle="Финансовый"/>
    <tableColumn id="7" xr3:uid="{D6913ED6-672D-439C-A942-C83A8F093A38}" name="Столбец1" dataDxfId="1216" totalsRowDxfId="1215"/>
  </tableColumns>
  <tableStyleInfo name="TableStyleLight9" showFirstColumn="0" showLastColumn="0" showRowStripes="1" showColumnStripes="0"/>
</table>
</file>

<file path=xl/tables/table2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8" xr:uid="{D0B0FC0C-6A25-4DE1-91B3-9C719DEA90BD}" name="Таблица4211720344148556269768390978390111118125132139146153160167174181188195613202734414855626976839097104111118125132139146153160167175183198206214123135147159171191233955718710311913515116718326425874901061221381545525685845986126266426586746907077309" displayName="Таблица4211720344148556269768390978390111118125132139146153160167174181188195613202734414855626976839097104111118125132139146153160167175183198206214123135147159171191233955718710311913515116718326425874901061221381545525685845986126266426586746907077309" ref="A78:H84" totalsRowShown="0" headerRowDxfId="1214" dataDxfId="1213" dataCellStyle="Обычный 2">
  <autoFilter ref="A78:H84" xr:uid="{4ACBF2F4-2982-4E59-8F46-ECCA5C6BC7F5}"/>
  <sortState xmlns:xlrd2="http://schemas.microsoft.com/office/spreadsheetml/2017/richdata2" ref="A79:H84">
    <sortCondition descending="1" ref="G78:G84"/>
  </sortState>
  <tableColumns count="8">
    <tableColumn id="1" xr3:uid="{B8EB2CF8-4001-4FD5-98D8-74B2707905CA}" name="Номер" dataDxfId="1212" dataCellStyle="Обычный 2"/>
    <tableColumn id="3" xr3:uid="{A87788C8-D86C-457F-8267-F251FF0C0DAD}" name="Клиент" dataDxfId="1211" dataCellStyle="Обычный 2"/>
    <tableColumn id="4" xr3:uid="{9EAF6228-565E-403E-AF01-0C2F6791D81F}" name="Менеджер" dataDxfId="1210" dataCellStyle="Обычный 2"/>
    <tableColumn id="5" xr3:uid="{FB7FFBE0-CC36-4DD2-B95B-FDECE1747ED9}" name="Проект" dataDxfId="1209" dataCellStyle="Обычный 2"/>
    <tableColumn id="6" xr3:uid="{A2783479-D2D4-4A03-AACE-170F9983F65F}" name="Краткое описание проекта" dataDxfId="1208" dataCellStyle="Обычный 2"/>
    <tableColumn id="7" xr3:uid="{EC4A56E3-3E72-40B2-9847-FD917096864F}" name="Дата завершения сделки" dataDxfId="1207" dataCellStyle="Обычный 2"/>
    <tableColumn id="8" xr3:uid="{DC5A778B-6287-46CC-AB22-F1726EEE0383}" name="Сумма, тыс. руб." dataDxfId="1206" dataCellStyle="Обычный"/>
    <tableColumn id="2" xr3:uid="{1E4523DE-4E74-45F9-9474-88DEBEAD6EF6}" name="Статус" dataDxfId="1205"/>
  </tableColumns>
  <tableStyleInfo name="TableStyleMedium2" showFirstColumn="0" showLastColumn="0" showRowStripes="1" showColumnStripes="0"/>
</table>
</file>

<file path=xl/tables/table2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9" xr:uid="{BEA0D2FF-4469-414A-A412-CFEB32533189}" name="Таблица9132738193340475461687582899682891101171241311381451521591661731801871945121926334047546168758289961031101171241311381451521591661741821902052131191251371491611731932541567288104120136152168184274359759110712313915555356958559961362764365967569310" displayName="Таблица9132738193340475461687582899682891101171241311381451521591661731801871945121926334047546168758289961031101171241311381451521591661741821902052131191251371491611731932541567288104120136152168184274359759110712313915555356958559961362764365967569310" ref="A72:H73" headerRowCount="0" totalsRowShown="0" headerRowDxfId="1204" dataDxfId="1203">
  <tableColumns count="8">
    <tableColumn id="1" xr3:uid="{29D4BBE5-70FE-4D97-9C70-846C5FE0BD5C}" name="Февраль 2015" headerRowDxfId="1202" dataDxfId="1201" dataCellStyle="Название"/>
    <tableColumn id="2" xr3:uid="{49403D78-4B2C-4B39-AC94-E43F950620E8}" name="Столбец1" headerRowDxfId="1200" dataDxfId="1199"/>
    <tableColumn id="3" xr3:uid="{AEAF20ED-0B4A-4851-B799-64B13A88954C}" name="Столбец2" headerRowDxfId="1198" dataDxfId="1197"/>
    <tableColumn id="4" xr3:uid="{C18E1E82-F7EA-4983-B732-51704BCF5E63}" name="Столбец3" headerRowDxfId="1196" dataDxfId="1195"/>
    <tableColumn id="5" xr3:uid="{9121B22F-7CAC-48B3-AD43-E9B1C5DA8D02}" name="Столбец4" headerRowDxfId="1194" dataDxfId="1193"/>
    <tableColumn id="6" xr3:uid="{A89EF2FC-1CAC-4097-B0EE-3ACCF65034C6}" name="Столбец5" headerRowDxfId="1192" dataDxfId="1191"/>
    <tableColumn id="7" xr3:uid="{F8BD7F8A-83C1-427E-A276-7D1430E624C1}" name="Столбец6" headerRowDxfId="1190" dataDxfId="1189"/>
    <tableColumn id="8" xr3:uid="{C00C0924-60EA-4CC6-92B6-38842D0AA2A1}" name="Столбец7" headerRowDxfId="1188" dataDxfId="1187"/>
  </tableColumns>
  <tableStyleInfo name="TableStyleMedium2" showFirstColumn="0" showLastColumn="0" showRowStripes="1" showColumnStripes="0"/>
</table>
</file>

<file path=xl/tables/table2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0" xr:uid="{2217569C-4E7C-4231-978E-AC6E0C8D61F6}" name="Таблица125138150162174194264257738910512113715316918528446076921081241401565545705866006146286446606766927097262641567186101116131146161191206191221236251266296311" displayName="Таблица125138150162174194264257738910512113715316918528446076921081241401565545705866006146286446606766927097262641567186101116131146161191206191221236251266296311" ref="A87:H94" totalsRowShown="0" headerRowDxfId="1186" dataDxfId="1185">
  <autoFilter ref="A87:H94" xr:uid="{0F3DFAA2-5FF8-417D-8496-A5C766071E19}"/>
  <sortState xmlns:xlrd2="http://schemas.microsoft.com/office/spreadsheetml/2017/richdata2" ref="A88:H94">
    <sortCondition descending="1" ref="G87:G94"/>
  </sortState>
  <tableColumns count="8">
    <tableColumn id="1" xr3:uid="{5B3F0767-6007-49CF-A6B7-8BFD89F79EAC}" name="Номер" dataDxfId="1184"/>
    <tableColumn id="2" xr3:uid="{5CA8BC1C-DC7C-4B31-85A6-B61F68F468C3}" name="Клиент" dataDxfId="1183"/>
    <tableColumn id="3" xr3:uid="{9F2AB754-667E-40E4-AA8F-3245DB6FCB65}" name="Менеджер" dataDxfId="1182" dataCellStyle="Обычный 2"/>
    <tableColumn id="4" xr3:uid="{F2199BA5-BEFE-4024-88EA-581E3C347340}" name="Проект" dataDxfId="1181"/>
    <tableColumn id="5" xr3:uid="{D2E4D2B7-3CDE-412D-9609-4CD1D6191A57}" name="Краткое описание проекта" dataDxfId="1180"/>
    <tableColumn id="6" xr3:uid="{89CE6949-B406-4275-BE4E-B5CF1B84B7EE}" name="Дата завершения сделки" dataDxfId="1179"/>
    <tableColumn id="7" xr3:uid="{41C8BDEF-5FDF-4105-AC3E-ABCFE1BD65CB}" name="Сумма" dataDxfId="1178"/>
    <tableColumn id="8" xr3:uid="{4CBEFCE1-699A-4BF1-8823-56F4A5D67526}" name="Статус" dataDxfId="1177"/>
  </tableColumns>
  <tableStyleInfo name="TableStyleMedium2" showFirstColumn="0" showLastColumn="0" showRowStripes="1" showColumnStripes="0"/>
</table>
</file>

<file path=xl/tables/table2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1" xr:uid="{921A11C1-FC86-4A08-BBF5-C35D684A71EF}" name="Таблица175195274358749010612213815417018629456177931091251411575555715876016156296456616776937107272742577287102117132147162192207192222237252267297312" displayName="Таблица175195274358749010612213815417018629456177931091251411575555715876016156296456616776937107272742577287102117132147162192207192222237252267297312" ref="A11:E12" totalsRowShown="0" headerRowDxfId="1176" dataDxfId="1175" tableBorderDxfId="1174">
  <tableColumns count="5">
    <tableColumn id="1" xr3:uid="{4FC8A35C-8D63-4A01-A69E-AD79875B85AA}" name="Менеджер" dataDxfId="1173"/>
    <tableColumn id="2" xr3:uid="{F879ABBE-7D07-476D-9660-3E38A92CED66}" name="План с НАЧАЛА ФГ, руб." dataDxfId="1172">
      <calculatedColumnFormula>SUM(C22:C24)</calculatedColumnFormula>
    </tableColumn>
    <tableColumn id="3" xr3:uid="{F7BCE4D2-1D42-4DBC-BB8B-4337DB991D14}" name="Факт с НАЧАЛА ФГ, руб." dataDxfId="1171">
      <calculatedColumnFormula>B34</calculatedColumnFormula>
    </tableColumn>
    <tableColumn id="4" xr3:uid="{2BE40BC5-845B-4AB7-A9A7-DB823015B855}" name="Отклонение, %" dataDxfId="1170">
      <calculatedColumnFormula>C12/B12-100%</calculatedColumnFormula>
    </tableColumn>
    <tableColumn id="5" xr3:uid="{DF865E85-F558-4115-A623-583D8B7F2592}" name="Отклонение, РУБ" dataDxfId="1169">
      <calculatedColumnFormula>C12-B12</calculatedColumnFormula>
    </tableColumn>
  </tableColumns>
  <tableStyleInfo name="TableStyleMedium2" showFirstColumn="0" showLastColumn="0" showRowStripes="1" showColumnStripes="0"/>
</table>
</file>

<file path=xl/tables/table2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2" xr:uid="{921FC9F5-C63C-40AA-AE49-BC5F39249017}" name="Таблица294459759110712313915517118730466278941101261421585565725886026166306466626786947117282843587388103118133148163193208193223238253268298313" displayName="Таблица294459759110712313915517118730466278941101261421585565725886026166306466626786947117282843587388103118133148163193208193223238253268298313" ref="A39:E40" totalsRowShown="0" headerRowDxfId="1168" dataDxfId="1167">
  <autoFilter ref="A39:E40" xr:uid="{A123EA08-D8D4-4987-8146-FF08418E565C}"/>
  <tableColumns count="5">
    <tableColumn id="2" xr3:uid="{6802B825-5C89-4EEB-9F7B-17138FA5B7AE}" name="Факт" dataDxfId="1166">
      <calculatedColumnFormula>B24</calculatedColumnFormula>
    </tableColumn>
    <tableColumn id="9" xr3:uid="{E6FB01C6-AE29-4741-8FDA-2F4512470699}" name="Оклад" dataDxfId="1165" dataCellStyle="Процентный">
      <calculatedColumnFormula>50000</calculatedColumnFormula>
    </tableColumn>
    <tableColumn id="4" xr3:uid="{1C3C9264-2DB9-4160-AC1A-B11A16940F29}" name="Премия" dataDxfId="1164">
      <calculatedColumnFormula>A40*0.1*1.1</calculatedColumnFormula>
    </tableColumn>
    <tableColumn id="7" xr3:uid="{9EBDEE6F-196E-4815-A6EF-6C37BFAFCC95}" name="Доплата за Задачи" dataDxfId="1163">
      <calculatedColumnFormula>SUM(G110:G113)</calculatedColumnFormula>
    </tableColumn>
    <tableColumn id="6" xr3:uid="{1EDC6F7E-3154-4105-8ED0-1D40A738F8C4}" name="Штрафы" dataDxfId="1162"/>
  </tableColumns>
  <tableStyleInfo name="TableStyleMedium2" showFirstColumn="0" showLastColumn="0" showRowStripes="1" showColumnStripes="0"/>
</table>
</file>

<file path=xl/tables/table2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3" xr:uid="{BEACE927-1D66-4660-8A35-DDB7DB93B132}" name="Таблица9132738193340475461687582899682891101171241311381451521591661731801871945121926334047546168758289961031101171241311381451521591661741821902052131241361481601721922440627894110126142158174190334965819711312914516155957559160361763164766367969571314" displayName="Таблица9132738193340475461687582899682891101171241311381451521591661731801871945121926334047546168758289961031101171241311381451521591661741821902052131241361481601721922440627894110126142158174190334965819711312914516155957559160361763164766367969571314" ref="A69:H71" headerRowCount="0" totalsRowShown="0" headerRowDxfId="1161" dataDxfId="1160">
  <tableColumns count="8">
    <tableColumn id="1" xr3:uid="{F476F511-9AAA-4D6B-BBAB-CE7D84886A76}" name="Февраль 2015" headerRowDxfId="1159" dataDxfId="1158" dataCellStyle="Название"/>
    <tableColumn id="2" xr3:uid="{4D42D910-04AA-4688-AC76-EE13D0E14FE2}" name="Столбец1" headerRowDxfId="1157" dataDxfId="1156"/>
    <tableColumn id="3" xr3:uid="{15CD6723-329D-4799-9DBF-0BFADDE5A05A}" name="Столбец2" headerRowDxfId="1155" dataDxfId="1154"/>
    <tableColumn id="4" xr3:uid="{3F2843A9-B375-4FEF-91F8-E8F1B0BCC5F5}" name="Столбец3" headerRowDxfId="1153" dataDxfId="1152"/>
    <tableColumn id="5" xr3:uid="{C589EBC4-98FC-4720-BB80-932266188BCD}" name="Столбец4" headerRowDxfId="1151" dataDxfId="1150"/>
    <tableColumn id="6" xr3:uid="{9BDCB705-E484-46AF-B77E-399F73557FC9}" name="Столбец5" headerRowDxfId="1149" dataDxfId="1148"/>
    <tableColumn id="7" xr3:uid="{09D72146-AC8F-496E-9BDD-82159391A870}" name="Столбец6" headerRowDxfId="1147" dataDxfId="1146"/>
    <tableColumn id="8" xr3:uid="{3B067368-D8FC-4D08-9B03-8D00715CC4D5}" name="Столбец7" headerRowDxfId="1145" dataDxfId="1144"/>
  </tableColumns>
  <tableStyleInfo name="TableStyleMedium2" showFirstColumn="0" showLastColumn="0" showRowStripes="1" showColumnStripes="0"/>
</table>
</file>

<file path=xl/tables/table2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4" xr:uid="{1F7A615D-FC97-4CCF-9950-73803A3E9FF5}" name="Таблица1529425569839711111613014215416618618345066829811413014616217821375369851011171331495605765926046186326486646806967137303045607590105120135150165195210195225240255270300315" displayName="Таблица1529425569839711111613014215416618618345066829811413014616217821375369851011171331495605765926046186326486646806967137303045607590105120135150165195210195225240255270300315" ref="A98:G99" totalsRowShown="0" headerRowDxfId="1143" dataDxfId="1142" tableBorderDxfId="1141">
  <autoFilter ref="A98:G99" xr:uid="{BD66A881-30D1-4979-8390-5888D14E5877}"/>
  <tableColumns count="7">
    <tableColumn id="1" xr3:uid="{C69DD6EA-9C3C-4E7B-BBD5-ADBA343BF7BC}" name="Дата" dataDxfId="1140"/>
    <tableColumn id="2" xr3:uid="{81764217-9D42-4551-9653-2F2DBA2968E3}" name="Клиент" dataDxfId="1139"/>
    <tableColumn id="3" xr3:uid="{BF1BCC98-D29C-403A-A030-467EA3BDAB71}" name="Менеджер" dataDxfId="1138" dataCellStyle="Обычный 2"/>
    <tableColumn id="4" xr3:uid="{3C819813-466F-4A59-AFAE-360104A28DC0}" name="Контакт в 1С" dataDxfId="1137"/>
    <tableColumn id="5" xr3:uid="{F73281ED-1120-4D6D-B0C9-EE8A7BE0C639}" name="№ сделки" dataDxfId="1136"/>
    <tableColumn id="6" xr3:uid="{29290C6B-735C-4ED3-93A8-92C479468628}" name="Цель" dataDxfId="1135"/>
    <tableColumn id="7" xr3:uid="{9855151A-E6C7-4ABF-8FE4-2E3CB7A80D9E}" name="Результат" dataDxfId="1134"/>
  </tableColumns>
  <tableStyleInfo name="TableStyleMedium2" showFirstColumn="0" showLastColumn="0" showRowStripes="1" showColumnStripes="0"/>
</table>
</file>

<file path=xl/tables/table3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5" xr:uid="{84987884-1107-473F-B059-895074ED5771}" name="Таблица4936997167333146617691106121136151166196211196226241256271301316" displayName="Таблица4936997167333146617691106121136151166196211196226241256271301316" ref="A21:D33" totalsRowShown="0" headerRowDxfId="1133" dataDxfId="1131" headerRowBorderDxfId="1132" tableBorderDxfId="1130" totalsRowBorderDxfId="1129">
  <autoFilter ref="A21:D33" xr:uid="{8999CE3E-52FF-4AF3-AA18-1DA9A764C519}"/>
  <tableColumns count="4">
    <tableColumn id="1" xr3:uid="{522FC1B1-3A2F-4BF2-980F-6DE72ABA8209}" name="Месяц" dataDxfId="1128"/>
    <tableColumn id="2" xr3:uid="{FBF80D78-DF8F-4E27-AE93-1712DF546BC1}" name="Профит" dataDxfId="1127"/>
    <tableColumn id="3" xr3:uid="{AD2FA41B-C627-43CC-824F-F327BDEEA8D3}" name="План" dataDxfId="1126"/>
    <tableColumn id="4" xr3:uid="{486A1CE8-1E8D-4519-8A2D-B915E37FE97D}" name="Выполнение" dataDxfId="1125">
      <calculatedColumnFormula>Таблица4936997167333146617691106121136151166196211196226241256271301316[[#This Row],[Профит]]/Таблица4936997167333146617691106121136151166196211196226241256271301316[[#This Row],[План]]</calculatedColumnFormula>
    </tableColumn>
  </tableColumns>
  <tableStyleInfo name="TableStyleMedium2" showFirstColumn="0" showLastColumn="0" showRowStripes="1" showColumnStripes="0"/>
</table>
</file>

<file path=xl/tables/table3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6" xr:uid="{60FC3DA1-FBBB-47B7-9CE1-122F7DF080C0}" name="Таблица_Таблица1633465973871011151221341461581701902238547086102118134150166182254157738" displayName="Таблица_Таблица1633465973871011151221341461581701902238547086102118134150166182254157738" ref="A1:F12" tableType="queryTable" totalsRowShown="0">
  <autoFilter ref="A1:F12" xr:uid="{60FC3DA1-FBBB-47B7-9CE1-122F7DF080C0}"/>
  <tableColumns count="6">
    <tableColumn id="1" xr3:uid="{2B3B30D8-F960-4D56-8986-884F507826DC}" uniqueName="1" name="Клиент" queryTableFieldId="1" dataDxfId="693"/>
    <tableColumn id="2" xr3:uid="{8A646E19-9F5D-4572-BB8C-750E2663ABE5}" uniqueName="2" name="Оборот" queryTableFieldId="2"/>
    <tableColumn id="3" xr3:uid="{AF0D30CA-5BEA-4C3E-8E8E-DB863821A700}" uniqueName="3" name="Профит " queryTableFieldId="3"/>
    <tableColumn id="4" xr3:uid="{77C23181-5F9C-4D79-8A37-5EFDDAC89FFB}" uniqueName="4" name="%" queryTableFieldId="4"/>
    <tableColumn id="5" xr3:uid="{7FF7258D-7E6C-419C-AEA8-AAA285EB9753}" uniqueName="5" name="Менеджер" queryTableFieldId="5" dataDxfId="692"/>
    <tableColumn id="6" xr3:uid="{AB9CCC16-4BB8-437E-8582-3D5257990CBB}" uniqueName="6" name="Комментарий" queryTableFieldId="6" dataDxfId="691"/>
  </tableColumns>
  <tableStyleInfo name="TableStyleMedium7" showFirstColumn="0" showLastColumn="0" showRowStripes="1" showColumnStripes="0"/>
</table>
</file>

<file path=xl/tables/table3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6" xr:uid="{40F44668-0F84-4048-BDD7-680FA04296A0}" name="Таблица11029163037445158657223303744515865727986931009223548627690104107127139151163183152947637995111127143159175183450668298114130146545561577589605619635651667683700717163247627792107122137152182197182212227242257287302317" displayName="Таблица11029163037445158657223303744515865727986931009223548627690104107127139151163183152947637995111127143159175183450668298114130146545561577589605619635651667683700717163247627792107122137152182197182212227242257287302317" ref="A6:F7" totalsRowShown="0" headerRowDxfId="1124" dataDxfId="1123">
  <tableColumns count="6">
    <tableColumn id="1" xr3:uid="{7B1C0E61-7F5A-485D-90A3-5F763F3897E1}" name="Менеджер" dataDxfId="1122"/>
    <tableColumn id="2" xr3:uid="{6B6F1238-A141-48BE-84B2-7E66B1E0F82C}" name="План, руб." dataDxfId="1121">
      <calculatedColumnFormula>C25</calculatedColumnFormula>
    </tableColumn>
    <tableColumn id="3" xr3:uid="{9B025426-C444-4947-9609-FE87F8A81D1D}" name="Факт, руб." dataDxfId="1120">
      <calculatedColumnFormula>B25</calculatedColumnFormula>
    </tableColumn>
    <tableColumn id="4" xr3:uid="{8D18079C-E4BB-4E54-927E-C0ACE5EB8451}" name="Отклонение, %" dataDxfId="1119" dataCellStyle="Процентный">
      <calculatedColumnFormula>Таблица11029163037445158657223303744515865727986931009223548627690104107127139151163183152947637995111127143159175183450668298114130146545561577589605619635651667683700717163247627792107122137152182197182212227242257287302317[Факт, руб.]/Таблица11029163037445158657223303744515865727986931009223548627690104107127139151163183152947637995111127143159175183450668298114130146545561577589605619635651667683700717163247627792107122137152182197182212227242257287302317[План, руб.]-100%</calculatedColumnFormula>
    </tableColumn>
    <tableColumn id="7" xr3:uid="{2806A56C-83DE-42F0-AA53-BDE11F486086}" name="Отклонение, РУБ" dataDxfId="1118" dataCellStyle="Процентный">
      <calculatedColumnFormula>Таблица11029163037445158657223303744515865727986931009223548627690104107127139151163183152947637995111127143159175183450668298114130146545561577589605619635651667683700717163247627792107122137152182197182212227242257287302317[Факт, руб.]-Таблица11029163037445158657223303744515865727986931009223548627690104107127139151163183152947637995111127143159175183450668298114130146545561577589605619635651667683700717163247627792107122137152182197182212227242257287302317[План, руб.]</calculatedColumnFormula>
    </tableColumn>
    <tableColumn id="5" xr3:uid="{7C841DFD-1635-4323-9656-ADFEF68ABFB4}" name="Предыд месяц" dataDxfId="1117" dataCellStyle="Процентный">
      <calculatedColumnFormula>B24</calculatedColumnFormula>
    </tableColumn>
  </tableColumns>
  <tableStyleInfo name="TableStyleMedium2" showFirstColumn="0" showLastColumn="0" showRowStripes="1" showColumnStripes="0"/>
</table>
</file>

<file path=xl/tables/table3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7" xr:uid="{140B71EF-2912-463F-B50B-D405A3C93D5D}" name="Таблица211301731384552596673243138455259667380879410110233649637791105109128140152164184163248648096112128144160176193551678399115131147546562578590606620636652668684701718173348637893108123138153183198183213228243258288303318" displayName="Таблица211301731384552596673243138455259667380879410110233649637791105109128140152164184163248648096112128144160176193551678399115131147546562578590606620636652668684701718173348637893108123138153183198183213228243258288303318" ref="A16:E17" totalsRowShown="0" headerRowDxfId="1116" dataDxfId="1115">
  <tableColumns count="5">
    <tableColumn id="1" xr3:uid="{713F10BD-56F2-4E8C-B9FB-84A0701A2CBC}" name="Менеджер" dataDxfId="1114"/>
    <tableColumn id="2" xr3:uid="{B79B067A-B256-4A37-B885-5945122AA117}" name="Профит ФГ 24-25" dataDxfId="1113"/>
    <tableColumn id="3" xr3:uid="{16934738-F5E9-42CD-B359-DF04016DFD60}" name="Профит ФГ 25-26" dataDxfId="1112"/>
    <tableColumn id="4" xr3:uid="{900DFAB5-D9FC-4562-B342-1CD1725ABB1D}" name="Профит ФГ 26-27" dataDxfId="1111" dataCellStyle="Процентный">
      <calculatedColumnFormula>B34</calculatedColumnFormula>
    </tableColumn>
    <tableColumn id="5" xr3:uid="{A4D377DA-A427-4671-906B-81296AC9A1FF}" name="Рост накопительно, % " dataDxfId="1110">
      <calculatedColumnFormula>Таблица211301731384552596673243138455259667380879410110233649637791105109128140152164184163248648096112128144160176193551678399115131147546562578590606620636652668684701718173348637893108123138153183198183213228243258288303318[Профит ФГ 26-27]/Таблица211301731384552596673243138455259667380879410110233649637791105109128140152164184163248648096112128144160176193551678399115131147546562578590606620636652668684701718173348637893108123138153183198183213228243258288303318[Профит ФГ 25-26]</calculatedColumnFormula>
    </tableColumn>
  </tableColumns>
  <tableStyleInfo name="TableStyleMedium2" showFirstColumn="0" showLastColumn="0" showRowStripes="1" showColumnStripes="0"/>
</table>
</file>

<file path=xl/tables/table3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8" xr:uid="{74C0391B-A0A3-4D12-A364-F53E36B5287A}" name="Таблица546243318323946536067742532394653606774818895102112437506478921061101291411531651851733496581971131291451611772036526884100116132148547563579593607621637653669685702719193449647994109124139154184199184214229244259289304319" displayName="Таблица546243318323946536067742532394653606774818895102112437506478921061101291411531651851733496581971131291451611772036526884100116132148547563579593607621637653669685702719193449647994109124139154184199184214229244259289304319" ref="A45:D52" totalsRowShown="0" headerRowDxfId="1109" dataDxfId="49">
  <autoFilter ref="A45:D52" xr:uid="{3EADDA2E-FD58-4130-8A1C-8C20137591BB}"/>
  <tableColumns count="4">
    <tableColumn id="2" xr3:uid="{49E561A7-2CDE-449C-9E6A-F4F8F27CA530}" name="Холдинг" dataDxfId="53"/>
    <tableColumn id="3" xr3:uid="{F88CA19D-BDE7-4C53-9386-A32322112CCC}" name="Сумма просроченного долга" dataDxfId="52" dataCellStyle="Денежный"/>
    <tableColumn id="4" xr3:uid="{938F49EE-7A87-47E3-A7E4-68128DBED2B6}" name="Общая сумма долга" dataDxfId="51" dataCellStyle="Денежный"/>
    <tableColumn id="5" xr3:uid="{C7F81DC0-3A5F-40AD-8035-2304F4F14B3E}" name="% просрочки" dataDxfId="50" dataCellStyle="Процентный">
      <calculatedColumnFormula>Таблица546243318323946536067742532394653606774818895102112437506478921061101291411531651851733496581971131291451611772036526884100116132148547563579593607621637653669685702719193449647994109124139154184199184214229244259289304319[[#This Row],[Сумма просроченного долга]]/Таблица546243318323946536067742532394653606774818895102112437506478921061101291411531651851733496581971131291451611772036526884100116132148547563579593607621637653669685702719193449647994109124139154184199184214229244259289304319[[#This Row],[Общая сумма долга]]</calculatedColumnFormula>
    </tableColumn>
  </tableColumns>
  <tableStyleInfo name="TableStyleMedium2" showFirstColumn="0" showLastColumn="0" showRowStripes="1" showColumnStripes="0"/>
</table>
</file>

<file path=xl/tables/table3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9" xr:uid="{E0B43E4E-06C2-4451-9F2E-329BD0767123}" name="Таблица173043567084981121171311431551671871935516783991151311471631792238547086102118134150548564580594608622638654670686703720203550658095110125140155185200185215230245260290305320" displayName="Таблица173043567084981121171311431551671871935516783991151311471631792238547086102118134150548564580594608622638654670686703720203550658095110125140155185200185215230245260290305320" ref="A127:G128" totalsRowShown="0" headerRowDxfId="1108" dataDxfId="1107" tableBorderDxfId="1106">
  <autoFilter ref="A127:G128" xr:uid="{5F2E2A5D-7666-4FD4-A50A-70ADD98392B4}"/>
  <sortState xmlns:xlrd2="http://schemas.microsoft.com/office/spreadsheetml/2017/richdata2" ref="A128:G128">
    <sortCondition ref="D127:D128"/>
  </sortState>
  <tableColumns count="7">
    <tableColumn id="1" xr3:uid="{9EC6BC1B-4CDF-4E75-BF7B-0D65CCC9145F}" name="Дата" dataDxfId="1105"/>
    <tableColumn id="2" xr3:uid="{E3040BB0-29D7-4186-8840-CD6EBE622FA5}" name="Клиент" dataDxfId="1104"/>
    <tableColumn id="3" xr3:uid="{E0F99623-060A-46B0-9FEB-7B2295A22C78}" name="Менеджер" dataDxfId="1103" dataCellStyle="Обычный 2"/>
    <tableColumn id="4" xr3:uid="{466F2087-95E0-4263-B08A-AC4F7FE7F239}" name="Контакт в 1С" dataDxfId="1102"/>
    <tableColumn id="5" xr3:uid="{439AB4C8-EECC-4EBE-A056-CEEF295B25AE}" name="№ сделки" dataDxfId="1101"/>
    <tableColumn id="6" xr3:uid="{D5481D51-CEDB-464B-9547-718073C2241D}" name="Цель" dataDxfId="1100"/>
    <tableColumn id="7" xr3:uid="{18B80018-0B4E-4289-9C72-A80866E40E87}" name="Результат" dataDxfId="1099"/>
  </tableColumns>
  <tableStyleInfo name="TableStyleMedium2" showFirstColumn="0" showLastColumn="0" showRowStripes="1" showColumnStripes="0"/>
</table>
</file>

<file path=xl/tables/table3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0" xr:uid="{590433D5-3FE9-44F8-8CA8-F7EA8E50C93B}" name="Таблица1931445771859911312013214415616818820365268841001161321481641802339557187103119135151549565581595609623639655671687704721213651668196111126141156186201186216231246261291306321" displayName="Таблица1931445771859911312013214415616818820365268841001161321481641802339557187103119135151549565581595609623639655671687704721213651668196111126141156186201186216231246261291306321" ref="A133:G136" totalsRowShown="0" headerRowDxfId="1098" dataDxfId="8" tableBorderDxfId="1097">
  <autoFilter ref="A133:G136" xr:uid="{CC17A23E-B8E4-4CBF-BC3B-16FF0249D515}"/>
  <tableColumns count="7">
    <tableColumn id="1" xr3:uid="{11B1E568-3EB2-4160-B1BA-BBB876F7008F}" name="Цель" dataDxfId="15" dataCellStyle="Обычный 2"/>
    <tableColumn id="2" xr3:uid="{B6AB1319-B0EA-4468-9065-DA50E667BECF}" name="Необходимый результат" dataDxfId="14" dataCellStyle="Обычный 2"/>
    <tableColumn id="3" xr3:uid="{54BE1B5F-538C-446A-8586-DABEB6C05472}" name="Выполнено да/нет" dataDxfId="13" dataCellStyle="Обычный"/>
    <tableColumn id="4" xr3:uid="{3C24175E-31DF-47B0-A47C-74269761DBF5}" name="Комментарий по выполненной задаче" dataDxfId="12" dataCellStyle="Обычный 2"/>
    <tableColumn id="5" xr3:uid="{E7972EA4-F5CC-4F99-A4E1-8D19553AF186}" name="Мотивация" dataDxfId="11"/>
    <tableColumn id="6" xr3:uid="{00BD313C-B7C6-4784-B6CF-0626E8FA0593}" name="Менеджер" dataDxfId="10"/>
    <tableColumn id="7" xr3:uid="{6EA6CF4A-C6AB-4CB4-B1B1-EFD6BB3F02A2}" name="К оплате" dataDxfId="9"/>
  </tableColumns>
  <tableStyleInfo name="TableStyleMedium2" showFirstColumn="0" showLastColumn="0" showRowStripes="1" showColumnStripes="0"/>
</table>
</file>

<file path=xl/tables/table3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1" xr:uid="{FE77FA6D-0DCD-4103-B6EC-F184E17A505B}" name="Таблица20324558728610011412113314515716918921375369851011171331491651812440567288104120136152550566582596610624640656672688705722223752678297112127142157187202187217232247262292307322" displayName="Таблица20324558728610011412113314515716918921375369851011171331491651812440567288104120136152550566582596610624640656672688705722223752678297112127142157187202187217232247262292307322" ref="A139:G143" totalsRowShown="0" headerRowDxfId="1096" dataDxfId="0" tableBorderDxfId="1095">
  <autoFilter ref="A139:G143" xr:uid="{16803243-7F25-4AF5-AE4A-7C5E11F25A09}"/>
  <tableColumns count="7">
    <tableColumn id="1" xr3:uid="{6F9C3466-7FD1-46A0-B18F-366BD0498042}" name="Цель" dataDxfId="7"/>
    <tableColumn id="2" xr3:uid="{1E3915A6-B7C0-4B7A-BF35-B7CBE189C397}" name="Необходимый результат" dataDxfId="6"/>
    <tableColumn id="3" xr3:uid="{2F0C1948-DC10-4F1A-BCD6-54F321850B1F}" name="Выполнено да/нет" dataDxfId="5"/>
    <tableColumn id="4" xr3:uid="{BFBD865A-3451-467F-A5AC-36D2851BB6E2}" name="Комментарий по выполненной задаче" dataDxfId="4"/>
    <tableColumn id="5" xr3:uid="{38BB3E08-A4C0-4FB4-B536-3422C838A3EE}" name="Мотивация" dataDxfId="3"/>
    <tableColumn id="6" xr3:uid="{9B172224-1E41-43D0-A5DA-FF364B21CD7C}" name="Менеджер" dataDxfId="2"/>
    <tableColumn id="7" xr3:uid="{11562369-329E-422E-A115-C84AF837630F}" name="К оплате" dataDxfId="1"/>
  </tableColumns>
  <tableStyleInfo name="TableStyleMedium2" showFirstColumn="0" showLastColumn="0" showRowStripes="1" showColumnStripes="0"/>
</table>
</file>

<file path=xl/tables/table3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2" xr:uid="{0CB9DFFE-EE7B-4C17-BB96-0261BFDE44A5}" name="Таблица16334659738710111512213414615817019022385470861021181341501661822541577389105121137153551567583597611625641657673689706723233853688398113128143158188203188218233248263293308323" displayName="Таблица16334659738710111512213414615817019022385470861021181341501661822541577389105121137153551567583597611625641657673689706723233853688398113128143158188203188218233248263293308323" ref="A58:F69" totalsRowShown="0" headerRowDxfId="1094" dataDxfId="42" totalsRowDxfId="1092" tableBorderDxfId="1093" totalsRowBorderDxfId="1091">
  <autoFilter ref="A58:F69" xr:uid="{9246B9BD-73A5-4351-9AA2-07EE59ED4E9D}"/>
  <sortState xmlns:xlrd2="http://schemas.microsoft.com/office/spreadsheetml/2017/richdata2" ref="A59:F69">
    <sortCondition descending="1" ref="D58:D69"/>
  </sortState>
  <tableColumns count="6">
    <tableColumn id="1" xr3:uid="{D457AD87-D895-42CE-8663-84DF907B7C7B}" name="Клиент" dataDxfId="48" totalsRowDxfId="1090"/>
    <tableColumn id="2" xr3:uid="{E8DD62C5-7EE3-4630-A717-069CFEE9DCA8}" name="Оборот" dataDxfId="47" totalsRowDxfId="1089"/>
    <tableColumn id="3" xr3:uid="{EED6606A-B52B-4A81-BD83-C5729ACFFE68}" name="Профит " dataDxfId="46" totalsRowDxfId="1088"/>
    <tableColumn id="4" xr3:uid="{95106A61-8ACC-4EB2-8662-11E104D43912}" name="%" dataDxfId="45" totalsRowDxfId="1087"/>
    <tableColumn id="5" xr3:uid="{90BF4607-8AEB-4318-BE29-13DE8101499E}" name="Менеджер" dataDxfId="44" totalsRowDxfId="1086"/>
    <tableColumn id="6" xr3:uid="{783DED4A-7A17-4E9B-83FB-93207F1F4990}" name="Комментарий" dataDxfId="43" totalsRowDxfId="1085" dataCellStyle="Финансовый"/>
  </tableColumns>
  <tableStyleInfo name="TableStyleLight9" showFirstColumn="0" showLastColumn="0" showRowStripes="1" showColumnStripes="0"/>
</table>
</file>

<file path=xl/tables/table3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3" xr:uid="{2FD4CF82-F2A1-45D6-8A10-FAF1CA7798E9}" name="Таблица4211720344148556269768390978390111118125132139146153160167174181188195613202734414855626976839097104111118125132139146153160167175183198206214123135147159171191233955718710311913515116718326425874901061221381545525685845986126266426586746907077324" displayName="Таблица4211720344148556269768390978390111118125132139146153160167174181188195613202734414855626976839097104111118125132139146153160167175183198206214123135147159171191233955718710311913515116718326425874901061221381545525685845986126266426586746907077324" ref="A81:H93" totalsRowShown="0" headerRowDxfId="1084" dataDxfId="33" dataCellStyle="Обычный 2">
  <autoFilter ref="A81:H93" xr:uid="{4ACBF2F4-2982-4E59-8F46-ECCA5C6BC7F5}"/>
  <sortState xmlns:xlrd2="http://schemas.microsoft.com/office/spreadsheetml/2017/richdata2" ref="A82:H93">
    <sortCondition descending="1" ref="G81:G93"/>
  </sortState>
  <tableColumns count="8">
    <tableColumn id="1" xr3:uid="{B6AC9F08-E777-4713-924F-ECEA652A1D87}" name="Номер" dataDxfId="41" dataCellStyle="Обычный 2"/>
    <tableColumn id="3" xr3:uid="{50E8E83D-D838-4EE6-AF8D-A0786E2D1B6D}" name="Клиент" dataDxfId="40" dataCellStyle="Обычный 2"/>
    <tableColumn id="4" xr3:uid="{2115F0E7-74F7-4EF2-916D-BDBC9BBF6488}" name="Менеджер" dataDxfId="39" dataCellStyle="Обычный 2"/>
    <tableColumn id="5" xr3:uid="{1B1EE72C-7391-4A77-B623-47352C29C4D2}" name="Проект" dataDxfId="38" dataCellStyle="Обычный 2"/>
    <tableColumn id="6" xr3:uid="{5C655FA1-D6CF-4C97-B434-149F848E7D14}" name="Краткое описание проекта" dataDxfId="37" dataCellStyle="Обычный 2"/>
    <tableColumn id="7" xr3:uid="{880E300A-474D-4D1C-B25C-A65E2B9B6BEA}" name="Дата завершения сделки" dataDxfId="36" dataCellStyle="Обычный 2"/>
    <tableColumn id="8" xr3:uid="{8CA19EF9-AE57-45F9-B2CD-F33190B3DB3F}" name="Сумма, тыс. руб." dataDxfId="35" dataCellStyle="Обычный"/>
    <tableColumn id="2" xr3:uid="{67C42BA5-FAFF-4101-B255-38C3EDF50E16}" name="Статус" dataDxfId="34"/>
  </tableColumns>
  <tableStyleInfo name="TableStyleMedium2" showFirstColumn="0" showLastColumn="0" showRowStripes="1" showColumnStripes="0"/>
</table>
</file>

<file path=xl/tables/table3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4" xr:uid="{0AAB55E8-716A-486C-ACC0-45A47C45A5A5}" name="Таблица9132738193340475461687582899682891101171241311381451521591661731801871945121926334047546168758289961031101171241311381451521591661741821902052131191251371491611731932541567288104120136152168184274359759110712313915555356958559961362764365967569325" displayName="Таблица9132738193340475461687582899682891101171241311381451521591661731801871945121926334047546168758289961031101171241311381451521591661741821902052131191251371491611731932541567288104120136152168184274359759110712313915555356958559961362764365967569325" ref="A75:H76" headerRowCount="0" totalsRowShown="0" headerRowDxfId="1083" dataDxfId="1082">
  <tableColumns count="8">
    <tableColumn id="1" xr3:uid="{2781F6FA-6F78-4D96-BE24-151971A225ED}" name="Февраль 2015" headerRowDxfId="1081" dataDxfId="1080" dataCellStyle="Название"/>
    <tableColumn id="2" xr3:uid="{1DAA8CCB-2D41-4B2B-90AB-1D5B3363353C}" name="Столбец1" headerRowDxfId="1079" dataDxfId="1078"/>
    <tableColumn id="3" xr3:uid="{99EA157A-0858-4EE0-A9AB-7AC90975AFFE}" name="Столбец2" headerRowDxfId="1077" dataDxfId="1076"/>
    <tableColumn id="4" xr3:uid="{01D27776-5E07-4049-B113-12837C803317}" name="Столбец3" headerRowDxfId="1075" dataDxfId="1074"/>
    <tableColumn id="5" xr3:uid="{59614813-59B4-4A35-A406-DC0D6B560CC5}" name="Столбец4" headerRowDxfId="1073" dataDxfId="1072"/>
    <tableColumn id="6" xr3:uid="{EEBA5B30-5ACD-4438-84EF-7A9CEC9A14BA}" name="Столбец5" headerRowDxfId="1071" dataDxfId="1070"/>
    <tableColumn id="7" xr3:uid="{FA53CA38-DDD4-4B9E-9A51-72E9497A99AE}" name="Столбец6" headerRowDxfId="1069" dataDxfId="1068"/>
    <tableColumn id="8" xr3:uid="{B2A163E6-F725-4386-93C9-43AFD7C24751}" name="Столбец7" headerRowDxfId="1067" dataDxfId="1066"/>
  </tableColumns>
  <tableStyleInfo name="TableStyleMedium2" showFirstColumn="0" showLastColumn="0" showRowStripes="1" showColumnStripes="0"/>
</table>
</file>

<file path=xl/tables/table3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5" xr:uid="{552767E0-C896-48B9-BC7B-BF06415F5783}" name="Таблица125138150162174194264257738910512113715316918528446076921081241401565545705866006146286446606766927097262641567186101116131146161191206191221236251266296311326" displayName="Таблица125138150162174194264257738910512113715316918528446076921081241401565545705866006146286446606766927097262641567186101116131146161191206191221236251266296311326" ref="A96:H116" totalsRowShown="0" headerRowDxfId="1065" dataDxfId="24">
  <autoFilter ref="A96:H116" xr:uid="{0F3DFAA2-5FF8-417D-8496-A5C766071E19}"/>
  <sortState xmlns:xlrd2="http://schemas.microsoft.com/office/spreadsheetml/2017/richdata2" ref="A97:H116">
    <sortCondition descending="1" ref="G96:G116"/>
  </sortState>
  <tableColumns count="8">
    <tableColumn id="1" xr3:uid="{6F6CEAC5-BE23-4C87-824D-EE509D0C5776}" name="Номер" dataDxfId="32"/>
    <tableColumn id="2" xr3:uid="{8EBA5A32-F255-4CBD-B660-D8E78863FF9C}" name="Клиент" dataDxfId="31"/>
    <tableColumn id="3" xr3:uid="{50919B7A-3222-4A46-8C45-985D5852C11E}" name="Менеджер" dataDxfId="30" dataCellStyle="Обычный 2"/>
    <tableColumn id="4" xr3:uid="{FBD7EFD7-22B6-4B2B-B936-390B3E62FBA8}" name="Проект" dataDxfId="29"/>
    <tableColumn id="5" xr3:uid="{D2EBFA45-A159-499E-BD3C-3F55B3978305}" name="Краткое описание проекта" dataDxfId="28"/>
    <tableColumn id="6" xr3:uid="{CEF9BC05-32B2-4F77-B5FB-194295D59A8D}" name="Дата завершения сделки" dataDxfId="27"/>
    <tableColumn id="7" xr3:uid="{9F211B25-34DA-4DF1-8451-A904A906F762}" name="Сумма" dataDxfId="26"/>
    <tableColumn id="8" xr3:uid="{FA665E2F-332F-4BBF-BB6D-8D5256A9E008}" name="Статус" dataDxfId="25"/>
  </tableColumns>
  <tableStyleInfo name="TableStyleMedium2" showFirstColumn="0" showLastColumn="0" showRowStripes="1" showColumnStripes="0"/>
</table>
</file>

<file path=xl/tables/table3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6" xr:uid="{B8A841A5-5B85-4A83-B43F-22D0EDEC97E2}" name="Таблица175195274358749010612213815417018629456177931091251411575555715876016156296456616776937107272742577287102117132147162192207192222237252267297312327" displayName="Таблица175195274358749010612213815417018629456177931091251411575555715876016156296456616776937107272742577287102117132147162192207192222237252267297312327" ref="A11:E12" totalsRowShown="0" headerRowDxfId="1064" dataDxfId="1063" tableBorderDxfId="1062">
  <tableColumns count="5">
    <tableColumn id="1" xr3:uid="{C3644639-5B41-4972-A2C2-57C923875008}" name="Менеджер" dataDxfId="1061"/>
    <tableColumn id="2" xr3:uid="{8D1B78A7-B26E-4998-B7B0-621EE2E12229}" name="План с НАЧАЛА ФГ, руб." dataDxfId="1060">
      <calculatedColumnFormula>SUM(C22:C25)</calculatedColumnFormula>
    </tableColumn>
    <tableColumn id="3" xr3:uid="{59ADD534-45CD-4D86-B805-85C4BB42CECD}" name="Факт с НАЧАЛА ФГ, руб." dataDxfId="1059">
      <calculatedColumnFormula>B34</calculatedColumnFormula>
    </tableColumn>
    <tableColumn id="4" xr3:uid="{C7E221F9-FCCB-4F5C-8CAD-591E275FFC23}" name="Отклонение, %" dataDxfId="1058">
      <calculatedColumnFormula>C12/B12-100%</calculatedColumnFormula>
    </tableColumn>
    <tableColumn id="5" xr3:uid="{08D1BAC7-DA93-41DA-9D07-10BFEAAAD40F}" name="Отклонение, РУБ" dataDxfId="1057">
      <calculatedColumnFormula>C12-B12</calculatedColumnFormula>
    </tableColumn>
  </tableColumns>
  <tableStyleInfo name="TableStyleMedium2" showFirstColumn="0" showLastColumn="0" showRowStripes="1" showColumnStripes="0"/>
</table>
</file>

<file path=xl/tables/table3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7" xr:uid="{41637A65-2177-4A36-B06F-9E8DBB282A53}" name="Таблица294459759110712313915517118730466278941101261421585565725886026166306466626786947117282843587388103118133148163193208193223238253268298313328" displayName="Таблица294459759110712313915517118730466278941101261421585565725886026166306466626786947117282843587388103118133148163193208193223238253268298313328" ref="A39:E40" totalsRowShown="0" headerRowDxfId="1056" dataDxfId="1055">
  <autoFilter ref="A39:E40" xr:uid="{A123EA08-D8D4-4987-8146-FF08418E565C}"/>
  <tableColumns count="5">
    <tableColumn id="2" xr3:uid="{45E6E7EF-5F44-481A-B8E7-E14BD93B8944}" name="Факт" dataDxfId="1054">
      <calculatedColumnFormula>B25</calculatedColumnFormula>
    </tableColumn>
    <tableColumn id="9" xr3:uid="{7B1969C3-24CC-4CF3-AD81-01A5CC2AA8CF}" name="Оклад" dataDxfId="1053" dataCellStyle="Процентный">
      <calculatedColumnFormula>50000</calculatedColumnFormula>
    </tableColumn>
    <tableColumn id="4" xr3:uid="{3A28ADD6-E47D-454A-B08A-5041B39B1291}" name="Премия" dataDxfId="1052">
      <calculatedColumnFormula>A40*0.1*0.9</calculatedColumnFormula>
    </tableColumn>
    <tableColumn id="7" xr3:uid="{C337E6D9-4473-4342-B0A4-369960B235C2}" name="Доплата за Задачи" dataDxfId="1051">
      <calculatedColumnFormula>SUM(G134:G136)</calculatedColumnFormula>
    </tableColumn>
    <tableColumn id="6" xr3:uid="{A86345B8-55D2-42E7-9FBA-1B59D67E073B}" name="Штрафы" dataDxfId="1050"/>
  </tableColumns>
  <tableStyleInfo name="TableStyleMedium2" showFirstColumn="0" showLastColumn="0" showRowStripes="1" showColumnStripes="0"/>
</table>
</file>

<file path=xl/tables/table3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8" xr:uid="{1B4DB676-92DC-4E0B-90CA-92825458338C}" name="Таблица9132738193340475461687582899682891101171241311381451521591661731801871945121926334047546168758289961031101171241311381451521591661741821902052131241361481601721922440627894110126142158174190334965819711312914516155957559160361763164766367969571329" displayName="Таблица9132738193340475461687582899682891101171241311381451521591661731801871945121926334047546168758289961031101171241311381451521591661741821902052131241361481601721922440627894110126142158174190334965819711312914516155957559160361763164766367969571329" ref="A72:H74" headerRowCount="0" totalsRowShown="0" headerRowDxfId="1049" dataDxfId="1048">
  <tableColumns count="8">
    <tableColumn id="1" xr3:uid="{BDC399F2-B974-41F0-9917-D6F253B77CA0}" name="Февраль 2015" headerRowDxfId="1047" dataDxfId="1046" dataCellStyle="Название"/>
    <tableColumn id="2" xr3:uid="{EC3AABA7-9A0C-4586-9050-231A8675FAE8}" name="Столбец1" headerRowDxfId="1045" dataDxfId="1044"/>
    <tableColumn id="3" xr3:uid="{007D6A8D-C096-4C7D-8B05-1F84994EEB2D}" name="Столбец2" headerRowDxfId="1043" dataDxfId="1042"/>
    <tableColumn id="4" xr3:uid="{0872CD44-E987-438C-94B4-4161185F4BFE}" name="Столбец3" headerRowDxfId="1041" dataDxfId="1040"/>
    <tableColumn id="5" xr3:uid="{F6F1BB83-26C7-4F85-B416-C306D38F3B09}" name="Столбец4" headerRowDxfId="1039" dataDxfId="1038"/>
    <tableColumn id="6" xr3:uid="{C1458A82-A151-41B7-AABB-1726CDA008E0}" name="Столбец5" headerRowDxfId="1037" dataDxfId="1036"/>
    <tableColumn id="7" xr3:uid="{712FBEC0-132F-4425-B870-B3BA066F942B}" name="Столбец6" headerRowDxfId="1035" dataDxfId="1034"/>
    <tableColumn id="8" xr3:uid="{8C6C792B-0EE8-4387-920F-62C607847A55}" name="Столбец7" headerRowDxfId="1033" dataDxfId="1032"/>
  </tableColumns>
  <tableStyleInfo name="TableStyleMedium2" showFirstColumn="0" showLastColumn="0" showRowStripes="1" showColumnStripes="0"/>
</table>
</file>

<file path=xl/tables/table3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9" xr:uid="{15E497FC-1CEA-4EAE-A7C5-E8EC211CE75D}" name="Таблица1529425569839711111613014215416618618345066829811413014616217821375369851011171331495605765926046186326486646806967137303045607590105120135150165195210195225240255270300315330" displayName="Таблица1529425569839711111613014215416618618345066829811413014616217821375369851011171331495605765926046186326486646806967137303045607590105120135150165195210195225240255270300315330" ref="A120:G123" totalsRowShown="0" headerRowDxfId="1031" dataDxfId="16" tableBorderDxfId="1030">
  <autoFilter ref="A120:G123" xr:uid="{BD66A881-30D1-4979-8390-5888D14E5877}"/>
  <tableColumns count="7">
    <tableColumn id="1" xr3:uid="{9D047EAD-AE10-4DDF-9AB4-A68DD7F8E463}" name="Дата" dataDxfId="23"/>
    <tableColumn id="2" xr3:uid="{B62FEB68-7D49-4D1E-BD71-5E3A82F2A816}" name="Клиент" dataDxfId="22"/>
    <tableColumn id="3" xr3:uid="{6E7896A2-59AB-4AC5-A338-584039943FE6}" name="Менеджер" dataDxfId="21" dataCellStyle="Обычный 2"/>
    <tableColumn id="4" xr3:uid="{CF8A05E3-3854-4AD9-B406-9E11D0247283}" name="Контакт в 1С" dataDxfId="20"/>
    <tableColumn id="5" xr3:uid="{5E55772F-7251-4569-9B8A-78A95D0E2551}" name="№ сделки" dataDxfId="19"/>
    <tableColumn id="6" xr3:uid="{D99A67B5-4D74-49A3-906C-34F12AD53B24}" name="Цель" dataDxfId="18"/>
    <tableColumn id="7" xr3:uid="{00A1D574-E3FB-4E43-B45D-903B9EB8DABF}" name="Результат" dataDxfId="17"/>
  </tableColumns>
  <tableStyleInfo name="TableStyleMedium2" showFirstColumn="0" showLastColumn="0" showRowStripes="1" showColumnStripes="0"/>
</table>
</file>

<file path=xl/tables/table3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0" xr:uid="{DBBF42F5-683E-4601-8906-1594AA20B1BB}" name="Таблица4936997167333146617691106121136151166196211196226241256271301316331" displayName="Таблица4936997167333146617691106121136151166196211196226241256271301316331" ref="A21:D33" totalsRowShown="0" headerRowDxfId="1029" dataDxfId="1027" headerRowBorderDxfId="1028" tableBorderDxfId="1026" totalsRowBorderDxfId="1025">
  <autoFilter ref="A21:D33" xr:uid="{8999CE3E-52FF-4AF3-AA18-1DA9A764C519}"/>
  <tableColumns count="4">
    <tableColumn id="1" xr3:uid="{F804DBE4-CB42-41E4-A0BE-5E5E0B1E1E85}" name="Месяц" dataDxfId="1024"/>
    <tableColumn id="2" xr3:uid="{7D5C2005-17FB-4971-BB3D-E4B491B844BD}" name="Профит" dataDxfId="1023"/>
    <tableColumn id="3" xr3:uid="{FF00A722-D7AA-4282-8200-6E027B40E960}" name="План" dataDxfId="1022"/>
    <tableColumn id="4" xr3:uid="{6449DB3A-687C-42FC-A5D3-F417082FA366}" name="Выполнение" dataDxfId="1021">
      <calculatedColumnFormula>Таблица4936997167333146617691106121136151166196211196226241256271301316331[[#This Row],[Профит]]/Таблица4936997167333146617691106121136151166196211196226241256271301316331[[#This Row],[План]]</calculatedColumnFormula>
    </tableColumn>
  </tableColumns>
  <tableStyleInfo name="TableStyleMedium2" showFirstColumn="0" showLastColumn="0" showRowStripes="1" showColumnStripes="0"/>
</table>
</file>

<file path=xl/tables/table3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1" xr:uid="{E8441E81-1D4B-4DF0-827C-2D9BC1500A13}" name="Таблица11029163037445158657223303744515865727986931009223548627690104107127139151163183152947637995111127143159175183450668298114130146545561577589605619635651667683700717163247627792107122137152182197182212227242257287302317332" displayName="Таблица11029163037445158657223303744515865727986931009223548627690104107127139151163183152947637995111127143159175183450668298114130146545561577589605619635651667683700717163247627792107122137152182197182212227242257287302317332" ref="A6:F7" totalsRowShown="0" headerRowDxfId="1020" dataDxfId="1019">
  <tableColumns count="6">
    <tableColumn id="1" xr3:uid="{45169455-E60F-4D0C-8C12-0D05B4D6A038}" name="Менеджер" dataDxfId="1018"/>
    <tableColumn id="2" xr3:uid="{1613CA8A-94FD-4798-A19F-2F4A137FA837}" name="План, руб." dataDxfId="1017">
      <calculatedColumnFormula>C25</calculatedColumnFormula>
    </tableColumn>
    <tableColumn id="3" xr3:uid="{5E10C14C-D5C0-4818-B794-742BBE3D2DA5}" name="Факт, руб." dataDxfId="1016">
      <calculatedColumnFormula>B25</calculatedColumnFormula>
    </tableColumn>
    <tableColumn id="4" xr3:uid="{83BBD0E2-076C-4150-B431-E8D389CC8BCB}" name="Отклонение, %" dataDxfId="1015" dataCellStyle="Процентный">
      <calculatedColumnFormula>Таблица11029163037445158657223303744515865727986931009223548627690104107127139151163183152947637995111127143159175183450668298114130146545561577589605619635651667683700717163247627792107122137152182197182212227242257287302317332[Факт, руб.]/Таблица11029163037445158657223303744515865727986931009223548627690104107127139151163183152947637995111127143159175183450668298114130146545561577589605619635651667683700717163247627792107122137152182197182212227242257287302317332[План, руб.]-100%</calculatedColumnFormula>
    </tableColumn>
    <tableColumn id="7" xr3:uid="{E2441187-ACB6-4B95-9716-7E88A6985BC7}" name="Отклонение, РУБ" dataDxfId="1014" dataCellStyle="Процентный">
      <calculatedColumnFormula>Таблица11029163037445158657223303744515865727986931009223548627690104107127139151163183152947637995111127143159175183450668298114130146545561577589605619635651667683700717163247627792107122137152182197182212227242257287302317332[Факт, руб.]-Таблица11029163037445158657223303744515865727986931009223548627690104107127139151163183152947637995111127143159175183450668298114130146545561577589605619635651667683700717163247627792107122137152182197182212227242257287302317332[План, руб.]</calculatedColumnFormula>
    </tableColumn>
    <tableColumn id="5" xr3:uid="{7B6DBC47-0D10-471D-968C-C62B646E2EB1}" name="Предыд месяц" dataDxfId="1013" dataCellStyle="Процентный">
      <calculatedColumnFormula>B24</calculatedColumnFormula>
    </tableColumn>
  </tableColumns>
  <tableStyleInfo name="TableStyleMedium2" showFirstColumn="0" showLastColumn="0" showRowStripes="1" showColumnStripes="0"/>
</table>
</file>

<file path=xl/tables/table3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2" xr:uid="{67D0A379-7A65-422C-9C35-41BCEA257A5C}" name="Таблица211301731384552596673243138455259667380879410110233649637791105109128140152164184163248648096112128144160176193551678399115131147546562578590606620636652668684701718173348637893108123138153183198183213228243258288303318333" displayName="Таблица211301731384552596673243138455259667380879410110233649637791105109128140152164184163248648096112128144160176193551678399115131147546562578590606620636652668684701718173348637893108123138153183198183213228243258288303318333" ref="A16:E17" totalsRowShown="0" headerRowDxfId="1012" dataDxfId="1011">
  <tableColumns count="5">
    <tableColumn id="1" xr3:uid="{85D3763A-6E5F-40F0-848B-00DB23BC6FA4}" name="Менеджер" dataDxfId="1010"/>
    <tableColumn id="2" xr3:uid="{5ED7C4FE-3878-4115-B97C-FB4E75B59257}" name="Профит ФГ 24-25" dataDxfId="1009"/>
    <tableColumn id="3" xr3:uid="{24E9BEEC-C2FA-4666-8962-E478A8C8823D}" name="Профит ФГ 25-26" dataDxfId="1008"/>
    <tableColumn id="4" xr3:uid="{DEAEA237-3867-497F-9F29-CC161A5DD5E6}" name="Профит ФГ 26-27" dataDxfId="1007" dataCellStyle="Процентный">
      <calculatedColumnFormula>B34</calculatedColumnFormula>
    </tableColumn>
    <tableColumn id="5" xr3:uid="{1F76FFA9-1259-4EE2-AF80-5E603D7BF811}" name="Рост накопительно, % " dataDxfId="1006">
      <calculatedColumnFormula>Таблица211301731384552596673243138455259667380879410110233649637791105109128140152164184163248648096112128144160176193551678399115131147546562578590606620636652668684701718173348637893108123138153183198183213228243258288303318333[Профит ФГ 26-27]/Таблица211301731384552596673243138455259667380879410110233649637791105109128140152164184163248648096112128144160176193551678399115131147546562578590606620636652668684701718173348637893108123138153183198183213228243258288303318333[Профит ФГ 25-26]</calculatedColumnFormula>
    </tableColumn>
  </tableColumns>
  <tableStyleInfo name="TableStyleMedium2" showFirstColumn="0" showLastColumn="0" showRowStripes="1" showColumnStripes="0"/>
</table>
</file>

<file path=xl/tables/table3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3" xr:uid="{8BE4C796-DFE1-418C-AF79-50898C04DFAC}" name="Таблица546243318323946536067742532394653606774818895102112437506478921061101291411531651851733496581971131291451611772036526884100116132148547563579593607621637653669685702719193449647994109124139154184199184214229244259289304319334" displayName="Таблица546243318323946536067742532394653606774818895102112437506478921061101291411531651851733496581971131291451611772036526884100116132148547563579593607621637653669685702719193449647994109124139154184199184214229244259289304319334" ref="A45:D50" totalsRowShown="0" headerRowDxfId="1005" dataDxfId="1004">
  <autoFilter ref="A45:D50" xr:uid="{3EADDA2E-FD58-4130-8A1C-8C20137591BB}"/>
  <tableColumns count="4">
    <tableColumn id="2" xr3:uid="{4947487D-85EE-418C-B5D0-ED61C8B9D133}" name="Холдинг" dataDxfId="1003"/>
    <tableColumn id="3" xr3:uid="{33D6D9CD-67E0-4409-8D22-2180E0358BCB}" name="Сумма просроченного долга" dataDxfId="1002" dataCellStyle="Денежный"/>
    <tableColumn id="4" xr3:uid="{9F331941-4410-4F20-B75B-F733059E2821}" name="Общая сумма долга" dataDxfId="1001" dataCellStyle="Денежный"/>
    <tableColumn id="5" xr3:uid="{EDAD39E6-40AF-41CD-A735-54121EDC2D15}" name="% просрочки" dataDxfId="1000" dataCellStyle="Процентный">
      <calculatedColumnFormula>Таблица546243318323946536067742532394653606774818895102112437506478921061101291411531651851733496581971131291451611772036526884100116132148547563579593607621637653669685702719193449647994109124139154184199184214229244259289304319334[[#This Row],[Сумма просроченного долга]]/Таблица546243318323946536067742532394653606774818895102112437506478921061101291411531651851733496581971131291451611772036526884100116132148547563579593607621637653669685702719193449647994109124139154184199184214229244259289304319334[[#This Row],[Общая сумма долга]]</calculatedColumnFormula>
    </tableColumn>
  </tableColumns>
  <tableStyleInfo name="TableStyleMedium2" showFirstColumn="0" showLastColumn="0" showRowStripes="1" showColumnStripes="0"/>
</table>
</file>

<file path=xl/tables/table3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4" xr:uid="{BBB6BD5B-C82D-4B8E-A295-FF55878A92B4}" name="Таблица173043567084981121171311431551671871935516783991151311471631792238547086102118134150548564580594608622638654670686703720203550658095110125140155185200185215230245260290305320335" displayName="Таблица173043567084981121171311431551671871935516783991151311471631792238547086102118134150548564580594608622638654670686703720203550658095110125140155185200185215230245260290305320335" ref="A106:G107" totalsRowShown="0" headerRowDxfId="999" dataDxfId="998" tableBorderDxfId="997">
  <autoFilter ref="A106:G107" xr:uid="{5F2E2A5D-7666-4FD4-A50A-70ADD98392B4}"/>
  <sortState xmlns:xlrd2="http://schemas.microsoft.com/office/spreadsheetml/2017/richdata2" ref="A107:G107">
    <sortCondition ref="D106:D107"/>
  </sortState>
  <tableColumns count="7">
    <tableColumn id="1" xr3:uid="{7FEB5C79-D038-49BC-89D3-3057E58CDDCA}" name="Дата" dataDxfId="996"/>
    <tableColumn id="2" xr3:uid="{798D32D8-8BCE-418B-8BF1-E329EA770BA3}" name="Клиент" dataDxfId="995"/>
    <tableColumn id="3" xr3:uid="{1CC16A82-6E82-434F-B82F-1DDFD2438E6F}" name="Менеджер" dataDxfId="994" dataCellStyle="Обычный 2"/>
    <tableColumn id="4" xr3:uid="{EB90BF18-2CA3-4740-8A32-09B2127FE5EB}" name="Контакт в 1С" dataDxfId="993"/>
    <tableColumn id="5" xr3:uid="{3E7642D9-224A-4B26-84AF-05555D70AC7B}" name="№ сделки" dataDxfId="992"/>
    <tableColumn id="6" xr3:uid="{A1E718EE-129F-4002-8FF1-3AC47AC4E068}" name="Цель" dataDxfId="991"/>
    <tableColumn id="7" xr3:uid="{A59D456F-1FDF-4F14-A259-E4937FAB6AD9}" name="Результат" dataDxfId="990"/>
  </tableColumns>
  <tableStyleInfo name="TableStyleMedium2" showFirstColumn="0" showLastColumn="0" showRowStripes="1" showColumnStripes="0"/>
</table>
</file>

<file path=xl/tables/table3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5" xr:uid="{E385F0AD-2B97-4944-B563-92A3F465CB03}" name="Таблица1931445771859911312013214415616818820365268841001161321481641802339557187103119135151549565581595609623639655671687704721213651668196111126141156186201186216231246261291306321336" displayName="Таблица1931445771859911312013214415616818820365268841001161321481641802339557187103119135151549565581595609623639655671687704721213651668196111126141156186201186216231246261291306321336" ref="A112:G115" totalsRowShown="0" headerRowDxfId="989" dataDxfId="988" tableBorderDxfId="987">
  <autoFilter ref="A112:G115" xr:uid="{CC17A23E-B8E4-4CBF-BC3B-16FF0249D515}"/>
  <tableColumns count="7">
    <tableColumn id="1" xr3:uid="{0554852D-0A54-4303-87BD-4B1463AF0F32}" name="Цель" dataDxfId="986" dataCellStyle="Обычный 2"/>
    <tableColumn id="2" xr3:uid="{44BFB453-33DB-43AD-9022-9AC94524CBF7}" name="Необходимый результат" dataDxfId="985" dataCellStyle="Обычный 2"/>
    <tableColumn id="3" xr3:uid="{FBBB581B-42D1-4C9C-8368-2EC0509C22F7}" name="Выполнено да/нет" dataDxfId="984" dataCellStyle="Обычный"/>
    <tableColumn id="4" xr3:uid="{07BFE0B1-1F5C-4436-B706-F5717131784C}" name="Комментарий по выполненной задаче" dataDxfId="983" dataCellStyle="Обычный 2"/>
    <tableColumn id="5" xr3:uid="{A2125BE4-4A02-4760-946B-5B4BFD7806A0}" name="Мотивация" dataDxfId="982"/>
    <tableColumn id="6" xr3:uid="{5F678E26-233A-46B9-A9D4-CC630C9628DE}" name="Менеджер" dataDxfId="981"/>
    <tableColumn id="7" xr3:uid="{0E824E1E-94F5-4FDF-AE57-A670AEB9805B}" name="К оплате" dataDxfId="980"/>
  </tableColumns>
  <tableStyleInfo name="TableStyleMedium2" showFirstColumn="0" showLastColumn="0" showRowStripes="1" showColumnStripes="0"/>
</table>
</file>

<file path=xl/tables/table3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6" xr:uid="{1B9A38C4-1BEF-4F8C-88B2-C42E2ED97B75}" name="Таблица20324558728610011412113314515716918921375369851011171331491651812440567288104120136152550566582596610624640656672688705722223752678297112127142157187202187217232247262292307322337" displayName="Таблица20324558728610011412113314515716918921375369851011171331491651812440567288104120136152550566582596610624640656672688705722223752678297112127142157187202187217232247262292307322337" ref="A118:G122" totalsRowShown="0" headerRowDxfId="979" dataDxfId="978" tableBorderDxfId="977">
  <autoFilter ref="A118:G122" xr:uid="{16803243-7F25-4AF5-AE4A-7C5E11F25A09}"/>
  <tableColumns count="7">
    <tableColumn id="1" xr3:uid="{55D69C54-441E-4F76-BCB9-641B8378684F}" name="Цель" dataDxfId="976"/>
    <tableColumn id="2" xr3:uid="{100804CB-10BD-4EC9-A801-327C6463827D}" name="Необходимый результат" dataDxfId="975"/>
    <tableColumn id="3" xr3:uid="{E12F2CD7-DAA4-4B7C-B7FE-CC5BF672D4A0}" name="Выполнено да/нет" dataDxfId="974"/>
    <tableColumn id="4" xr3:uid="{33A934B7-7838-43DE-8450-9F958A751F70}" name="Комментарий по выполненной задаче" dataDxfId="973"/>
    <tableColumn id="5" xr3:uid="{689F4595-6A17-4F2A-9035-96C821EE6DA6}" name="Мотивация" dataDxfId="972"/>
    <tableColumn id="6" xr3:uid="{EBFF2A62-E8C1-421A-A91B-46DF8AEEC8D0}" name="Менеджер" dataDxfId="971"/>
    <tableColumn id="7" xr3:uid="{63C851BD-F1A7-4DAC-A2DE-1C3F669C6CD6}" name="К оплате" dataDxfId="970"/>
  </tableColumns>
  <tableStyleInfo name="TableStyleMedium2" showFirstColumn="0" showLastColumn="0" showRowStripes="1" showColumnStripes="0"/>
</table>
</file>

<file path=xl/tables/table3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7" xr:uid="{64134301-738B-4037-B531-CEF5D95A1A03}" name="Таблица16334659738710111512213414615817019022385470861021181341501661822541577389105121137153551567583597611625641657673689706723233853688398113128143158188203188218233248263293308323338" displayName="Таблица16334659738710111512213414615817019022385470861021181341501661822541577389105121137153551567583597611625641657673689706723233853688398113128143158188203188218233248263293308323338" ref="A56:G66" totalsRowShown="0" headerRowDxfId="969" dataDxfId="968" totalsRowDxfId="966" tableBorderDxfId="967" totalsRowBorderDxfId="965">
  <autoFilter ref="A56:G66" xr:uid="{9246B9BD-73A5-4351-9AA2-07EE59ED4E9D}"/>
  <sortState xmlns:xlrd2="http://schemas.microsoft.com/office/spreadsheetml/2017/richdata2" ref="A57:F66">
    <sortCondition descending="1" ref="D56:D66"/>
  </sortState>
  <tableColumns count="7">
    <tableColumn id="1" xr3:uid="{56E0D8A0-A7C4-410B-AE29-91462FC8C99C}" name="Клиент" dataDxfId="964" totalsRowDxfId="963"/>
    <tableColumn id="2" xr3:uid="{D85144EE-3B10-49D9-889C-31C82FFC5495}" name="Оборот" dataDxfId="962" totalsRowDxfId="961"/>
    <tableColumn id="3" xr3:uid="{BB9A60F4-5923-4547-B75E-E36F53ABF929}" name="Профит " dataDxfId="960" totalsRowDxfId="959"/>
    <tableColumn id="4" xr3:uid="{8768F199-9A24-4E86-A7A8-C17F2E13FC6E}" name="%" dataDxfId="958" totalsRowDxfId="957"/>
    <tableColumn id="5" xr3:uid="{30D6AB20-FBC4-4A52-A243-EF116AD35F3A}" name="Менеджер" dataDxfId="956" totalsRowDxfId="955"/>
    <tableColumn id="6" xr3:uid="{1C4F23D3-1BA8-41C6-966C-64AB0CBB2CFB}" name="Комментарий" dataDxfId="954" totalsRowDxfId="953" dataCellStyle="Финансовый"/>
    <tableColumn id="7" xr3:uid="{890DD112-9394-43DC-B619-FB6C4E43A06A}" name="Столбец1" dataDxfId="952" totalsRowDxfId="951"/>
  </tableColumns>
  <tableStyleInfo name="TableStyleLight9" showFirstColumn="0" showLastColumn="0" showRowStripes="1" showColumnStripes="0"/>
</table>
</file>

<file path=xl/tables/table3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8" xr:uid="{ABABE007-1A16-4FCD-875A-C90A8EA9C525}" name="Таблица4211720344148556269768390978390111118125132139146153160167174181188195613202734414855626976839097104111118125132139146153160167175183198206214123135147159171191233955718710311913515116718326425874901061221381545525685845986126266426586746907077339" displayName="Таблица4211720344148556269768390978390111118125132139146153160167174181188195613202734414855626976839097104111118125132139146153160167175183198206214123135147159171191233955718710311913515116718326425874901061221381545525685845986126266426586746907077339" ref="A78:H87" totalsRowShown="0" headerRowDxfId="950" dataDxfId="949" dataCellStyle="Обычный 2">
  <autoFilter ref="A78:H87" xr:uid="{4ACBF2F4-2982-4E59-8F46-ECCA5C6BC7F5}"/>
  <sortState xmlns:xlrd2="http://schemas.microsoft.com/office/spreadsheetml/2017/richdata2" ref="A79:H87">
    <sortCondition descending="1" ref="G78:G87"/>
  </sortState>
  <tableColumns count="8">
    <tableColumn id="1" xr3:uid="{4EC44727-DDE6-40DB-92D4-B7983554519A}" name="Номер" dataDxfId="948" dataCellStyle="Обычный 2"/>
    <tableColumn id="3" xr3:uid="{D26555B8-F864-4E4B-9E22-48348FDD9FED}" name="Клиент" dataDxfId="947" dataCellStyle="Обычный 2"/>
    <tableColumn id="4" xr3:uid="{E5D437DB-4B02-4F33-875A-415930E14A43}" name="Менеджер" dataDxfId="946" dataCellStyle="Обычный 2"/>
    <tableColumn id="5" xr3:uid="{472FB52C-774E-4AB4-9CBC-6E0ED5C5105A}" name="Проект" dataDxfId="945" dataCellStyle="Обычный 2"/>
    <tableColumn id="6" xr3:uid="{7ABEF30A-22AE-4447-9FA5-0421B4E05903}" name="Краткое описание проекта" dataDxfId="944" dataCellStyle="Обычный 2"/>
    <tableColumn id="7" xr3:uid="{2D94190F-94A1-48F4-B4FD-2D8F5BB8F240}" name="Дата завершения сделки" dataDxfId="943" dataCellStyle="Обычный 2"/>
    <tableColumn id="8" xr3:uid="{3AD22365-9545-404A-95FA-7B9D51D016DA}" name="Сумма, тыс. руб." dataDxfId="942" dataCellStyle="Обычный"/>
    <tableColumn id="2" xr3:uid="{DA943A31-2805-4DF6-B66C-8D0F94503CDE}" name="Статус" dataDxfId="941"/>
  </tableColumns>
  <tableStyleInfo name="TableStyleMedium2" showFirstColumn="0" showLastColumn="0" showRowStripes="1" showColumnStripes="0"/>
</table>
</file>

<file path=xl/tables/table3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9" xr:uid="{06E043CF-263E-4CDC-A22B-33BD45B41C53}" name="Таблица9132738193340475461687582899682891101171241311381451521591661731801871945121926334047546168758289961031101171241311381451521591661741821902052131191251371491611731932541567288104120136152168184274359759110712313915555356958559961362764365967569340" displayName="Таблица9132738193340475461687582899682891101171241311381451521591661731801871945121926334047546168758289961031101171241311381451521591661741821902052131191251371491611731932541567288104120136152168184274359759110712313915555356958559961362764365967569340" ref="A72:H73" headerRowCount="0" totalsRowShown="0" headerRowDxfId="940" dataDxfId="939">
  <tableColumns count="8">
    <tableColumn id="1" xr3:uid="{6BC894AA-E0E0-4666-AE2C-6635ECD807A1}" name="Февраль 2015" headerRowDxfId="938" dataDxfId="937" dataCellStyle="Название"/>
    <tableColumn id="2" xr3:uid="{68FA3743-A317-4838-91F2-FF7F4F9A0A1E}" name="Столбец1" headerRowDxfId="936" dataDxfId="935"/>
    <tableColumn id="3" xr3:uid="{41F1D700-6B63-419A-9E21-168055A08562}" name="Столбец2" headerRowDxfId="934" dataDxfId="933"/>
    <tableColumn id="4" xr3:uid="{0566A22C-9A02-4051-8F78-F562F6738E20}" name="Столбец3" headerRowDxfId="932" dataDxfId="931"/>
    <tableColumn id="5" xr3:uid="{F0D7D0F9-D0CD-4439-9E85-BCFC0EF2ED8D}" name="Столбец4" headerRowDxfId="930" dataDxfId="929"/>
    <tableColumn id="6" xr3:uid="{4E9C0B60-F5F1-4A0D-8187-F9E70CAAB163}" name="Столбец5" headerRowDxfId="928" dataDxfId="927"/>
    <tableColumn id="7" xr3:uid="{816FB4D6-2A8F-438E-8808-4F3C56FF191A}" name="Столбец6" headerRowDxfId="926" dataDxfId="925"/>
    <tableColumn id="8" xr3:uid="{6C51D03B-BB38-4E1A-84C5-4304BA347349}" name="Столбец7" headerRowDxfId="924" dataDxfId="923"/>
  </tableColumns>
  <tableStyleInfo name="TableStyleMedium2" showFirstColumn="0" showLastColumn="0" showRowStripes="1" showColumnStripes="0"/>
</table>
</file>

<file path=xl/tables/table3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0" xr:uid="{CF17F3D2-05E2-491C-AF15-645E0332CFF0}" name="Таблица125138150162174194264257738910512113715316918528446076921081241401565545705866006146286446606766927097262641567186101116131146161191206191221236251266296311326341" displayName="Таблица125138150162174194264257738910512113715316918528446076921081241401565545705866006146286446606766927097262641567186101116131146161191206191221236251266296311326341" ref="A90:H97" totalsRowShown="0" headerRowDxfId="922" dataDxfId="921">
  <autoFilter ref="A90:H97" xr:uid="{0F3DFAA2-5FF8-417D-8496-A5C766071E19}"/>
  <sortState xmlns:xlrd2="http://schemas.microsoft.com/office/spreadsheetml/2017/richdata2" ref="A91:H97">
    <sortCondition descending="1" ref="G90:G97"/>
  </sortState>
  <tableColumns count="8">
    <tableColumn id="1" xr3:uid="{EF1D0A7B-A841-45F1-AB30-519C07942711}" name="Номер" dataDxfId="920"/>
    <tableColumn id="2" xr3:uid="{4FBD6D87-729D-4710-9F61-73177F126552}" name="Клиент" dataDxfId="919"/>
    <tableColumn id="3" xr3:uid="{49D89105-CFA6-4D4B-B9AA-520EF09F6EEC}" name="Менеджер" dataDxfId="918" dataCellStyle="Обычный 2"/>
    <tableColumn id="4" xr3:uid="{F4F2B235-29F1-48D9-BEAB-1C3A1D6619F5}" name="Проект" dataDxfId="917"/>
    <tableColumn id="5" xr3:uid="{4C572CF8-1E5C-47CE-A543-735FCE1F37AB}" name="Краткое описание проекта" dataDxfId="916"/>
    <tableColumn id="6" xr3:uid="{C1D2524B-13A0-4EF8-A23A-B4D8D855D7F2}" name="Дата завершения сделки" dataDxfId="915"/>
    <tableColumn id="7" xr3:uid="{D9A0157F-10CE-47CA-B507-19248D04F0CD}" name="Сумма" dataDxfId="914"/>
    <tableColumn id="8" xr3:uid="{EAFDF667-A574-498C-8812-0C664E9E1D2A}" name="Статус" dataDxfId="913"/>
  </tableColumns>
  <tableStyleInfo name="TableStyleMedium2" showFirstColumn="0" showLastColumn="0" showRowStripes="1" showColumnStripes="0"/>
</table>
</file>

<file path=xl/tables/table3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1" xr:uid="{6DE49A3B-B99C-41CB-8007-0DD050D01900}" name="Таблица175195274358749010612213815417018629456177931091251411575555715876016156296456616776937107272742577287102117132147162192207192222237252267297312327342" displayName="Таблица175195274358749010612213815417018629456177931091251411575555715876016156296456616776937107272742577287102117132147162192207192222237252267297312327342" ref="A11:E12" totalsRowShown="0" headerRowDxfId="912" dataDxfId="911" tableBorderDxfId="910">
  <tableColumns count="5">
    <tableColumn id="1" xr3:uid="{753BA257-4253-4339-906C-8368F5C942BD}" name="Менеджер" dataDxfId="909"/>
    <tableColumn id="2" xr3:uid="{5A408370-C92B-4E65-A666-EA9449C9BF21}" name="План с НАЧАЛА ФГ, руб." dataDxfId="908">
      <calculatedColumnFormula>SUM(C22:C25)</calculatedColumnFormula>
    </tableColumn>
    <tableColumn id="3" xr3:uid="{67555D7E-AA5A-4089-922C-9BC86F0DACFF}" name="Факт с НАЧАЛА ФГ, руб." dataDxfId="907">
      <calculatedColumnFormula>B34</calculatedColumnFormula>
    </tableColumn>
    <tableColumn id="4" xr3:uid="{BF24002C-5BD3-43B3-90AF-43D48B7F158E}" name="Отклонение, %" dataDxfId="906">
      <calculatedColumnFormula>C12/B12-100%</calculatedColumnFormula>
    </tableColumn>
    <tableColumn id="5" xr3:uid="{4BE72908-BFCF-491A-BB8E-41F3D1AD4D2A}" name="Отклонение, РУБ" dataDxfId="905">
      <calculatedColumnFormula>C12-B12</calculatedColumnFormula>
    </tableColumn>
  </tableColumns>
  <tableStyleInfo name="TableStyleMedium2" showFirstColumn="0" showLastColumn="0" showRowStripes="1" showColumnStripes="0"/>
</table>
</file>

<file path=xl/tables/table3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2" xr:uid="{62FCD5E2-0B0F-436E-8A2A-012DDE467BE5}" name="Таблица294459759110712313915517118730466278941101261421585565725886026166306466626786947117282843587388103118133148163193208193223238253268298313328343" displayName="Таблица294459759110712313915517118730466278941101261421585565725886026166306466626786947117282843587388103118133148163193208193223238253268298313328343" ref="A39:E40" totalsRowShown="0" headerRowDxfId="904" dataDxfId="903">
  <autoFilter ref="A39:E40" xr:uid="{A123EA08-D8D4-4987-8146-FF08418E565C}"/>
  <tableColumns count="5">
    <tableColumn id="2" xr3:uid="{1274CAC0-A6B1-48A3-B071-10687BE031B8}" name="Факт" dataDxfId="902">
      <calculatedColumnFormula>B25</calculatedColumnFormula>
    </tableColumn>
    <tableColumn id="9" xr3:uid="{36A65360-1573-44E4-947E-D43BFA419987}" name="Оклад" dataDxfId="901" dataCellStyle="Процентный">
      <calculatedColumnFormula>50000</calculatedColumnFormula>
    </tableColumn>
    <tableColumn id="4" xr3:uid="{F1397008-91B7-40F5-8F2A-7C72EFB6E1CE}" name="Премия" dataDxfId="900">
      <calculatedColumnFormula>A40*0.1*0.9</calculatedColumnFormula>
    </tableColumn>
    <tableColumn id="7" xr3:uid="{9411859D-516B-4580-8244-3FEDEB350C98}" name="Доплата за Задачи" dataDxfId="899">
      <calculatedColumnFormula>SUM(G113:G115)</calculatedColumnFormula>
    </tableColumn>
    <tableColumn id="6" xr3:uid="{45DD9F55-08F0-45FE-9C08-D08CE896F0A4}" name="Штрафы" dataDxfId="898"/>
  </tableColumns>
  <tableStyleInfo name="TableStyleMedium2" showFirstColumn="0" showLastColumn="0" showRowStripes="1" showColumnStripes="0"/>
</table>
</file>

<file path=xl/tables/table3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3" xr:uid="{4B6AB64B-DCEA-4C5C-8CF3-AC19A82B70E7}" name="Таблица9132738193340475461687582899682891101171241311381451521591661731801871945121926334047546168758289961031101171241311381451521591661741821902052131241361481601721922440627894110126142158174190334965819711312914516155957559160361763164766367969571344" displayName="Таблица9132738193340475461687582899682891101171241311381451521591661731801871945121926334047546168758289961031101171241311381451521591661741821902052131241361481601721922440627894110126142158174190334965819711312914516155957559160361763164766367969571344" ref="A69:H71" headerRowCount="0" totalsRowShown="0" headerRowDxfId="897" dataDxfId="896">
  <tableColumns count="8">
    <tableColumn id="1" xr3:uid="{C8A7DF8D-8DB7-4D47-909F-59B77B7A9F9B}" name="Февраль 2015" headerRowDxfId="895" dataDxfId="894" dataCellStyle="Название"/>
    <tableColumn id="2" xr3:uid="{CA97C2FE-131F-40F6-88DF-F20C74ACB34E}" name="Столбец1" headerRowDxfId="893" dataDxfId="892"/>
    <tableColumn id="3" xr3:uid="{8DD81452-9BC4-48C5-AAD5-F7705A6AD47C}" name="Столбец2" headerRowDxfId="891" dataDxfId="890"/>
    <tableColumn id="4" xr3:uid="{9B6DFC3A-1584-4091-8DAC-C424256C1E7E}" name="Столбец3" headerRowDxfId="889" dataDxfId="888"/>
    <tableColumn id="5" xr3:uid="{73B94CA0-BA08-42B3-AD50-E9AC2E16BB3F}" name="Столбец4" headerRowDxfId="887" dataDxfId="886"/>
    <tableColumn id="6" xr3:uid="{E7168F07-0CF4-40D4-8EA4-E196B1737616}" name="Столбец5" headerRowDxfId="885" dataDxfId="884"/>
    <tableColumn id="7" xr3:uid="{F4C7587C-7975-4B6C-83FA-B25EA62C5AAB}" name="Столбец6" headerRowDxfId="883" dataDxfId="882"/>
    <tableColumn id="8" xr3:uid="{E49B42FA-FBAD-442C-B516-B3C0D574ABF3}" name="Столбец7" headerRowDxfId="881" dataDxfId="880"/>
  </tableColumns>
  <tableStyleInfo name="TableStyleMedium2" showFirstColumn="0" showLastColumn="0" showRowStripes="1" showColumnStripes="0"/>
</table>
</file>

<file path=xl/tables/table3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4" xr:uid="{E83AC7BF-CA80-46A8-9581-CFDD0799CC88}" name="Таблица1529425569839711111613014215416618618345066829811413014616217821375369851011171331495605765926046186326486646806967137303045607590105120135150165195210195225240255270300315330345" displayName="Таблица1529425569839711111613014215416618618345066829811413014616217821375369851011171331495605765926046186326486646806967137303045607590105120135150165195210195225240255270300315330345" ref="A101:G102" totalsRowShown="0" headerRowDxfId="879" dataDxfId="878" tableBorderDxfId="877">
  <autoFilter ref="A101:G102" xr:uid="{BD66A881-30D1-4979-8390-5888D14E5877}"/>
  <tableColumns count="7">
    <tableColumn id="1" xr3:uid="{51C2839B-9479-4E61-B685-22BF7605AE31}" name="Дата" dataDxfId="876"/>
    <tableColumn id="2" xr3:uid="{BF128DB2-82BF-483F-ABFF-317C04FDC250}" name="Клиент" dataDxfId="875"/>
    <tableColumn id="3" xr3:uid="{A95CB682-8EE1-45B3-839B-DBC62685759C}" name="Менеджер" dataDxfId="874" dataCellStyle="Обычный 2"/>
    <tableColumn id="4" xr3:uid="{9613E018-869B-4B6B-8D97-C2C37DF2757B}" name="Контакт в 1С" dataDxfId="873"/>
    <tableColumn id="5" xr3:uid="{70426CFA-B99E-4BDE-943C-33992327E3A0}" name="№ сделки" dataDxfId="872"/>
    <tableColumn id="6" xr3:uid="{731409C9-2B84-449E-9604-4438E2B04D84}" name="Цель" dataDxfId="871"/>
    <tableColumn id="7" xr3:uid="{4BE6BC4C-1F9A-4514-B6DA-80BA5DB43F1D}" name="Результат" dataDxfId="870"/>
  </tableColumns>
  <tableStyleInfo name="TableStyleMedium2" showFirstColumn="0" showLastColumn="0" showRowStripes="1" showColumnStripes="0"/>
</table>
</file>

<file path=xl/tables/table3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5" xr:uid="{F9C5A1ED-AFEA-4425-81D3-769AB67EDCC2}" name="Таблица4936997167333146617691106121136151166196211196226241256271301316331346" displayName="Таблица4936997167333146617691106121136151166196211196226241256271301316331346" ref="A21:D33" totalsRowShown="0" headerRowDxfId="869" dataDxfId="867" headerRowBorderDxfId="868" tableBorderDxfId="866" totalsRowBorderDxfId="865">
  <autoFilter ref="A21:D33" xr:uid="{8999CE3E-52FF-4AF3-AA18-1DA9A764C519}"/>
  <tableColumns count="4">
    <tableColumn id="1" xr3:uid="{EDEA3321-7F1E-4B64-9091-24394EA88208}" name="Месяц" dataDxfId="864"/>
    <tableColumn id="2" xr3:uid="{402C688B-6C27-44FD-810C-0F0F90A3FAEB}" name="Профит" dataDxfId="863"/>
    <tableColumn id="3" xr3:uid="{3AC16CD0-4089-4A13-8BED-F49B924B476C}" name="План" dataDxfId="862"/>
    <tableColumn id="4" xr3:uid="{542A7F5F-3FCC-42EA-9759-E154533A3C8E}" name="Выполнение" dataDxfId="861">
      <calculatedColumnFormula>Таблица4936997167333146617691106121136151166196211196226241256271301316331346[[#This Row],[Профит]]/Таблица4936997167333146617691106121136151166196211196226241256271301316331346[[#This Row],[План]]</calculatedColumnFormula>
    </tableColumn>
  </tableColumns>
  <tableStyleInfo name="TableStyleMedium2" showFirstColumn="0" showLastColumn="0" showRowStripes="1" showColumnStripes="0"/>
</table>
</file>

<file path=xl/tables/table3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1" xr:uid="{AED0865F-AA64-4114-9312-0A817D1459D3}" name="Таблица11029163037445158657223303744515865727986931009223548627690104107127139151163183152947637995111127143159175183450668298114130146545561577589605619635651667683700717163247627792107122137152182197182212227242257272" displayName="Таблица11029163037445158657223303744515865727986931009223548627690104107127139151163183152947637995111127143159175183450668298114130146545561577589605619635651667683700717163247627792107122137152182197182212227242257272" ref="A6:F7" totalsRowShown="0" headerRowDxfId="860" dataDxfId="859">
  <tableColumns count="6">
    <tableColumn id="1" xr3:uid="{78CA3243-6C58-4B88-844D-0B268A1CE47A}" name="Менеджер" dataDxfId="858"/>
    <tableColumn id="2" xr3:uid="{6E15E058-9F11-4C03-B172-47E23628ABD4}" name="План, руб." dataDxfId="857">
      <calculatedColumnFormula>C33</calculatedColumnFormula>
    </tableColumn>
    <tableColumn id="3" xr3:uid="{9DEB0802-DC9D-43F8-873A-947ACED6DC33}" name="Факт, руб." dataDxfId="856">
      <calculatedColumnFormula>B33</calculatedColumnFormula>
    </tableColumn>
    <tableColumn id="4" xr3:uid="{C664D033-E310-48E3-81B5-6137DDA76CD8}" name="Отклонение, %" dataDxfId="855" dataCellStyle="Процентный">
      <calculatedColumnFormula>Таблица11029163037445158657223303744515865727986931009223548627690104107127139151163183152947637995111127143159175183450668298114130146545561577589605619635651667683700717163247627792107122137152182197182212227242257272[Факт, руб.]/Таблица11029163037445158657223303744515865727986931009223548627690104107127139151163183152947637995111127143159175183450668298114130146545561577589605619635651667683700717163247627792107122137152182197182212227242257272[План, руб.]-100%</calculatedColumnFormula>
    </tableColumn>
    <tableColumn id="7" xr3:uid="{6C7436F3-B489-42B7-B648-6C4298A8CE4D}" name="Отклонение, РУБ" dataDxfId="854" dataCellStyle="Процентный">
      <calculatedColumnFormula>Таблица11029163037445158657223303744515865727986931009223548627690104107127139151163183152947637995111127143159175183450668298114130146545561577589605619635651667683700717163247627792107122137152182197182212227242257272[Факт, руб.]-Таблица11029163037445158657223303744515865727986931009223548627690104107127139151163183152947637995111127143159175183450668298114130146545561577589605619635651667683700717163247627792107122137152182197182212227242257272[План, руб.]</calculatedColumnFormula>
    </tableColumn>
    <tableColumn id="5" xr3:uid="{5434119D-3352-4EA3-87FD-171000896DFA}" name="Предыд месяц" dataDxfId="853" dataCellStyle="Процентный">
      <calculatedColumnFormula>B32</calculatedColumnFormula>
    </tableColumn>
  </tableColumns>
  <tableStyleInfo name="TableStyleMedium2" showFirstColumn="0" showLastColumn="0" showRowStripes="1" showColumnStripes="0"/>
</table>
</file>

<file path=xl/tables/table3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2" xr:uid="{CB920259-DA15-44BF-9F75-5239C820D1AF}" name="Таблица211301731384552596673243138455259667380879410110233649637791105109128140152164184163248648096112128144160176193551678399115131147546562578590606620636652668684701718173348637893108123138153183198183213228243258273" displayName="Таблица211301731384552596673243138455259667380879410110233649637791105109128140152164184163248648096112128144160176193551678399115131147546562578590606620636652668684701718173348637893108123138153183198183213228243258273" ref="A16:E17" totalsRowShown="0" headerRowDxfId="852" dataDxfId="851">
  <tableColumns count="5">
    <tableColumn id="1" xr3:uid="{BEDC257B-018A-41AA-851C-580DC53B9A7F}" name="Менеджер" dataDxfId="850"/>
    <tableColumn id="2" xr3:uid="{5FF8A69A-3770-4D87-9E4E-60CB276CE111}" name="Профит ФГ 23-24" dataDxfId="849"/>
    <tableColumn id="3" xr3:uid="{7B65979F-0054-404B-8D2F-E728ADA0CDB9}" name="Профит ФГ 24-25" dataDxfId="848"/>
    <tableColumn id="4" xr3:uid="{5782A5E4-9791-4020-945A-C61EB50E0739}" name="Профит ФГ 25-26" dataDxfId="847" dataCellStyle="Процентный">
      <calculatedColumnFormula>B34</calculatedColumnFormula>
    </tableColumn>
    <tableColumn id="5" xr3:uid="{EFE513F5-746E-4791-8BFD-D112AFC4B3E6}" name="Рост накопительно, % " dataDxfId="846">
      <calculatedColumnFormula>Таблица211301731384552596673243138455259667380879410110233649637791105109128140152164184163248648096112128144160176193551678399115131147546562578590606620636652668684701718173348637893108123138153183198183213228243258273[Профит ФГ 25-26]/Таблица211301731384552596673243138455259667380879410110233649637791105109128140152164184163248648096112128144160176193551678399115131147546562578590606620636652668684701718173348637893108123138153183198183213228243258273[Профит ФГ 24-25]</calculatedColumnFormula>
    </tableColumn>
  </tableColumns>
  <tableStyleInfo name="TableStyleMedium2" showFirstColumn="0" showLastColumn="0" showRowStripes="1" showColumnStripes="0"/>
</table>
</file>

<file path=xl/tables/table3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3" xr:uid="{9E602317-3EB4-4D89-8F5D-55CF71BCA054}" name="Таблица546243318323946536067742532394653606774818895102112437506478921061101291411531651851733496581971131291451611772036526884100116132148547563579593607621637653669685702719193449647994109124139154184199184214229244259274" displayName="Таблица546243318323946536067742532394653606774818895102112437506478921061101291411531651851733496581971131291451611772036526884100116132148547563579593607621637653669685702719193449647994109124139154184199184214229244259274" ref="A45:D46" totalsRowShown="0" headerRowDxfId="845" dataDxfId="844">
  <autoFilter ref="A45:D46" xr:uid="{3EADDA2E-FD58-4130-8A1C-8C20137591BB}"/>
  <tableColumns count="4">
    <tableColumn id="2" xr3:uid="{FE47FEAF-9752-4EFE-AD25-C20CC5D8305A}" name="Холдинг" dataDxfId="843"/>
    <tableColumn id="3" xr3:uid="{D7448778-0673-491C-8873-78F8FF649596}" name="Сумма просроченного долга" dataDxfId="842" dataCellStyle="Денежный"/>
    <tableColumn id="4" xr3:uid="{6431377C-8055-4365-8358-8275E3481CCC}" name="Общая сумма долга" dataDxfId="841" dataCellStyle="Денежный"/>
    <tableColumn id="5" xr3:uid="{9829B98C-3A1C-46F9-BAC8-00AA8F40CB6A}" name="% просрочки" dataDxfId="840" dataCellStyle="Процентный"/>
  </tableColumns>
  <tableStyleInfo name="TableStyleMedium2" showFirstColumn="0" showLastColumn="0" showRowStripes="1" showColumnStripes="0"/>
</table>
</file>

<file path=xl/tables/table3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4" xr:uid="{C074BB52-D6C0-46AC-906F-C949A021700D}" name="Таблица173043567084981121171311431551671871935516783991151311471631792238547086102118134150548564580594608622638654670686703720203550658095110125140155185200185215230245260275" displayName="Таблица173043567084981121171311431551671871935516783991151311471631792238547086102118134150548564580594608622638654670686703720203550658095110125140155185200185215230245260275" ref="A149:G267" totalsRowShown="0" headerRowDxfId="839" dataDxfId="838" tableBorderDxfId="837">
  <autoFilter ref="A149:G267" xr:uid="{5F2E2A5D-7666-4FD4-A50A-70ADD98392B4}"/>
  <sortState xmlns:xlrd2="http://schemas.microsoft.com/office/spreadsheetml/2017/richdata2" ref="A150:G267">
    <sortCondition ref="D149:D267"/>
  </sortState>
  <tableColumns count="7">
    <tableColumn id="1" xr3:uid="{B5A0F826-0B32-47B5-8946-C0160D7705AD}" name="Дата" dataDxfId="836"/>
    <tableColumn id="2" xr3:uid="{1B94208F-660A-40CD-834B-C8DABBDB88EC}" name="Клиент" dataDxfId="835"/>
    <tableColumn id="3" xr3:uid="{DBF84069-A3A3-49E7-AF4E-3B04BFCD4625}" name="Менеджер" dataDxfId="834" dataCellStyle="Обычный 2"/>
    <tableColumn id="4" xr3:uid="{09C8C0BD-E97D-40A2-A1A1-FB66FF9EDF32}" name="Контакт в 1С" dataDxfId="833"/>
    <tableColumn id="5" xr3:uid="{D1D050EF-B0D7-4BDE-8CA8-2DDA465B7FF0}" name="№ сделки" dataDxfId="832"/>
    <tableColumn id="6" xr3:uid="{E3F1FAE5-3584-4161-B8D2-21ED43C895E8}" name="Цель" dataDxfId="831"/>
    <tableColumn id="7" xr3:uid="{4C41B415-8E41-4D24-B5AB-AF52A468A208}" name="Результат" dataDxfId="830"/>
  </tableColumns>
  <tableStyleInfo name="TableStyleMedium2" showFirstColumn="0" showLastColumn="0" showRowStripes="1" showColumnStripes="0"/>
</table>
</file>

<file path=xl/tables/table3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5" xr:uid="{B23348A3-47B8-4A51-AEFE-9290ABB20557}" name="Таблица1931445771859911312013214415616818820365268841001161321481641802339557187103119135151549565581595609623639655671687704721213651668196111126141156186201186216231246261276" displayName="Таблица1931445771859911312013214415616818820365268841001161321481641802339557187103119135151549565581595609623639655671687704721213651668196111126141156186201186216231246261276" ref="A272:G275" totalsRowShown="0" headerRowDxfId="829" dataDxfId="828" tableBorderDxfId="827">
  <autoFilter ref="A272:G275" xr:uid="{CC17A23E-B8E4-4CBF-BC3B-16FF0249D515}"/>
  <tableColumns count="7">
    <tableColumn id="1" xr3:uid="{3085BEE8-088F-49CE-BC11-D5F740EB840D}" name="Цель" dataDxfId="826" dataCellStyle="Обычный 2"/>
    <tableColumn id="2" xr3:uid="{23DCDBEE-A650-4009-BB88-3B2E9070BB8E}" name="Необходимый результат" dataDxfId="825" dataCellStyle="Обычный 2"/>
    <tableColumn id="3" xr3:uid="{A75987CB-260B-4D48-88D5-E75EFCE19B04}" name="Выполнено да/нет" dataDxfId="824" dataCellStyle="Обычный"/>
    <tableColumn id="4" xr3:uid="{E4DDC567-A6FD-4C68-A79F-7C19C0C80B1B}" name="Комментарий по выполненной задаче" dataDxfId="823" dataCellStyle="Обычный 2"/>
    <tableColumn id="5" xr3:uid="{E96DFF6A-DE10-4759-BCC3-A2DB475007A8}" name="Мотивация" dataDxfId="822"/>
    <tableColumn id="6" xr3:uid="{608DB4DC-DADD-4D7A-BAED-145446F5FB80}" name="Менеджер" dataDxfId="821"/>
    <tableColumn id="7" xr3:uid="{F8E63F00-2B07-49B5-9188-473D5963F48C}" name="К оплате" dataDxfId="820"/>
  </tableColumns>
  <tableStyleInfo name="TableStyleMedium2" showFirstColumn="0" showLastColumn="0" showRowStripes="1" showColumnStripes="0"/>
</table>
</file>

<file path=xl/tables/table3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6" xr:uid="{2D72E03E-C763-47B6-A478-723220352BF4}" name="Таблица20324558728610011412113314515716918921375369851011171331491651812440567288104120136152550566582596610624640656672688705722223752678297112127142157187202187217232247262277" displayName="Таблица20324558728610011412113314515716918921375369851011171331491651812440567288104120136152550566582596610624640656672688705722223752678297112127142157187202187217232247262277" ref="A279:G283" totalsRowShown="0" headerRowDxfId="819" dataDxfId="818" tableBorderDxfId="817">
  <autoFilter ref="A279:G283" xr:uid="{16803243-7F25-4AF5-AE4A-7C5E11F25A09}"/>
  <tableColumns count="7">
    <tableColumn id="1" xr3:uid="{188DCAD3-1BE4-4AFE-A81B-0AF7F26AB9BF}" name="Цель" dataDxfId="816"/>
    <tableColumn id="2" xr3:uid="{3C0337A0-F2A6-40CA-95D3-792B6DDFE21E}" name="Необходимый результат" dataDxfId="815"/>
    <tableColumn id="3" xr3:uid="{81E44A9D-5EE1-4E5C-AC27-E51C354966C1}" name="Выполнено да/нет" dataDxfId="814"/>
    <tableColumn id="4" xr3:uid="{B232B3D3-05F2-4434-BC00-32F7E9F8351A}" name="Комментарий по выполненной задаче" dataDxfId="813"/>
    <tableColumn id="5" xr3:uid="{BAAB3E03-E52F-4A62-BF1C-79775D80FB9E}" name="Мотивация" dataDxfId="812"/>
    <tableColumn id="6" xr3:uid="{2BBDE24F-6EC9-4C34-BEB2-A36B23D0418A}" name="Менеджер" dataDxfId="811"/>
    <tableColumn id="7" xr3:uid="{C1F79368-0F8E-4E21-B743-3CE9D2C09CC9}" name="К оплате" dataDxfId="810"/>
  </tableColumns>
  <tableStyleInfo name="TableStyleMedium2" showFirstColumn="0" showLastColumn="0" showRowStripes="1" showColumnStripes="0"/>
</table>
</file>

<file path=xl/tables/table3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7" xr:uid="{216B7CF0-CE6E-4FA2-9290-64C2327DEC26}" name="Таблица16334659738710111512213414615817019022385470861021181341501661822541577389105121137153551567583597611625641657673689706723233853688398113128143158188203188218233248263278" displayName="Таблица16334659738710111512213414615817019022385470861021181341501661822541577389105121137153551567583597611625641657673689706723233853688398113128143158188203188218233248263278" ref="A52:F65" totalsRowShown="0" headerRowDxfId="809" dataDxfId="808" totalsRowDxfId="806" tableBorderDxfId="807" totalsRowBorderDxfId="805">
  <autoFilter ref="A52:F65" xr:uid="{9246B9BD-73A5-4351-9AA2-07EE59ED4E9D}"/>
  <sortState xmlns:xlrd2="http://schemas.microsoft.com/office/spreadsheetml/2017/richdata2" ref="A53:F65">
    <sortCondition descending="1" ref="D52:D65"/>
  </sortState>
  <tableColumns count="6">
    <tableColumn id="1" xr3:uid="{28E95443-AAFA-4626-BFEC-309946D483E2}" name="Клиент" dataDxfId="804" totalsRowDxfId="803"/>
    <tableColumn id="2" xr3:uid="{782C9F9B-4E54-46B5-B6EE-4ED30087939E}" name="Оборот" dataDxfId="802" totalsRowDxfId="801"/>
    <tableColumn id="3" xr3:uid="{A852A558-A54E-489F-95A2-3880E5748826}" name="Профит " dataDxfId="800" totalsRowDxfId="799"/>
    <tableColumn id="4" xr3:uid="{79C737CB-17A1-45AA-A2A8-4E0E76648229}" name="%" dataDxfId="798" totalsRowDxfId="797"/>
    <tableColumn id="5" xr3:uid="{93761922-F3DE-4839-B04E-1574C6D7E218}" name="Менеджер" dataDxfId="796" totalsRowDxfId="795"/>
    <tableColumn id="6" xr3:uid="{86F6DC20-EC1D-4675-B26C-B858F34E2FDE}" name="Комментарий" dataDxfId="794" totalsRowDxfId="793" dataCellStyle="Финансовый"/>
  </tableColumns>
  <tableStyleInfo name="TableStyleLight9" showFirstColumn="0" showLastColumn="0" showRowStripes="1" showColumnStripes="0"/>
</table>
</file>

<file path=xl/tables/table3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8" xr:uid="{07522F4C-D309-412A-A84F-DA7DCFDD72CD}" name="Таблица4211720344148556269768390978390111118125132139146153160167174181188195613202734414855626976839097104111118125132139146153160167175183198206214123135147159171191233955718710311913515116718326425874901061221381545525685845986126266426586746907077279" displayName="Таблица4211720344148556269768390978390111118125132139146153160167174181188195613202734414855626976839097104111118125132139146153160167175183198206214123135147159171191233955718710311913515116718326425874901061221381545525685845986126266426586746907077279" ref="A77:H92" totalsRowShown="0" headerRowDxfId="792" dataDxfId="791" dataCellStyle="Обычный 2">
  <autoFilter ref="A77:H92" xr:uid="{4ACBF2F4-2982-4E59-8F46-ECCA5C6BC7F5}"/>
  <sortState xmlns:xlrd2="http://schemas.microsoft.com/office/spreadsheetml/2017/richdata2" ref="A78:H92">
    <sortCondition descending="1" ref="G77:G92"/>
  </sortState>
  <tableColumns count="8">
    <tableColumn id="1" xr3:uid="{CDCA2486-A14E-4050-B4C1-76AE8537CCF2}" name="Номер" dataDxfId="790" dataCellStyle="Обычный 2"/>
    <tableColumn id="3" xr3:uid="{57D46BC3-5869-4CCE-AA1F-2137D6B83CC4}" name="Клиент" dataDxfId="789" dataCellStyle="Обычный 2"/>
    <tableColumn id="4" xr3:uid="{8A3DA41F-913A-460A-9082-E60B9DC49E40}" name="Менеджер" dataDxfId="788" dataCellStyle="Обычный 2"/>
    <tableColumn id="5" xr3:uid="{01723B53-B6AC-4289-95E1-E6172C762FFB}" name="Проект" dataDxfId="787" dataCellStyle="Обычный 2"/>
    <tableColumn id="6" xr3:uid="{8515F071-F47F-4CA4-BAA7-B0D142B299D2}" name="Краткое описание проекта" dataDxfId="786" dataCellStyle="Обычный 2"/>
    <tableColumn id="7" xr3:uid="{816E1F71-FDF6-4AEE-9ECA-263DD6C89E1B}" name="Дата завершения сделки" dataDxfId="785" dataCellStyle="Обычный 2"/>
    <tableColumn id="8" xr3:uid="{2851762E-1B56-426B-8DA6-497EC0860B31}" name="Сумма, тыс. руб." dataDxfId="784" dataCellStyle="Обычный"/>
    <tableColumn id="2" xr3:uid="{39053D13-E1E2-4811-974F-F494DAF953D0}" name="Статус" dataDxfId="783"/>
  </tableColumns>
  <tableStyleInfo name="TableStyleMedium2" showFirstColumn="0" showLastColumn="0" showRowStripes="1" showColumnStripes="0"/>
</table>
</file>

<file path=xl/tables/table3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9" xr:uid="{F076F4A0-9965-46E9-B321-7CD4A75D77B7}" name="Таблица9132738193340475461687582899682891101171241311381451521591661731801871945121926334047546168758289961031101171241311381451521591661741821902052131191251371491611731932541567288104120136152168184274359759110712313915555356958559961362764365967569280" displayName="Таблица9132738193340475461687582899682891101171241311381451521591661731801871945121926334047546168758289961031101171241311381451521591661741821902052131191251371491611731932541567288104120136152168184274359759110712313915555356958559961362764365967569280" ref="A71:H72" headerRowCount="0" totalsRowShown="0" headerRowDxfId="782" dataDxfId="781">
  <tableColumns count="8">
    <tableColumn id="1" xr3:uid="{8F12005B-99F1-4994-8849-AA93C06123E9}" name="Февраль 2015" headerRowDxfId="780" dataDxfId="779" dataCellStyle="Название"/>
    <tableColumn id="2" xr3:uid="{782E117E-ED40-4881-AC80-0385C6E04E66}" name="Столбец1" headerRowDxfId="778" dataDxfId="777"/>
    <tableColumn id="3" xr3:uid="{4A4016EE-FF3F-476A-BA79-FBA93E930497}" name="Столбец2" headerRowDxfId="776" dataDxfId="775"/>
    <tableColumn id="4" xr3:uid="{FD8727D5-8D3E-485E-B5F7-7CC055B946CC}" name="Столбец3" headerRowDxfId="774" dataDxfId="773"/>
    <tableColumn id="5" xr3:uid="{7E6AF3DF-2705-409C-A772-B31B93D60166}" name="Столбец4" headerRowDxfId="772" dataDxfId="771"/>
    <tableColumn id="6" xr3:uid="{1CCC765A-0554-4162-B075-8449E289F655}" name="Столбец5" headerRowDxfId="770" dataDxfId="769"/>
    <tableColumn id="7" xr3:uid="{B610B662-B4DF-415A-B927-F6DBCD83D933}" name="Столбец6" headerRowDxfId="768" dataDxfId="767"/>
    <tableColumn id="8" xr3:uid="{7AC1A908-3E75-4634-B43F-98C3675DA977}" name="Столбец7" headerRowDxfId="766" dataDxfId="765"/>
  </tableColumns>
  <tableStyleInfo name="TableStyleMedium2" showFirstColumn="0" showLastColumn="0" showRowStripes="1" showColumnStripes="0"/>
</table>
</file>

<file path=xl/tables/table3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0" xr:uid="{CC997AE1-5266-4BAE-8B98-FBA5F2679F38}" name="Таблица125138150162174194264257738910512113715316918528446076921081241401565545705866006146286446606766927097262641567186101116131146161191206191221236251266281" displayName="Таблица125138150162174194264257738910512113715316918528446076921081241401565545705866006146286446606766927097262641567186101116131146161191206191221236251266281" ref="A96:H139" totalsRowShown="0" headerRowDxfId="764" dataDxfId="763">
  <autoFilter ref="A96:H139" xr:uid="{0F3DFAA2-5FF8-417D-8496-A5C766071E19}"/>
  <sortState xmlns:xlrd2="http://schemas.microsoft.com/office/spreadsheetml/2017/richdata2" ref="A97:H139">
    <sortCondition descending="1" ref="G96:G139"/>
  </sortState>
  <tableColumns count="8">
    <tableColumn id="1" xr3:uid="{6FEB1089-CC31-4F34-BF82-36FE3FA60CF3}" name="Номер" dataDxfId="762"/>
    <tableColumn id="2" xr3:uid="{E57D42E4-510D-47BA-A5CB-80701B65A8B4}" name="Клиент" dataDxfId="761"/>
    <tableColumn id="3" xr3:uid="{8ADF65FD-EC21-42A5-926E-38139DC59D34}" name="Менеджер" dataDxfId="760" dataCellStyle="Обычный 2"/>
    <tableColumn id="4" xr3:uid="{58CD2F60-60CB-49AE-995E-FD62557AF957}" name="Проект" dataDxfId="759"/>
    <tableColumn id="5" xr3:uid="{58558C1A-A643-4549-A6AE-42021D2D90B0}" name="Краткое описание проекта" dataDxfId="758"/>
    <tableColumn id="6" xr3:uid="{5276ECCE-4046-4E82-8F9B-ADA8AA9BAC2B}" name="Дата завершения сделки" dataDxfId="757"/>
    <tableColumn id="7" xr3:uid="{42A0B8CE-4243-41E0-9EFF-8EE2BC74ED98}" name="Сумма" dataDxfId="756"/>
    <tableColumn id="8" xr3:uid="{4FE6F8EB-2FD1-41E0-A84B-AD26A7605832}" name="Статус" dataDxfId="755"/>
  </tableColumns>
  <tableStyleInfo name="TableStyleMedium2" showFirstColumn="0" showLastColumn="0" showRowStripes="1" showColumnStripes="0"/>
</table>
</file>

<file path=xl/tables/table3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1" xr:uid="{DE442A9D-C4AD-4C15-BDB2-FD4F86D81B28}" name="Таблица175195274358749010612213815417018629456177931091251411575555715876016156296456616776937107272742577287102117132147162192207192222237252267282" displayName="Таблица175195274358749010612213815417018629456177931091251411575555715876016156296456616776937107272742577287102117132147162192207192222237252267282" ref="A11:E12" totalsRowShown="0" headerRowDxfId="754" dataDxfId="753" tableBorderDxfId="752">
  <tableColumns count="5">
    <tableColumn id="1" xr3:uid="{4F480821-495E-409C-9023-5860F53600CC}" name="Менеджер" dataDxfId="751"/>
    <tableColumn id="2" xr3:uid="{50C7720D-6890-40F7-9CFD-DB944CAA2FBF}" name="План с НАЧАЛА ФГ, руб." dataDxfId="750">
      <calculatedColumnFormula>SUM(C22:C33)</calculatedColumnFormula>
    </tableColumn>
    <tableColumn id="3" xr3:uid="{EA5D59B7-2B12-4A2D-A968-13F035C252B0}" name="Факт с НАЧАЛА ФГ, руб." dataDxfId="749">
      <calculatedColumnFormula>B34</calculatedColumnFormula>
    </tableColumn>
    <tableColumn id="4" xr3:uid="{43B44336-4A64-4D65-B38D-ED7B273BBF5C}" name="Отклонение, %" dataDxfId="748">
      <calculatedColumnFormula>C12/B12-100%</calculatedColumnFormula>
    </tableColumn>
    <tableColumn id="5" xr3:uid="{284DF840-DF1B-4E49-AF87-D717DDE57260}" name="Отклонение, РУБ" dataDxfId="747">
      <calculatedColumnFormula>C12-B12</calculatedColumnFormula>
    </tableColumn>
  </tableColumns>
  <tableStyleInfo name="TableStyleMedium2" showFirstColumn="0" showLastColumn="0" showRowStripes="1" showColumnStripes="0"/>
</table>
</file>

<file path=xl/tables/table3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2" xr:uid="{9336AFBD-D142-4584-8EB9-6BE8CCF2B837}" name="Таблица294459759110712313915517118730466278941101261421585565725886026166306466626786947117282843587388103118133148163193208193223238253268283" displayName="Таблица294459759110712313915517118730466278941101261421585565725886026166306466626786947117282843587388103118133148163193208193223238253268283" ref="A39:E40" totalsRowShown="0" headerRowDxfId="746" dataDxfId="745">
  <autoFilter ref="A39:E40" xr:uid="{A123EA08-D8D4-4987-8146-FF08418E565C}"/>
  <tableColumns count="5">
    <tableColumn id="2" xr3:uid="{8265C850-C94D-4BC9-9169-004F9E02C4E5}" name="Факт" dataDxfId="744">
      <calculatedColumnFormula>B22</calculatedColumnFormula>
    </tableColumn>
    <tableColumn id="9" xr3:uid="{B97B89CB-4C49-4AE3-BB35-504413225DA7}" name="Оклад" dataDxfId="743" dataCellStyle="Процентный">
      <calculatedColumnFormula>50000</calculatedColumnFormula>
    </tableColumn>
    <tableColumn id="4" xr3:uid="{FA16769C-4131-4F0F-84DD-2B3AE5A20622}" name="Премия" dataDxfId="742">
      <calculatedColumnFormula>A40*0.07*1.1</calculatedColumnFormula>
    </tableColumn>
    <tableColumn id="7" xr3:uid="{A3170DA0-8D70-4770-B075-17CF801510C6}" name="Доплата за Задачи" dataDxfId="741">
      <calculatedColumnFormula>SUM(G273:G275)</calculatedColumnFormula>
    </tableColumn>
    <tableColumn id="6" xr3:uid="{012B4F82-38DC-43A8-9EA7-F9E80BB05786}" name="Штрафы" dataDxfId="740"/>
  </tableColumns>
  <tableStyleInfo name="TableStyleMedium2" showFirstColumn="0" showLastColumn="0" showRowStripes="1" showColumnStripes="0"/>
</table>
</file>

<file path=xl/tables/table3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3" xr:uid="{551F752B-D756-44E1-87C5-28F19565D358}" name="Таблица9132738193340475461687582899682891101171241311381451521591661731801871945121926334047546168758289961031101171241311381451521591661741821902052131241361481601721922440627894110126142158174190334965819711312914516155957559160361763164766367969571284" displayName="Таблица9132738193340475461687582899682891101171241311381451521591661731801871945121926334047546168758289961031101171241311381451521591661741821902052131241361481601721922440627894110126142158174190334965819711312914516155957559160361763164766367969571284" ref="A68:H70" headerRowCount="0" totalsRowShown="0" headerRowDxfId="739" dataDxfId="738">
  <tableColumns count="8">
    <tableColumn id="1" xr3:uid="{EE3AA187-B9D4-4AF7-8FDF-6BD85745DED7}" name="Февраль 2015" headerRowDxfId="737" dataDxfId="736" dataCellStyle="Название"/>
    <tableColumn id="2" xr3:uid="{BB27802C-1D7D-4D6F-9436-348A9E7B6C91}" name="Столбец1" headerRowDxfId="735" dataDxfId="734"/>
    <tableColumn id="3" xr3:uid="{A23E53DB-AFAC-4D7B-858F-2971EA74278D}" name="Столбец2" headerRowDxfId="733" dataDxfId="732"/>
    <tableColumn id="4" xr3:uid="{254CE192-E32D-45A1-A6A8-A5DF3E56739F}" name="Столбец3" headerRowDxfId="731" dataDxfId="730"/>
    <tableColumn id="5" xr3:uid="{7559E70A-3D0A-482B-A2E1-827A7FCCF76B}" name="Столбец4" headerRowDxfId="729" dataDxfId="728"/>
    <tableColumn id="6" xr3:uid="{12AC341E-D0F5-402D-A87A-52F744758D2E}" name="Столбец5" headerRowDxfId="727" dataDxfId="726"/>
    <tableColumn id="7" xr3:uid="{771B6FF1-2CF4-46EE-83DD-12AC8340C7BF}" name="Столбец6" headerRowDxfId="725" dataDxfId="724"/>
    <tableColumn id="8" xr3:uid="{7996C873-F69D-4FC4-A2AA-8C76DAAB8D20}" name="Столбец7" headerRowDxfId="723" dataDxfId="722"/>
  </tableColumns>
  <tableStyleInfo name="TableStyleMedium2" showFirstColumn="0" showLastColumn="0" showRowStripes="1" showColumnStripes="0"/>
</table>
</file>

<file path=xl/tables/table3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4" xr:uid="{0D5B8D1D-5344-4623-ACD6-77E114160276}" name="Таблица1529425569839711111613014215416618618345066829811413014616217821375369851011171331495605765926046186326486646806967137303045607590105120135150165195210195225240255270285" displayName="Таблица1529425569839711111613014215416618618345066829811413014616217821375369851011171331495605765926046186326486646806967137303045607590105120135150165195210195225240255270285" ref="A144:G145" totalsRowShown="0" headerRowDxfId="721" dataDxfId="720" tableBorderDxfId="719">
  <autoFilter ref="A144:G145" xr:uid="{BD66A881-30D1-4979-8390-5888D14E5877}"/>
  <tableColumns count="7">
    <tableColumn id="1" xr3:uid="{C6C8998F-7B9A-4306-BC2B-CB6BFB9D23A8}" name="Дата" dataDxfId="718"/>
    <tableColumn id="2" xr3:uid="{1051B040-2AEB-4906-8D8E-C2B380FD57CB}" name="Клиент" dataDxfId="717"/>
    <tableColumn id="3" xr3:uid="{A6A003A6-2A90-4FEF-A4F9-6CF5F46CF14E}" name="Менеджер" dataDxfId="716" dataCellStyle="Обычный 2"/>
    <tableColumn id="4" xr3:uid="{B74F2875-BF63-4A28-AFB2-907FAF9681D1}" name="Контакт в 1С" dataDxfId="715"/>
    <tableColumn id="5" xr3:uid="{A7629473-31D3-44CB-900A-25E3308EF6E5}" name="№ сделки" dataDxfId="714"/>
    <tableColumn id="6" xr3:uid="{CA3D383D-E600-4F48-B6CA-5A172E89B1D7}" name="Цель" dataDxfId="713"/>
    <tableColumn id="7" xr3:uid="{7135FAE4-1397-4038-8DEB-64ACDD4400F4}" name="Результат" dataDxfId="712"/>
  </tableColumns>
  <tableStyleInfo name="TableStyleMedium2" showFirstColumn="0" showLastColumn="0" showRowStripes="1" showColumnStripes="0"/>
</table>
</file>

<file path=xl/tables/table3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5" xr:uid="{1CE97818-2585-44C7-8BA8-54718CBF8AAB}" name="Таблица4936997167333146617691106121136151166196211196226241256271286" displayName="Таблица4936997167333146617691106121136151166196211196226241256271286" ref="A21:D33" totalsRowShown="0" headerRowDxfId="711" dataDxfId="709" headerRowBorderDxfId="710" tableBorderDxfId="708" totalsRowBorderDxfId="707">
  <autoFilter ref="A21:D33" xr:uid="{8999CE3E-52FF-4AF3-AA18-1DA9A764C519}"/>
  <tableColumns count="4">
    <tableColumn id="1" xr3:uid="{AC14F527-B41A-4E49-A71E-813DACF017D7}" name="Месяц" dataDxfId="706"/>
    <tableColumn id="2" xr3:uid="{EF176188-65E1-419E-B396-B349F6D2FE21}" name="Профит" dataDxfId="705"/>
    <tableColumn id="3" xr3:uid="{807995A8-51BD-4DBE-AA7F-D6E6F9EA24F5}" name="План" dataDxfId="704"/>
    <tableColumn id="4" xr3:uid="{7D055AF4-24D5-4B93-9A06-6661DD498026}" name="Выполнение" dataDxfId="703">
      <calculatedColumnFormula>Таблица4936997167333146617691106121136151166196211196226241256271286[[#This Row],[Профит]]/Таблица4936997167333146617691106121136151166196211196226241256271286[[#This Row],[План]]</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6.xml"/><Relationship Id="rId13" Type="http://schemas.openxmlformats.org/officeDocument/2006/relationships/table" Target="../tables/table11.xml"/><Relationship Id="rId18" Type="http://schemas.openxmlformats.org/officeDocument/2006/relationships/comments" Target="../comments1.xml"/><Relationship Id="rId3" Type="http://schemas.openxmlformats.org/officeDocument/2006/relationships/table" Target="../tables/table1.xml"/><Relationship Id="rId7" Type="http://schemas.openxmlformats.org/officeDocument/2006/relationships/table" Target="../tables/table5.xml"/><Relationship Id="rId12" Type="http://schemas.openxmlformats.org/officeDocument/2006/relationships/table" Target="../tables/table10.xml"/><Relationship Id="rId17" Type="http://schemas.openxmlformats.org/officeDocument/2006/relationships/table" Target="../tables/table15.xml"/><Relationship Id="rId2" Type="http://schemas.openxmlformats.org/officeDocument/2006/relationships/vmlDrawing" Target="../drawings/vmlDrawing1.vml"/><Relationship Id="rId16" Type="http://schemas.openxmlformats.org/officeDocument/2006/relationships/table" Target="../tables/table14.xml"/><Relationship Id="rId1" Type="http://schemas.openxmlformats.org/officeDocument/2006/relationships/printerSettings" Target="../printerSettings/printerSettings1.bin"/><Relationship Id="rId6" Type="http://schemas.openxmlformats.org/officeDocument/2006/relationships/table" Target="../tables/table4.xml"/><Relationship Id="rId11" Type="http://schemas.openxmlformats.org/officeDocument/2006/relationships/table" Target="../tables/table9.xml"/><Relationship Id="rId5" Type="http://schemas.openxmlformats.org/officeDocument/2006/relationships/table" Target="../tables/table3.xml"/><Relationship Id="rId15" Type="http://schemas.openxmlformats.org/officeDocument/2006/relationships/table" Target="../tables/table1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 Id="rId14" Type="http://schemas.openxmlformats.org/officeDocument/2006/relationships/table" Target="../tables/table12.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1.xml"/><Relationship Id="rId13" Type="http://schemas.openxmlformats.org/officeDocument/2006/relationships/table" Target="../tables/table26.xml"/><Relationship Id="rId18" Type="http://schemas.openxmlformats.org/officeDocument/2006/relationships/comments" Target="../comments2.xml"/><Relationship Id="rId3" Type="http://schemas.openxmlformats.org/officeDocument/2006/relationships/table" Target="../tables/table16.xml"/><Relationship Id="rId7" Type="http://schemas.openxmlformats.org/officeDocument/2006/relationships/table" Target="../tables/table20.xml"/><Relationship Id="rId12" Type="http://schemas.openxmlformats.org/officeDocument/2006/relationships/table" Target="../tables/table25.xml"/><Relationship Id="rId17" Type="http://schemas.openxmlformats.org/officeDocument/2006/relationships/table" Target="../tables/table30.xml"/><Relationship Id="rId2" Type="http://schemas.openxmlformats.org/officeDocument/2006/relationships/vmlDrawing" Target="../drawings/vmlDrawing2.vml"/><Relationship Id="rId16" Type="http://schemas.openxmlformats.org/officeDocument/2006/relationships/table" Target="../tables/table29.xml"/><Relationship Id="rId1" Type="http://schemas.openxmlformats.org/officeDocument/2006/relationships/printerSettings" Target="../printerSettings/printerSettings2.bin"/><Relationship Id="rId6" Type="http://schemas.openxmlformats.org/officeDocument/2006/relationships/table" Target="../tables/table19.xml"/><Relationship Id="rId11" Type="http://schemas.openxmlformats.org/officeDocument/2006/relationships/table" Target="../tables/table24.xml"/><Relationship Id="rId5" Type="http://schemas.openxmlformats.org/officeDocument/2006/relationships/table" Target="../tables/table18.xml"/><Relationship Id="rId15" Type="http://schemas.openxmlformats.org/officeDocument/2006/relationships/table" Target="../tables/table28.xml"/><Relationship Id="rId10" Type="http://schemas.openxmlformats.org/officeDocument/2006/relationships/table" Target="../tables/table23.xml"/><Relationship Id="rId4" Type="http://schemas.openxmlformats.org/officeDocument/2006/relationships/table" Target="../tables/table17.xml"/><Relationship Id="rId9" Type="http://schemas.openxmlformats.org/officeDocument/2006/relationships/table" Target="../tables/table22.xml"/><Relationship Id="rId14" Type="http://schemas.openxmlformats.org/officeDocument/2006/relationships/table" Target="../tables/table27.xml"/></Relationships>
</file>

<file path=xl/worksheets/_rels/sheet3.xml.rels><?xml version="1.0" encoding="UTF-8" standalone="yes"?>
<Relationships xmlns="http://schemas.openxmlformats.org/package/2006/relationships"><Relationship Id="rId8" Type="http://schemas.openxmlformats.org/officeDocument/2006/relationships/table" Target="../tables/table36.xml"/><Relationship Id="rId13" Type="http://schemas.openxmlformats.org/officeDocument/2006/relationships/table" Target="../tables/table41.xml"/><Relationship Id="rId18" Type="http://schemas.openxmlformats.org/officeDocument/2006/relationships/comments" Target="../comments3.xml"/><Relationship Id="rId3" Type="http://schemas.openxmlformats.org/officeDocument/2006/relationships/table" Target="../tables/table31.xml"/><Relationship Id="rId7" Type="http://schemas.openxmlformats.org/officeDocument/2006/relationships/table" Target="../tables/table35.xml"/><Relationship Id="rId12" Type="http://schemas.openxmlformats.org/officeDocument/2006/relationships/table" Target="../tables/table40.xml"/><Relationship Id="rId17" Type="http://schemas.openxmlformats.org/officeDocument/2006/relationships/table" Target="../tables/table45.xml"/><Relationship Id="rId2" Type="http://schemas.openxmlformats.org/officeDocument/2006/relationships/vmlDrawing" Target="../drawings/vmlDrawing3.vml"/><Relationship Id="rId16" Type="http://schemas.openxmlformats.org/officeDocument/2006/relationships/table" Target="../tables/table44.xml"/><Relationship Id="rId1" Type="http://schemas.openxmlformats.org/officeDocument/2006/relationships/printerSettings" Target="../printerSettings/printerSettings3.bin"/><Relationship Id="rId6" Type="http://schemas.openxmlformats.org/officeDocument/2006/relationships/table" Target="../tables/table34.xml"/><Relationship Id="rId11" Type="http://schemas.openxmlformats.org/officeDocument/2006/relationships/table" Target="../tables/table39.xml"/><Relationship Id="rId5" Type="http://schemas.openxmlformats.org/officeDocument/2006/relationships/table" Target="../tables/table33.xml"/><Relationship Id="rId15" Type="http://schemas.openxmlformats.org/officeDocument/2006/relationships/table" Target="../tables/table43.xml"/><Relationship Id="rId10" Type="http://schemas.openxmlformats.org/officeDocument/2006/relationships/table" Target="../tables/table38.xml"/><Relationship Id="rId4" Type="http://schemas.openxmlformats.org/officeDocument/2006/relationships/table" Target="../tables/table32.xml"/><Relationship Id="rId9" Type="http://schemas.openxmlformats.org/officeDocument/2006/relationships/table" Target="../tables/table37.xml"/><Relationship Id="rId14" Type="http://schemas.openxmlformats.org/officeDocument/2006/relationships/table" Target="../tables/table42.xml"/></Relationships>
</file>

<file path=xl/worksheets/_rels/sheet4.xml.rels><?xml version="1.0" encoding="UTF-8" standalone="yes"?>
<Relationships xmlns="http://schemas.openxmlformats.org/package/2006/relationships"><Relationship Id="rId8" Type="http://schemas.openxmlformats.org/officeDocument/2006/relationships/table" Target="../tables/table51.xml"/><Relationship Id="rId13" Type="http://schemas.openxmlformats.org/officeDocument/2006/relationships/table" Target="../tables/table56.xml"/><Relationship Id="rId18" Type="http://schemas.openxmlformats.org/officeDocument/2006/relationships/comments" Target="../comments4.xml"/><Relationship Id="rId3" Type="http://schemas.openxmlformats.org/officeDocument/2006/relationships/table" Target="../tables/table46.xml"/><Relationship Id="rId7" Type="http://schemas.openxmlformats.org/officeDocument/2006/relationships/table" Target="../tables/table50.xml"/><Relationship Id="rId12" Type="http://schemas.openxmlformats.org/officeDocument/2006/relationships/table" Target="../tables/table55.xml"/><Relationship Id="rId17" Type="http://schemas.openxmlformats.org/officeDocument/2006/relationships/table" Target="../tables/table60.xml"/><Relationship Id="rId2" Type="http://schemas.openxmlformats.org/officeDocument/2006/relationships/vmlDrawing" Target="../drawings/vmlDrawing4.vml"/><Relationship Id="rId16" Type="http://schemas.openxmlformats.org/officeDocument/2006/relationships/table" Target="../tables/table59.xml"/><Relationship Id="rId1" Type="http://schemas.openxmlformats.org/officeDocument/2006/relationships/printerSettings" Target="../printerSettings/printerSettings4.bin"/><Relationship Id="rId6" Type="http://schemas.openxmlformats.org/officeDocument/2006/relationships/table" Target="../tables/table49.xml"/><Relationship Id="rId11" Type="http://schemas.openxmlformats.org/officeDocument/2006/relationships/table" Target="../tables/table54.xml"/><Relationship Id="rId5" Type="http://schemas.openxmlformats.org/officeDocument/2006/relationships/table" Target="../tables/table48.xml"/><Relationship Id="rId15" Type="http://schemas.openxmlformats.org/officeDocument/2006/relationships/table" Target="../tables/table58.xml"/><Relationship Id="rId10" Type="http://schemas.openxmlformats.org/officeDocument/2006/relationships/table" Target="../tables/table53.xml"/><Relationship Id="rId4" Type="http://schemas.openxmlformats.org/officeDocument/2006/relationships/table" Target="../tables/table47.xml"/><Relationship Id="rId9" Type="http://schemas.openxmlformats.org/officeDocument/2006/relationships/table" Target="../tables/table52.xml"/><Relationship Id="rId14" Type="http://schemas.openxmlformats.org/officeDocument/2006/relationships/table" Target="../tables/table57.xml"/></Relationships>
</file>

<file path=xl/worksheets/_rels/sheet5.xml.rels><?xml version="1.0" encoding="UTF-8" standalone="yes"?>
<Relationships xmlns="http://schemas.openxmlformats.org/package/2006/relationships"><Relationship Id="rId8" Type="http://schemas.openxmlformats.org/officeDocument/2006/relationships/table" Target="../tables/table66.xml"/><Relationship Id="rId13" Type="http://schemas.openxmlformats.org/officeDocument/2006/relationships/table" Target="../tables/table71.xml"/><Relationship Id="rId18" Type="http://schemas.openxmlformats.org/officeDocument/2006/relationships/comments" Target="../comments5.xml"/><Relationship Id="rId3" Type="http://schemas.openxmlformats.org/officeDocument/2006/relationships/table" Target="../tables/table61.xml"/><Relationship Id="rId7" Type="http://schemas.openxmlformats.org/officeDocument/2006/relationships/table" Target="../tables/table65.xml"/><Relationship Id="rId12" Type="http://schemas.openxmlformats.org/officeDocument/2006/relationships/table" Target="../tables/table70.xml"/><Relationship Id="rId17" Type="http://schemas.openxmlformats.org/officeDocument/2006/relationships/table" Target="../tables/table75.xml"/><Relationship Id="rId2" Type="http://schemas.openxmlformats.org/officeDocument/2006/relationships/vmlDrawing" Target="../drawings/vmlDrawing5.vml"/><Relationship Id="rId16" Type="http://schemas.openxmlformats.org/officeDocument/2006/relationships/table" Target="../tables/table74.xml"/><Relationship Id="rId1" Type="http://schemas.openxmlformats.org/officeDocument/2006/relationships/printerSettings" Target="../printerSettings/printerSettings5.bin"/><Relationship Id="rId6" Type="http://schemas.openxmlformats.org/officeDocument/2006/relationships/table" Target="../tables/table64.xml"/><Relationship Id="rId11" Type="http://schemas.openxmlformats.org/officeDocument/2006/relationships/table" Target="../tables/table69.xml"/><Relationship Id="rId5" Type="http://schemas.openxmlformats.org/officeDocument/2006/relationships/table" Target="../tables/table63.xml"/><Relationship Id="rId15" Type="http://schemas.openxmlformats.org/officeDocument/2006/relationships/table" Target="../tables/table73.xml"/><Relationship Id="rId10" Type="http://schemas.openxmlformats.org/officeDocument/2006/relationships/table" Target="../tables/table68.xml"/><Relationship Id="rId4" Type="http://schemas.openxmlformats.org/officeDocument/2006/relationships/table" Target="../tables/table62.xml"/><Relationship Id="rId9" Type="http://schemas.openxmlformats.org/officeDocument/2006/relationships/table" Target="../tables/table67.xml"/><Relationship Id="rId14" Type="http://schemas.openxmlformats.org/officeDocument/2006/relationships/table" Target="../tables/table72.xml"/></Relationships>
</file>

<file path=xl/worksheets/_rels/sheet6.xml.rels><?xml version="1.0" encoding="UTF-8" standalone="yes"?>
<Relationships xmlns="http://schemas.openxmlformats.org/package/2006/relationships"><Relationship Id="rId8" Type="http://schemas.openxmlformats.org/officeDocument/2006/relationships/table" Target="../tables/table81.xml"/><Relationship Id="rId13" Type="http://schemas.openxmlformats.org/officeDocument/2006/relationships/table" Target="../tables/table86.xml"/><Relationship Id="rId18" Type="http://schemas.openxmlformats.org/officeDocument/2006/relationships/comments" Target="../comments6.xml"/><Relationship Id="rId3" Type="http://schemas.openxmlformats.org/officeDocument/2006/relationships/table" Target="../tables/table76.xml"/><Relationship Id="rId7" Type="http://schemas.openxmlformats.org/officeDocument/2006/relationships/table" Target="../tables/table80.xml"/><Relationship Id="rId12" Type="http://schemas.openxmlformats.org/officeDocument/2006/relationships/table" Target="../tables/table85.xml"/><Relationship Id="rId17" Type="http://schemas.openxmlformats.org/officeDocument/2006/relationships/table" Target="../tables/table90.xml"/><Relationship Id="rId2" Type="http://schemas.openxmlformats.org/officeDocument/2006/relationships/vmlDrawing" Target="../drawings/vmlDrawing6.vml"/><Relationship Id="rId16" Type="http://schemas.openxmlformats.org/officeDocument/2006/relationships/table" Target="../tables/table89.xml"/><Relationship Id="rId1" Type="http://schemas.openxmlformats.org/officeDocument/2006/relationships/printerSettings" Target="../printerSettings/printerSettings6.bin"/><Relationship Id="rId6" Type="http://schemas.openxmlformats.org/officeDocument/2006/relationships/table" Target="../tables/table79.xml"/><Relationship Id="rId11" Type="http://schemas.openxmlformats.org/officeDocument/2006/relationships/table" Target="../tables/table84.xml"/><Relationship Id="rId5" Type="http://schemas.openxmlformats.org/officeDocument/2006/relationships/table" Target="../tables/table78.xml"/><Relationship Id="rId15" Type="http://schemas.openxmlformats.org/officeDocument/2006/relationships/table" Target="../tables/table88.xml"/><Relationship Id="rId10" Type="http://schemas.openxmlformats.org/officeDocument/2006/relationships/table" Target="../tables/table83.xml"/><Relationship Id="rId4" Type="http://schemas.openxmlformats.org/officeDocument/2006/relationships/table" Target="../tables/table77.xml"/><Relationship Id="rId9" Type="http://schemas.openxmlformats.org/officeDocument/2006/relationships/table" Target="../tables/table82.xml"/><Relationship Id="rId14" Type="http://schemas.openxmlformats.org/officeDocument/2006/relationships/table" Target="../tables/table87.xml"/></Relationships>
</file>

<file path=xl/worksheets/_rels/sheet7.xml.rels><?xml version="1.0" encoding="UTF-8" standalone="yes"?>
<Relationships xmlns="http://schemas.openxmlformats.org/package/2006/relationships"><Relationship Id="rId8" Type="http://schemas.openxmlformats.org/officeDocument/2006/relationships/table" Target="../tables/table96.xml"/><Relationship Id="rId13" Type="http://schemas.openxmlformats.org/officeDocument/2006/relationships/table" Target="../tables/table101.xml"/><Relationship Id="rId18" Type="http://schemas.openxmlformats.org/officeDocument/2006/relationships/comments" Target="../comments7.xml"/><Relationship Id="rId3" Type="http://schemas.openxmlformats.org/officeDocument/2006/relationships/table" Target="../tables/table91.xml"/><Relationship Id="rId7" Type="http://schemas.openxmlformats.org/officeDocument/2006/relationships/table" Target="../tables/table95.xml"/><Relationship Id="rId12" Type="http://schemas.openxmlformats.org/officeDocument/2006/relationships/table" Target="../tables/table100.xml"/><Relationship Id="rId17" Type="http://schemas.openxmlformats.org/officeDocument/2006/relationships/table" Target="../tables/table105.xml"/><Relationship Id="rId2" Type="http://schemas.openxmlformats.org/officeDocument/2006/relationships/vmlDrawing" Target="../drawings/vmlDrawing7.vml"/><Relationship Id="rId16" Type="http://schemas.openxmlformats.org/officeDocument/2006/relationships/table" Target="../tables/table104.xml"/><Relationship Id="rId1" Type="http://schemas.openxmlformats.org/officeDocument/2006/relationships/printerSettings" Target="../printerSettings/printerSettings7.bin"/><Relationship Id="rId6" Type="http://schemas.openxmlformats.org/officeDocument/2006/relationships/table" Target="../tables/table94.xml"/><Relationship Id="rId11" Type="http://schemas.openxmlformats.org/officeDocument/2006/relationships/table" Target="../tables/table99.xml"/><Relationship Id="rId5" Type="http://schemas.openxmlformats.org/officeDocument/2006/relationships/table" Target="../tables/table93.xml"/><Relationship Id="rId15" Type="http://schemas.openxmlformats.org/officeDocument/2006/relationships/table" Target="../tables/table103.xml"/><Relationship Id="rId10" Type="http://schemas.openxmlformats.org/officeDocument/2006/relationships/table" Target="../tables/table98.xml"/><Relationship Id="rId4" Type="http://schemas.openxmlformats.org/officeDocument/2006/relationships/table" Target="../tables/table92.xml"/><Relationship Id="rId9" Type="http://schemas.openxmlformats.org/officeDocument/2006/relationships/table" Target="../tables/table97.xml"/><Relationship Id="rId14" Type="http://schemas.openxmlformats.org/officeDocument/2006/relationships/table" Target="../tables/table102.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11.xml"/><Relationship Id="rId13" Type="http://schemas.openxmlformats.org/officeDocument/2006/relationships/table" Target="../tables/table116.xml"/><Relationship Id="rId18" Type="http://schemas.openxmlformats.org/officeDocument/2006/relationships/comments" Target="../comments8.xml"/><Relationship Id="rId3" Type="http://schemas.openxmlformats.org/officeDocument/2006/relationships/table" Target="../tables/table106.xml"/><Relationship Id="rId7" Type="http://schemas.openxmlformats.org/officeDocument/2006/relationships/table" Target="../tables/table110.xml"/><Relationship Id="rId12" Type="http://schemas.openxmlformats.org/officeDocument/2006/relationships/table" Target="../tables/table115.xml"/><Relationship Id="rId17" Type="http://schemas.openxmlformats.org/officeDocument/2006/relationships/table" Target="../tables/table120.xml"/><Relationship Id="rId2" Type="http://schemas.openxmlformats.org/officeDocument/2006/relationships/vmlDrawing" Target="../drawings/vmlDrawing8.vml"/><Relationship Id="rId16" Type="http://schemas.openxmlformats.org/officeDocument/2006/relationships/table" Target="../tables/table119.xml"/><Relationship Id="rId1" Type="http://schemas.openxmlformats.org/officeDocument/2006/relationships/printerSettings" Target="../printerSettings/printerSettings8.bin"/><Relationship Id="rId6" Type="http://schemas.openxmlformats.org/officeDocument/2006/relationships/table" Target="../tables/table109.xml"/><Relationship Id="rId11" Type="http://schemas.openxmlformats.org/officeDocument/2006/relationships/table" Target="../tables/table114.xml"/><Relationship Id="rId5" Type="http://schemas.openxmlformats.org/officeDocument/2006/relationships/table" Target="../tables/table108.xml"/><Relationship Id="rId15" Type="http://schemas.openxmlformats.org/officeDocument/2006/relationships/table" Target="../tables/table118.xml"/><Relationship Id="rId10" Type="http://schemas.openxmlformats.org/officeDocument/2006/relationships/table" Target="../tables/table113.xml"/><Relationship Id="rId4" Type="http://schemas.openxmlformats.org/officeDocument/2006/relationships/table" Target="../tables/table107.xml"/><Relationship Id="rId9" Type="http://schemas.openxmlformats.org/officeDocument/2006/relationships/table" Target="../tables/table112.xml"/><Relationship Id="rId14" Type="http://schemas.openxmlformats.org/officeDocument/2006/relationships/table" Target="../tables/table117.xml"/></Relationships>
</file>

<file path=xl/worksheets/_rels/sheet9.xml.rels><?xml version="1.0" encoding="UTF-8" standalone="yes"?>
<Relationships xmlns="http://schemas.openxmlformats.org/package/2006/relationships"><Relationship Id="rId8" Type="http://schemas.openxmlformats.org/officeDocument/2006/relationships/table" Target="../tables/table126.xml"/><Relationship Id="rId13" Type="http://schemas.openxmlformats.org/officeDocument/2006/relationships/table" Target="../tables/table131.xml"/><Relationship Id="rId18" Type="http://schemas.openxmlformats.org/officeDocument/2006/relationships/comments" Target="../comments9.xml"/><Relationship Id="rId3" Type="http://schemas.openxmlformats.org/officeDocument/2006/relationships/table" Target="../tables/table121.xml"/><Relationship Id="rId7" Type="http://schemas.openxmlformats.org/officeDocument/2006/relationships/table" Target="../tables/table125.xml"/><Relationship Id="rId12" Type="http://schemas.openxmlformats.org/officeDocument/2006/relationships/table" Target="../tables/table130.xml"/><Relationship Id="rId17" Type="http://schemas.openxmlformats.org/officeDocument/2006/relationships/table" Target="../tables/table135.xml"/><Relationship Id="rId2" Type="http://schemas.openxmlformats.org/officeDocument/2006/relationships/vmlDrawing" Target="../drawings/vmlDrawing9.vml"/><Relationship Id="rId16" Type="http://schemas.openxmlformats.org/officeDocument/2006/relationships/table" Target="../tables/table134.xml"/><Relationship Id="rId1" Type="http://schemas.openxmlformats.org/officeDocument/2006/relationships/printerSettings" Target="../printerSettings/printerSettings9.bin"/><Relationship Id="rId6" Type="http://schemas.openxmlformats.org/officeDocument/2006/relationships/table" Target="../tables/table124.xml"/><Relationship Id="rId11" Type="http://schemas.openxmlformats.org/officeDocument/2006/relationships/table" Target="../tables/table129.xml"/><Relationship Id="rId5" Type="http://schemas.openxmlformats.org/officeDocument/2006/relationships/table" Target="../tables/table123.xml"/><Relationship Id="rId15" Type="http://schemas.openxmlformats.org/officeDocument/2006/relationships/table" Target="../tables/table133.xml"/><Relationship Id="rId10" Type="http://schemas.openxmlformats.org/officeDocument/2006/relationships/table" Target="../tables/table128.xml"/><Relationship Id="rId4" Type="http://schemas.openxmlformats.org/officeDocument/2006/relationships/table" Target="../tables/table122.xml"/><Relationship Id="rId9" Type="http://schemas.openxmlformats.org/officeDocument/2006/relationships/table" Target="../tables/table127.xml"/><Relationship Id="rId14" Type="http://schemas.openxmlformats.org/officeDocument/2006/relationships/table" Target="../tables/table132.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141.xml"/><Relationship Id="rId13" Type="http://schemas.openxmlformats.org/officeDocument/2006/relationships/table" Target="../tables/table146.xml"/><Relationship Id="rId18" Type="http://schemas.openxmlformats.org/officeDocument/2006/relationships/comments" Target="../comments10.xml"/><Relationship Id="rId3" Type="http://schemas.openxmlformats.org/officeDocument/2006/relationships/table" Target="../tables/table136.xml"/><Relationship Id="rId7" Type="http://schemas.openxmlformats.org/officeDocument/2006/relationships/table" Target="../tables/table140.xml"/><Relationship Id="rId12" Type="http://schemas.openxmlformats.org/officeDocument/2006/relationships/table" Target="../tables/table145.xml"/><Relationship Id="rId17" Type="http://schemas.openxmlformats.org/officeDocument/2006/relationships/table" Target="../tables/table150.xml"/><Relationship Id="rId2" Type="http://schemas.openxmlformats.org/officeDocument/2006/relationships/vmlDrawing" Target="../drawings/vmlDrawing10.vml"/><Relationship Id="rId16" Type="http://schemas.openxmlformats.org/officeDocument/2006/relationships/table" Target="../tables/table149.xml"/><Relationship Id="rId1" Type="http://schemas.openxmlformats.org/officeDocument/2006/relationships/printerSettings" Target="../printerSettings/printerSettings10.bin"/><Relationship Id="rId6" Type="http://schemas.openxmlformats.org/officeDocument/2006/relationships/table" Target="../tables/table139.xml"/><Relationship Id="rId11" Type="http://schemas.openxmlformats.org/officeDocument/2006/relationships/table" Target="../tables/table144.xml"/><Relationship Id="rId5" Type="http://schemas.openxmlformats.org/officeDocument/2006/relationships/table" Target="../tables/table138.xml"/><Relationship Id="rId15" Type="http://schemas.openxmlformats.org/officeDocument/2006/relationships/table" Target="../tables/table148.xml"/><Relationship Id="rId10" Type="http://schemas.openxmlformats.org/officeDocument/2006/relationships/table" Target="../tables/table143.xml"/><Relationship Id="rId4" Type="http://schemas.openxmlformats.org/officeDocument/2006/relationships/table" Target="../tables/table137.xml"/><Relationship Id="rId9" Type="http://schemas.openxmlformats.org/officeDocument/2006/relationships/table" Target="../tables/table142.xml"/><Relationship Id="rId14" Type="http://schemas.openxmlformats.org/officeDocument/2006/relationships/table" Target="../tables/table147.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56.xml"/><Relationship Id="rId13" Type="http://schemas.openxmlformats.org/officeDocument/2006/relationships/table" Target="../tables/table161.xml"/><Relationship Id="rId18" Type="http://schemas.openxmlformats.org/officeDocument/2006/relationships/comments" Target="../comments11.xml"/><Relationship Id="rId3" Type="http://schemas.openxmlformats.org/officeDocument/2006/relationships/table" Target="../tables/table151.xml"/><Relationship Id="rId7" Type="http://schemas.openxmlformats.org/officeDocument/2006/relationships/table" Target="../tables/table155.xml"/><Relationship Id="rId12" Type="http://schemas.openxmlformats.org/officeDocument/2006/relationships/table" Target="../tables/table160.xml"/><Relationship Id="rId17" Type="http://schemas.openxmlformats.org/officeDocument/2006/relationships/table" Target="../tables/table165.xml"/><Relationship Id="rId2" Type="http://schemas.openxmlformats.org/officeDocument/2006/relationships/vmlDrawing" Target="../drawings/vmlDrawing11.vml"/><Relationship Id="rId16" Type="http://schemas.openxmlformats.org/officeDocument/2006/relationships/table" Target="../tables/table164.xml"/><Relationship Id="rId1" Type="http://schemas.openxmlformats.org/officeDocument/2006/relationships/printerSettings" Target="../printerSettings/printerSettings11.bin"/><Relationship Id="rId6" Type="http://schemas.openxmlformats.org/officeDocument/2006/relationships/table" Target="../tables/table154.xml"/><Relationship Id="rId11" Type="http://schemas.openxmlformats.org/officeDocument/2006/relationships/table" Target="../tables/table159.xml"/><Relationship Id="rId5" Type="http://schemas.openxmlformats.org/officeDocument/2006/relationships/table" Target="../tables/table153.xml"/><Relationship Id="rId15" Type="http://schemas.openxmlformats.org/officeDocument/2006/relationships/table" Target="../tables/table163.xml"/><Relationship Id="rId10" Type="http://schemas.openxmlformats.org/officeDocument/2006/relationships/table" Target="../tables/table158.xml"/><Relationship Id="rId4" Type="http://schemas.openxmlformats.org/officeDocument/2006/relationships/table" Target="../tables/table152.xml"/><Relationship Id="rId9" Type="http://schemas.openxmlformats.org/officeDocument/2006/relationships/table" Target="../tables/table157.xml"/><Relationship Id="rId14" Type="http://schemas.openxmlformats.org/officeDocument/2006/relationships/table" Target="../tables/table162.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71.xml"/><Relationship Id="rId13" Type="http://schemas.openxmlformats.org/officeDocument/2006/relationships/table" Target="../tables/table176.xml"/><Relationship Id="rId18" Type="http://schemas.openxmlformats.org/officeDocument/2006/relationships/comments" Target="../comments12.xml"/><Relationship Id="rId3" Type="http://schemas.openxmlformats.org/officeDocument/2006/relationships/table" Target="../tables/table166.xml"/><Relationship Id="rId7" Type="http://schemas.openxmlformats.org/officeDocument/2006/relationships/table" Target="../tables/table170.xml"/><Relationship Id="rId12" Type="http://schemas.openxmlformats.org/officeDocument/2006/relationships/table" Target="../tables/table175.xml"/><Relationship Id="rId17" Type="http://schemas.openxmlformats.org/officeDocument/2006/relationships/table" Target="../tables/table180.xml"/><Relationship Id="rId2" Type="http://schemas.openxmlformats.org/officeDocument/2006/relationships/vmlDrawing" Target="../drawings/vmlDrawing12.vml"/><Relationship Id="rId16" Type="http://schemas.openxmlformats.org/officeDocument/2006/relationships/table" Target="../tables/table179.xml"/><Relationship Id="rId1" Type="http://schemas.openxmlformats.org/officeDocument/2006/relationships/printerSettings" Target="../printerSettings/printerSettings12.bin"/><Relationship Id="rId6" Type="http://schemas.openxmlformats.org/officeDocument/2006/relationships/table" Target="../tables/table169.xml"/><Relationship Id="rId11" Type="http://schemas.openxmlformats.org/officeDocument/2006/relationships/table" Target="../tables/table174.xml"/><Relationship Id="rId5" Type="http://schemas.openxmlformats.org/officeDocument/2006/relationships/table" Target="../tables/table168.xml"/><Relationship Id="rId15" Type="http://schemas.openxmlformats.org/officeDocument/2006/relationships/table" Target="../tables/table178.xml"/><Relationship Id="rId10" Type="http://schemas.openxmlformats.org/officeDocument/2006/relationships/table" Target="../tables/table173.xml"/><Relationship Id="rId4" Type="http://schemas.openxmlformats.org/officeDocument/2006/relationships/table" Target="../tables/table167.xml"/><Relationship Id="rId9" Type="http://schemas.openxmlformats.org/officeDocument/2006/relationships/table" Target="../tables/table172.xml"/><Relationship Id="rId14" Type="http://schemas.openxmlformats.org/officeDocument/2006/relationships/table" Target="../tables/table177.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186.xml"/><Relationship Id="rId13" Type="http://schemas.openxmlformats.org/officeDocument/2006/relationships/table" Target="../tables/table191.xml"/><Relationship Id="rId18" Type="http://schemas.openxmlformats.org/officeDocument/2006/relationships/comments" Target="../comments13.xml"/><Relationship Id="rId3" Type="http://schemas.openxmlformats.org/officeDocument/2006/relationships/table" Target="../tables/table181.xml"/><Relationship Id="rId7" Type="http://schemas.openxmlformats.org/officeDocument/2006/relationships/table" Target="../tables/table185.xml"/><Relationship Id="rId12" Type="http://schemas.openxmlformats.org/officeDocument/2006/relationships/table" Target="../tables/table190.xml"/><Relationship Id="rId17" Type="http://schemas.openxmlformats.org/officeDocument/2006/relationships/table" Target="../tables/table195.xml"/><Relationship Id="rId2" Type="http://schemas.openxmlformats.org/officeDocument/2006/relationships/vmlDrawing" Target="../drawings/vmlDrawing13.vml"/><Relationship Id="rId16" Type="http://schemas.openxmlformats.org/officeDocument/2006/relationships/table" Target="../tables/table194.xml"/><Relationship Id="rId1" Type="http://schemas.openxmlformats.org/officeDocument/2006/relationships/printerSettings" Target="../printerSettings/printerSettings13.bin"/><Relationship Id="rId6" Type="http://schemas.openxmlformats.org/officeDocument/2006/relationships/table" Target="../tables/table184.xml"/><Relationship Id="rId11" Type="http://schemas.openxmlformats.org/officeDocument/2006/relationships/table" Target="../tables/table189.xml"/><Relationship Id="rId5" Type="http://schemas.openxmlformats.org/officeDocument/2006/relationships/table" Target="../tables/table183.xml"/><Relationship Id="rId15" Type="http://schemas.openxmlformats.org/officeDocument/2006/relationships/table" Target="../tables/table193.xml"/><Relationship Id="rId10" Type="http://schemas.openxmlformats.org/officeDocument/2006/relationships/table" Target="../tables/table188.xml"/><Relationship Id="rId4" Type="http://schemas.openxmlformats.org/officeDocument/2006/relationships/table" Target="../tables/table182.xml"/><Relationship Id="rId9" Type="http://schemas.openxmlformats.org/officeDocument/2006/relationships/table" Target="../tables/table187.xml"/><Relationship Id="rId14" Type="http://schemas.openxmlformats.org/officeDocument/2006/relationships/table" Target="../tables/table192.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201.xml"/><Relationship Id="rId13" Type="http://schemas.openxmlformats.org/officeDocument/2006/relationships/table" Target="../tables/table206.xml"/><Relationship Id="rId18" Type="http://schemas.openxmlformats.org/officeDocument/2006/relationships/comments" Target="../comments14.xml"/><Relationship Id="rId3" Type="http://schemas.openxmlformats.org/officeDocument/2006/relationships/table" Target="../tables/table196.xml"/><Relationship Id="rId7" Type="http://schemas.openxmlformats.org/officeDocument/2006/relationships/table" Target="../tables/table200.xml"/><Relationship Id="rId12" Type="http://schemas.openxmlformats.org/officeDocument/2006/relationships/table" Target="../tables/table205.xml"/><Relationship Id="rId17" Type="http://schemas.openxmlformats.org/officeDocument/2006/relationships/table" Target="../tables/table210.xml"/><Relationship Id="rId2" Type="http://schemas.openxmlformats.org/officeDocument/2006/relationships/vmlDrawing" Target="../drawings/vmlDrawing14.vml"/><Relationship Id="rId16" Type="http://schemas.openxmlformats.org/officeDocument/2006/relationships/table" Target="../tables/table209.xml"/><Relationship Id="rId1" Type="http://schemas.openxmlformats.org/officeDocument/2006/relationships/printerSettings" Target="../printerSettings/printerSettings14.bin"/><Relationship Id="rId6" Type="http://schemas.openxmlformats.org/officeDocument/2006/relationships/table" Target="../tables/table199.xml"/><Relationship Id="rId11" Type="http://schemas.openxmlformats.org/officeDocument/2006/relationships/table" Target="../tables/table204.xml"/><Relationship Id="rId5" Type="http://schemas.openxmlformats.org/officeDocument/2006/relationships/table" Target="../tables/table198.xml"/><Relationship Id="rId15" Type="http://schemas.openxmlformats.org/officeDocument/2006/relationships/table" Target="../tables/table208.xml"/><Relationship Id="rId10" Type="http://schemas.openxmlformats.org/officeDocument/2006/relationships/table" Target="../tables/table203.xml"/><Relationship Id="rId4" Type="http://schemas.openxmlformats.org/officeDocument/2006/relationships/table" Target="../tables/table197.xml"/><Relationship Id="rId9" Type="http://schemas.openxmlformats.org/officeDocument/2006/relationships/table" Target="../tables/table202.xml"/><Relationship Id="rId14" Type="http://schemas.openxmlformats.org/officeDocument/2006/relationships/table" Target="../tables/table207.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16.xml"/><Relationship Id="rId13" Type="http://schemas.openxmlformats.org/officeDocument/2006/relationships/table" Target="../tables/table221.xml"/><Relationship Id="rId18" Type="http://schemas.openxmlformats.org/officeDocument/2006/relationships/comments" Target="../comments15.xml"/><Relationship Id="rId3" Type="http://schemas.openxmlformats.org/officeDocument/2006/relationships/table" Target="../tables/table211.xml"/><Relationship Id="rId7" Type="http://schemas.openxmlformats.org/officeDocument/2006/relationships/table" Target="../tables/table215.xml"/><Relationship Id="rId12" Type="http://schemas.openxmlformats.org/officeDocument/2006/relationships/table" Target="../tables/table220.xml"/><Relationship Id="rId17" Type="http://schemas.openxmlformats.org/officeDocument/2006/relationships/table" Target="../tables/table225.xml"/><Relationship Id="rId2" Type="http://schemas.openxmlformats.org/officeDocument/2006/relationships/vmlDrawing" Target="../drawings/vmlDrawing15.vml"/><Relationship Id="rId16" Type="http://schemas.openxmlformats.org/officeDocument/2006/relationships/table" Target="../tables/table224.xml"/><Relationship Id="rId1" Type="http://schemas.openxmlformats.org/officeDocument/2006/relationships/printerSettings" Target="../printerSettings/printerSettings15.bin"/><Relationship Id="rId6" Type="http://schemas.openxmlformats.org/officeDocument/2006/relationships/table" Target="../tables/table214.xml"/><Relationship Id="rId11" Type="http://schemas.openxmlformats.org/officeDocument/2006/relationships/table" Target="../tables/table219.xml"/><Relationship Id="rId5" Type="http://schemas.openxmlformats.org/officeDocument/2006/relationships/table" Target="../tables/table213.xml"/><Relationship Id="rId15" Type="http://schemas.openxmlformats.org/officeDocument/2006/relationships/table" Target="../tables/table223.xml"/><Relationship Id="rId10" Type="http://schemas.openxmlformats.org/officeDocument/2006/relationships/table" Target="../tables/table218.xml"/><Relationship Id="rId4" Type="http://schemas.openxmlformats.org/officeDocument/2006/relationships/table" Target="../tables/table212.xml"/><Relationship Id="rId9" Type="http://schemas.openxmlformats.org/officeDocument/2006/relationships/table" Target="../tables/table217.xml"/><Relationship Id="rId14" Type="http://schemas.openxmlformats.org/officeDocument/2006/relationships/table" Target="../tables/table222.xml"/></Relationships>
</file>

<file path=xl/worksheets/_rels/sheet16.xml.rels><?xml version="1.0" encoding="UTF-8" standalone="yes"?>
<Relationships xmlns="http://schemas.openxmlformats.org/package/2006/relationships"><Relationship Id="rId8" Type="http://schemas.openxmlformats.org/officeDocument/2006/relationships/table" Target="../tables/table231.xml"/><Relationship Id="rId13" Type="http://schemas.openxmlformats.org/officeDocument/2006/relationships/table" Target="../tables/table236.xml"/><Relationship Id="rId18" Type="http://schemas.openxmlformats.org/officeDocument/2006/relationships/comments" Target="../comments16.xml"/><Relationship Id="rId3" Type="http://schemas.openxmlformats.org/officeDocument/2006/relationships/table" Target="../tables/table226.xml"/><Relationship Id="rId7" Type="http://schemas.openxmlformats.org/officeDocument/2006/relationships/table" Target="../tables/table230.xml"/><Relationship Id="rId12" Type="http://schemas.openxmlformats.org/officeDocument/2006/relationships/table" Target="../tables/table235.xml"/><Relationship Id="rId17" Type="http://schemas.openxmlformats.org/officeDocument/2006/relationships/table" Target="../tables/table240.xml"/><Relationship Id="rId2" Type="http://schemas.openxmlformats.org/officeDocument/2006/relationships/vmlDrawing" Target="../drawings/vmlDrawing16.vml"/><Relationship Id="rId16" Type="http://schemas.openxmlformats.org/officeDocument/2006/relationships/table" Target="../tables/table239.xml"/><Relationship Id="rId1" Type="http://schemas.openxmlformats.org/officeDocument/2006/relationships/printerSettings" Target="../printerSettings/printerSettings16.bin"/><Relationship Id="rId6" Type="http://schemas.openxmlformats.org/officeDocument/2006/relationships/table" Target="../tables/table229.xml"/><Relationship Id="rId11" Type="http://schemas.openxmlformats.org/officeDocument/2006/relationships/table" Target="../tables/table234.xml"/><Relationship Id="rId5" Type="http://schemas.openxmlformats.org/officeDocument/2006/relationships/table" Target="../tables/table228.xml"/><Relationship Id="rId15" Type="http://schemas.openxmlformats.org/officeDocument/2006/relationships/table" Target="../tables/table238.xml"/><Relationship Id="rId10" Type="http://schemas.openxmlformats.org/officeDocument/2006/relationships/table" Target="../tables/table233.xml"/><Relationship Id="rId4" Type="http://schemas.openxmlformats.org/officeDocument/2006/relationships/table" Target="../tables/table227.xml"/><Relationship Id="rId9" Type="http://schemas.openxmlformats.org/officeDocument/2006/relationships/table" Target="../tables/table232.xml"/><Relationship Id="rId14" Type="http://schemas.openxmlformats.org/officeDocument/2006/relationships/table" Target="../tables/table237.xml"/></Relationships>
</file>

<file path=xl/worksheets/_rels/sheet17.xml.rels><?xml version="1.0" encoding="UTF-8" standalone="yes"?>
<Relationships xmlns="http://schemas.openxmlformats.org/package/2006/relationships"><Relationship Id="rId8" Type="http://schemas.openxmlformats.org/officeDocument/2006/relationships/table" Target="../tables/table246.xml"/><Relationship Id="rId13" Type="http://schemas.openxmlformats.org/officeDocument/2006/relationships/table" Target="../tables/table251.xml"/><Relationship Id="rId18" Type="http://schemas.openxmlformats.org/officeDocument/2006/relationships/comments" Target="../comments17.xml"/><Relationship Id="rId3" Type="http://schemas.openxmlformats.org/officeDocument/2006/relationships/table" Target="../tables/table241.xml"/><Relationship Id="rId7" Type="http://schemas.openxmlformats.org/officeDocument/2006/relationships/table" Target="../tables/table245.xml"/><Relationship Id="rId12" Type="http://schemas.openxmlformats.org/officeDocument/2006/relationships/table" Target="../tables/table250.xml"/><Relationship Id="rId17" Type="http://schemas.openxmlformats.org/officeDocument/2006/relationships/table" Target="../tables/table255.xml"/><Relationship Id="rId2" Type="http://schemas.openxmlformats.org/officeDocument/2006/relationships/vmlDrawing" Target="../drawings/vmlDrawing17.vml"/><Relationship Id="rId16" Type="http://schemas.openxmlformats.org/officeDocument/2006/relationships/table" Target="../tables/table254.xml"/><Relationship Id="rId1" Type="http://schemas.openxmlformats.org/officeDocument/2006/relationships/printerSettings" Target="../printerSettings/printerSettings17.bin"/><Relationship Id="rId6" Type="http://schemas.openxmlformats.org/officeDocument/2006/relationships/table" Target="../tables/table244.xml"/><Relationship Id="rId11" Type="http://schemas.openxmlformats.org/officeDocument/2006/relationships/table" Target="../tables/table249.xml"/><Relationship Id="rId5" Type="http://schemas.openxmlformats.org/officeDocument/2006/relationships/table" Target="../tables/table243.xml"/><Relationship Id="rId15" Type="http://schemas.openxmlformats.org/officeDocument/2006/relationships/table" Target="../tables/table253.xml"/><Relationship Id="rId10" Type="http://schemas.openxmlformats.org/officeDocument/2006/relationships/table" Target="../tables/table248.xml"/><Relationship Id="rId4" Type="http://schemas.openxmlformats.org/officeDocument/2006/relationships/table" Target="../tables/table242.xml"/><Relationship Id="rId9" Type="http://schemas.openxmlformats.org/officeDocument/2006/relationships/table" Target="../tables/table247.xml"/><Relationship Id="rId14" Type="http://schemas.openxmlformats.org/officeDocument/2006/relationships/table" Target="../tables/table252.xml"/></Relationships>
</file>

<file path=xl/worksheets/_rels/sheet18.xml.rels><?xml version="1.0" encoding="UTF-8" standalone="yes"?>
<Relationships xmlns="http://schemas.openxmlformats.org/package/2006/relationships"><Relationship Id="rId8" Type="http://schemas.openxmlformats.org/officeDocument/2006/relationships/table" Target="../tables/table261.xml"/><Relationship Id="rId13" Type="http://schemas.openxmlformats.org/officeDocument/2006/relationships/table" Target="../tables/table266.xml"/><Relationship Id="rId18" Type="http://schemas.openxmlformats.org/officeDocument/2006/relationships/comments" Target="../comments18.xml"/><Relationship Id="rId3" Type="http://schemas.openxmlformats.org/officeDocument/2006/relationships/table" Target="../tables/table256.xml"/><Relationship Id="rId7" Type="http://schemas.openxmlformats.org/officeDocument/2006/relationships/table" Target="../tables/table260.xml"/><Relationship Id="rId12" Type="http://schemas.openxmlformats.org/officeDocument/2006/relationships/table" Target="../tables/table265.xml"/><Relationship Id="rId17" Type="http://schemas.openxmlformats.org/officeDocument/2006/relationships/table" Target="../tables/table270.xml"/><Relationship Id="rId2" Type="http://schemas.openxmlformats.org/officeDocument/2006/relationships/vmlDrawing" Target="../drawings/vmlDrawing18.vml"/><Relationship Id="rId16" Type="http://schemas.openxmlformats.org/officeDocument/2006/relationships/table" Target="../tables/table269.xml"/><Relationship Id="rId1" Type="http://schemas.openxmlformats.org/officeDocument/2006/relationships/printerSettings" Target="../printerSettings/printerSettings18.bin"/><Relationship Id="rId6" Type="http://schemas.openxmlformats.org/officeDocument/2006/relationships/table" Target="../tables/table259.xml"/><Relationship Id="rId11" Type="http://schemas.openxmlformats.org/officeDocument/2006/relationships/table" Target="../tables/table264.xml"/><Relationship Id="rId5" Type="http://schemas.openxmlformats.org/officeDocument/2006/relationships/table" Target="../tables/table258.xml"/><Relationship Id="rId15" Type="http://schemas.openxmlformats.org/officeDocument/2006/relationships/table" Target="../tables/table268.xml"/><Relationship Id="rId10" Type="http://schemas.openxmlformats.org/officeDocument/2006/relationships/table" Target="../tables/table263.xml"/><Relationship Id="rId4" Type="http://schemas.openxmlformats.org/officeDocument/2006/relationships/table" Target="../tables/table257.xml"/><Relationship Id="rId9" Type="http://schemas.openxmlformats.org/officeDocument/2006/relationships/table" Target="../tables/table262.xml"/><Relationship Id="rId14" Type="http://schemas.openxmlformats.org/officeDocument/2006/relationships/table" Target="../tables/table267.xml"/></Relationships>
</file>

<file path=xl/worksheets/_rels/sheet19.xml.rels><?xml version="1.0" encoding="UTF-8" standalone="yes"?>
<Relationships xmlns="http://schemas.openxmlformats.org/package/2006/relationships"><Relationship Id="rId8" Type="http://schemas.openxmlformats.org/officeDocument/2006/relationships/table" Target="../tables/table276.xml"/><Relationship Id="rId13" Type="http://schemas.openxmlformats.org/officeDocument/2006/relationships/table" Target="../tables/table281.xml"/><Relationship Id="rId18" Type="http://schemas.openxmlformats.org/officeDocument/2006/relationships/comments" Target="../comments19.xml"/><Relationship Id="rId3" Type="http://schemas.openxmlformats.org/officeDocument/2006/relationships/table" Target="../tables/table271.xml"/><Relationship Id="rId7" Type="http://schemas.openxmlformats.org/officeDocument/2006/relationships/table" Target="../tables/table275.xml"/><Relationship Id="rId12" Type="http://schemas.openxmlformats.org/officeDocument/2006/relationships/table" Target="../tables/table280.xml"/><Relationship Id="rId17" Type="http://schemas.openxmlformats.org/officeDocument/2006/relationships/table" Target="../tables/table285.xml"/><Relationship Id="rId2" Type="http://schemas.openxmlformats.org/officeDocument/2006/relationships/vmlDrawing" Target="../drawings/vmlDrawing19.vml"/><Relationship Id="rId16" Type="http://schemas.openxmlformats.org/officeDocument/2006/relationships/table" Target="../tables/table284.xml"/><Relationship Id="rId1" Type="http://schemas.openxmlformats.org/officeDocument/2006/relationships/printerSettings" Target="../printerSettings/printerSettings19.bin"/><Relationship Id="rId6" Type="http://schemas.openxmlformats.org/officeDocument/2006/relationships/table" Target="../tables/table274.xml"/><Relationship Id="rId11" Type="http://schemas.openxmlformats.org/officeDocument/2006/relationships/table" Target="../tables/table279.xml"/><Relationship Id="rId5" Type="http://schemas.openxmlformats.org/officeDocument/2006/relationships/table" Target="../tables/table273.xml"/><Relationship Id="rId15" Type="http://schemas.openxmlformats.org/officeDocument/2006/relationships/table" Target="../tables/table283.xml"/><Relationship Id="rId10" Type="http://schemas.openxmlformats.org/officeDocument/2006/relationships/table" Target="../tables/table278.xml"/><Relationship Id="rId4" Type="http://schemas.openxmlformats.org/officeDocument/2006/relationships/table" Target="../tables/table272.xml"/><Relationship Id="rId9" Type="http://schemas.openxmlformats.org/officeDocument/2006/relationships/table" Target="../tables/table277.xml"/><Relationship Id="rId14" Type="http://schemas.openxmlformats.org/officeDocument/2006/relationships/table" Target="../tables/table282.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291.xml"/><Relationship Id="rId13" Type="http://schemas.openxmlformats.org/officeDocument/2006/relationships/table" Target="../tables/table296.xml"/><Relationship Id="rId18" Type="http://schemas.openxmlformats.org/officeDocument/2006/relationships/comments" Target="../comments20.xml"/><Relationship Id="rId3" Type="http://schemas.openxmlformats.org/officeDocument/2006/relationships/table" Target="../tables/table286.xml"/><Relationship Id="rId7" Type="http://schemas.openxmlformats.org/officeDocument/2006/relationships/table" Target="../tables/table290.xml"/><Relationship Id="rId12" Type="http://schemas.openxmlformats.org/officeDocument/2006/relationships/table" Target="../tables/table295.xml"/><Relationship Id="rId17" Type="http://schemas.openxmlformats.org/officeDocument/2006/relationships/table" Target="../tables/table300.xml"/><Relationship Id="rId2" Type="http://schemas.openxmlformats.org/officeDocument/2006/relationships/vmlDrawing" Target="../drawings/vmlDrawing20.vml"/><Relationship Id="rId16" Type="http://schemas.openxmlformats.org/officeDocument/2006/relationships/table" Target="../tables/table299.xml"/><Relationship Id="rId1" Type="http://schemas.openxmlformats.org/officeDocument/2006/relationships/printerSettings" Target="../printerSettings/printerSettings20.bin"/><Relationship Id="rId6" Type="http://schemas.openxmlformats.org/officeDocument/2006/relationships/table" Target="../tables/table289.xml"/><Relationship Id="rId11" Type="http://schemas.openxmlformats.org/officeDocument/2006/relationships/table" Target="../tables/table294.xml"/><Relationship Id="rId5" Type="http://schemas.openxmlformats.org/officeDocument/2006/relationships/table" Target="../tables/table288.xml"/><Relationship Id="rId15" Type="http://schemas.openxmlformats.org/officeDocument/2006/relationships/table" Target="../tables/table298.xml"/><Relationship Id="rId10" Type="http://schemas.openxmlformats.org/officeDocument/2006/relationships/table" Target="../tables/table293.xml"/><Relationship Id="rId4" Type="http://schemas.openxmlformats.org/officeDocument/2006/relationships/table" Target="../tables/table287.xml"/><Relationship Id="rId9" Type="http://schemas.openxmlformats.org/officeDocument/2006/relationships/table" Target="../tables/table292.xml"/><Relationship Id="rId14" Type="http://schemas.openxmlformats.org/officeDocument/2006/relationships/table" Target="../tables/table297.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301.xml"/></Relationships>
</file>

<file path=xl/worksheets/_rels/sheet22.xml.rels><?xml version="1.0" encoding="UTF-8" standalone="yes"?>
<Relationships xmlns="http://schemas.openxmlformats.org/package/2006/relationships"><Relationship Id="rId8" Type="http://schemas.openxmlformats.org/officeDocument/2006/relationships/table" Target="../tables/table307.xml"/><Relationship Id="rId13" Type="http://schemas.openxmlformats.org/officeDocument/2006/relationships/table" Target="../tables/table312.xml"/><Relationship Id="rId18" Type="http://schemas.openxmlformats.org/officeDocument/2006/relationships/comments" Target="../comments21.xml"/><Relationship Id="rId3" Type="http://schemas.openxmlformats.org/officeDocument/2006/relationships/table" Target="../tables/table302.xml"/><Relationship Id="rId7" Type="http://schemas.openxmlformats.org/officeDocument/2006/relationships/table" Target="../tables/table306.xml"/><Relationship Id="rId12" Type="http://schemas.openxmlformats.org/officeDocument/2006/relationships/table" Target="../tables/table311.xml"/><Relationship Id="rId17" Type="http://schemas.openxmlformats.org/officeDocument/2006/relationships/table" Target="../tables/table316.xml"/><Relationship Id="rId2" Type="http://schemas.openxmlformats.org/officeDocument/2006/relationships/vmlDrawing" Target="../drawings/vmlDrawing21.vml"/><Relationship Id="rId16" Type="http://schemas.openxmlformats.org/officeDocument/2006/relationships/table" Target="../tables/table315.xml"/><Relationship Id="rId1" Type="http://schemas.openxmlformats.org/officeDocument/2006/relationships/printerSettings" Target="../printerSettings/printerSettings21.bin"/><Relationship Id="rId6" Type="http://schemas.openxmlformats.org/officeDocument/2006/relationships/table" Target="../tables/table305.xml"/><Relationship Id="rId11" Type="http://schemas.openxmlformats.org/officeDocument/2006/relationships/table" Target="../tables/table310.xml"/><Relationship Id="rId5" Type="http://schemas.openxmlformats.org/officeDocument/2006/relationships/table" Target="../tables/table304.xml"/><Relationship Id="rId15" Type="http://schemas.openxmlformats.org/officeDocument/2006/relationships/table" Target="../tables/table314.xml"/><Relationship Id="rId10" Type="http://schemas.openxmlformats.org/officeDocument/2006/relationships/table" Target="../tables/table309.xml"/><Relationship Id="rId4" Type="http://schemas.openxmlformats.org/officeDocument/2006/relationships/table" Target="../tables/table303.xml"/><Relationship Id="rId9" Type="http://schemas.openxmlformats.org/officeDocument/2006/relationships/table" Target="../tables/table308.xml"/><Relationship Id="rId14" Type="http://schemas.openxmlformats.org/officeDocument/2006/relationships/table" Target="../tables/table313.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322.xml"/><Relationship Id="rId13" Type="http://schemas.openxmlformats.org/officeDocument/2006/relationships/table" Target="../tables/table327.xml"/><Relationship Id="rId18" Type="http://schemas.openxmlformats.org/officeDocument/2006/relationships/comments" Target="../comments22.xml"/><Relationship Id="rId3" Type="http://schemas.openxmlformats.org/officeDocument/2006/relationships/table" Target="../tables/table317.xml"/><Relationship Id="rId7" Type="http://schemas.openxmlformats.org/officeDocument/2006/relationships/table" Target="../tables/table321.xml"/><Relationship Id="rId12" Type="http://schemas.openxmlformats.org/officeDocument/2006/relationships/table" Target="../tables/table326.xml"/><Relationship Id="rId17" Type="http://schemas.openxmlformats.org/officeDocument/2006/relationships/table" Target="../tables/table331.xml"/><Relationship Id="rId2" Type="http://schemas.openxmlformats.org/officeDocument/2006/relationships/vmlDrawing" Target="../drawings/vmlDrawing22.vml"/><Relationship Id="rId16" Type="http://schemas.openxmlformats.org/officeDocument/2006/relationships/table" Target="../tables/table330.xml"/><Relationship Id="rId1" Type="http://schemas.openxmlformats.org/officeDocument/2006/relationships/printerSettings" Target="../printerSettings/printerSettings22.bin"/><Relationship Id="rId6" Type="http://schemas.openxmlformats.org/officeDocument/2006/relationships/table" Target="../tables/table320.xml"/><Relationship Id="rId11" Type="http://schemas.openxmlformats.org/officeDocument/2006/relationships/table" Target="../tables/table325.xml"/><Relationship Id="rId5" Type="http://schemas.openxmlformats.org/officeDocument/2006/relationships/table" Target="../tables/table319.xml"/><Relationship Id="rId15" Type="http://schemas.openxmlformats.org/officeDocument/2006/relationships/table" Target="../tables/table329.xml"/><Relationship Id="rId10" Type="http://schemas.openxmlformats.org/officeDocument/2006/relationships/table" Target="../tables/table324.xml"/><Relationship Id="rId4" Type="http://schemas.openxmlformats.org/officeDocument/2006/relationships/table" Target="../tables/table318.xml"/><Relationship Id="rId9" Type="http://schemas.openxmlformats.org/officeDocument/2006/relationships/table" Target="../tables/table323.xml"/><Relationship Id="rId14" Type="http://schemas.openxmlformats.org/officeDocument/2006/relationships/table" Target="../tables/table328.xml"/></Relationships>
</file>

<file path=xl/worksheets/_rels/sheet24.xml.rels><?xml version="1.0" encoding="UTF-8" standalone="yes"?>
<Relationships xmlns="http://schemas.openxmlformats.org/package/2006/relationships"><Relationship Id="rId8" Type="http://schemas.openxmlformats.org/officeDocument/2006/relationships/table" Target="../tables/table337.xml"/><Relationship Id="rId13" Type="http://schemas.openxmlformats.org/officeDocument/2006/relationships/table" Target="../tables/table342.xml"/><Relationship Id="rId18" Type="http://schemas.openxmlformats.org/officeDocument/2006/relationships/comments" Target="../comments23.xml"/><Relationship Id="rId3" Type="http://schemas.openxmlformats.org/officeDocument/2006/relationships/table" Target="../tables/table332.xml"/><Relationship Id="rId7" Type="http://schemas.openxmlformats.org/officeDocument/2006/relationships/table" Target="../tables/table336.xml"/><Relationship Id="rId12" Type="http://schemas.openxmlformats.org/officeDocument/2006/relationships/table" Target="../tables/table341.xml"/><Relationship Id="rId17" Type="http://schemas.openxmlformats.org/officeDocument/2006/relationships/table" Target="../tables/table346.xml"/><Relationship Id="rId2" Type="http://schemas.openxmlformats.org/officeDocument/2006/relationships/vmlDrawing" Target="../drawings/vmlDrawing23.vml"/><Relationship Id="rId16" Type="http://schemas.openxmlformats.org/officeDocument/2006/relationships/table" Target="../tables/table345.xml"/><Relationship Id="rId1" Type="http://schemas.openxmlformats.org/officeDocument/2006/relationships/printerSettings" Target="../printerSettings/printerSettings23.bin"/><Relationship Id="rId6" Type="http://schemas.openxmlformats.org/officeDocument/2006/relationships/table" Target="../tables/table335.xml"/><Relationship Id="rId11" Type="http://schemas.openxmlformats.org/officeDocument/2006/relationships/table" Target="../tables/table340.xml"/><Relationship Id="rId5" Type="http://schemas.openxmlformats.org/officeDocument/2006/relationships/table" Target="../tables/table334.xml"/><Relationship Id="rId15" Type="http://schemas.openxmlformats.org/officeDocument/2006/relationships/table" Target="../tables/table344.xml"/><Relationship Id="rId10" Type="http://schemas.openxmlformats.org/officeDocument/2006/relationships/table" Target="../tables/table339.xml"/><Relationship Id="rId4" Type="http://schemas.openxmlformats.org/officeDocument/2006/relationships/table" Target="../tables/table333.xml"/><Relationship Id="rId9" Type="http://schemas.openxmlformats.org/officeDocument/2006/relationships/table" Target="../tables/table338.xml"/><Relationship Id="rId14" Type="http://schemas.openxmlformats.org/officeDocument/2006/relationships/table" Target="../tables/table34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9"/>
  <sheetViews>
    <sheetView topLeftCell="A82" zoomScaleNormal="100" workbookViewId="0">
      <selection activeCell="C99" sqref="C99"/>
    </sheetView>
  </sheetViews>
  <sheetFormatPr defaultColWidth="9.140625" defaultRowHeight="12.75" outlineLevelRow="1" x14ac:dyDescent="0.2"/>
  <cols>
    <col min="1" max="1" width="30.28515625" style="2" customWidth="1"/>
    <col min="2" max="2" width="28.85546875" style="2" customWidth="1"/>
    <col min="3" max="3" width="31.5703125" style="2" bestFit="1" customWidth="1"/>
    <col min="4" max="4" width="30.5703125" style="2" customWidth="1"/>
    <col min="5" max="5" width="34.85546875" style="2" customWidth="1"/>
    <col min="6" max="6" width="27.140625" style="2" customWidth="1"/>
    <col min="7" max="7" width="27.42578125" style="2" customWidth="1"/>
    <col min="8" max="8" width="36" style="2" customWidth="1"/>
    <col min="9" max="16384" width="9.140625" style="2"/>
  </cols>
  <sheetData>
    <row r="1" spans="1:7" ht="24.75" customHeight="1" x14ac:dyDescent="0.25">
      <c r="A1" s="134" t="s">
        <v>94</v>
      </c>
    </row>
    <row r="2" spans="1:7" ht="15.75" x14ac:dyDescent="0.25">
      <c r="A2" s="1" t="s">
        <v>95</v>
      </c>
    </row>
    <row r="3" spans="1:7" x14ac:dyDescent="0.2">
      <c r="A3" s="3"/>
    </row>
    <row r="4" spans="1:7" ht="15.75" x14ac:dyDescent="0.25">
      <c r="A4" s="1" t="s">
        <v>0</v>
      </c>
      <c r="B4" s="2" t="s">
        <v>1</v>
      </c>
      <c r="C4" s="2" t="s">
        <v>2</v>
      </c>
    </row>
    <row r="5" spans="1:7" ht="15" x14ac:dyDescent="0.25">
      <c r="A5" s="386" t="s">
        <v>3</v>
      </c>
      <c r="B5" s="386"/>
      <c r="C5" s="386"/>
      <c r="D5" s="386"/>
      <c r="F5" s="4"/>
    </row>
    <row r="6" spans="1:7" s="6" customFormat="1" outlineLevel="1" x14ac:dyDescent="0.2">
      <c r="A6" s="5" t="s">
        <v>4</v>
      </c>
      <c r="B6" s="5" t="s">
        <v>5</v>
      </c>
      <c r="C6" s="5" t="s">
        <v>6</v>
      </c>
      <c r="D6" s="5" t="s">
        <v>7</v>
      </c>
      <c r="E6" s="5" t="s">
        <v>8</v>
      </c>
      <c r="F6" s="5" t="s">
        <v>9</v>
      </c>
      <c r="G6" s="5" t="s">
        <v>10</v>
      </c>
    </row>
    <row r="7" spans="1:7" outlineLevel="1" x14ac:dyDescent="0.2">
      <c r="A7" s="7" t="s">
        <v>94</v>
      </c>
      <c r="B7" s="8">
        <f>C29</f>
        <v>10000</v>
      </c>
      <c r="C7" s="9">
        <f>B29</f>
        <v>18158.8</v>
      </c>
      <c r="D7" s="10">
        <f>Таблица11029163037445158657223303744515865727986931009223548627690104107127139151163183152947637995111127143159175183450668298114130146545561577589605619635651667683700717[Факт, руб.]/Таблица11029163037445158657223303744515865727986931009223548627690104107127139151163183152947637995111127143159175183450668298114130146545561577589605619635651667683700717[План, руб.]-100%</f>
        <v>0.81587999999999994</v>
      </c>
      <c r="E7" s="11">
        <f>Таблица11029163037445158657223303744515865727986931009223548627690104107127139151163183152947637995111127143159175183450668298114130146545561577589605619635651667683700717[Факт, руб.]-Таблица11029163037445158657223303744515865727986931009223548627690104107127139151163183152947637995111127143159175183450668298114130146545561577589605619635651667683700717[План, руб.]</f>
        <v>8158.7999999999993</v>
      </c>
      <c r="F7" s="10"/>
      <c r="G7" s="9">
        <f>B30</f>
        <v>0</v>
      </c>
    </row>
    <row r="8" spans="1:7" x14ac:dyDescent="0.2">
      <c r="A8" s="12"/>
      <c r="B8" s="13"/>
      <c r="C8" s="13"/>
      <c r="D8" s="14"/>
      <c r="F8" s="15"/>
      <c r="G8" s="16"/>
    </row>
    <row r="9" spans="1:7" ht="15" customHeight="1" x14ac:dyDescent="0.2">
      <c r="A9" s="12"/>
      <c r="B9" s="13"/>
      <c r="C9" s="13"/>
      <c r="D9" s="14"/>
      <c r="F9" s="17"/>
    </row>
    <row r="10" spans="1:7" ht="15" x14ac:dyDescent="0.25">
      <c r="A10" s="386" t="s">
        <v>11</v>
      </c>
      <c r="B10" s="386"/>
      <c r="C10" s="386"/>
      <c r="D10" s="386"/>
      <c r="F10" s="17"/>
    </row>
    <row r="11" spans="1:7" s="6" customFormat="1" outlineLevel="1" x14ac:dyDescent="0.2">
      <c r="A11" s="18" t="s">
        <v>4</v>
      </c>
      <c r="B11" s="19" t="s">
        <v>12</v>
      </c>
      <c r="C11" s="19" t="s">
        <v>13</v>
      </c>
      <c r="D11" s="19" t="s">
        <v>7</v>
      </c>
      <c r="E11" s="19" t="s">
        <v>8</v>
      </c>
      <c r="F11" s="20"/>
    </row>
    <row r="12" spans="1:7" outlineLevel="1" x14ac:dyDescent="0.2">
      <c r="A12" s="7" t="s">
        <v>94</v>
      </c>
      <c r="B12" s="8">
        <f>SUM(C22:C29)</f>
        <v>10000</v>
      </c>
      <c r="C12" s="8">
        <f>B34</f>
        <v>18158.8</v>
      </c>
      <c r="D12" s="21">
        <f>C12/B12-100%</f>
        <v>0.81587999999999994</v>
      </c>
      <c r="E12" s="8">
        <f>C12-B12</f>
        <v>8158.7999999999993</v>
      </c>
      <c r="F12" s="17"/>
      <c r="G12" s="22"/>
    </row>
    <row r="13" spans="1:7" x14ac:dyDescent="0.2">
      <c r="A13" s="12"/>
      <c r="B13" s="13"/>
      <c r="C13" s="13"/>
      <c r="D13" s="14"/>
      <c r="F13" s="17"/>
    </row>
    <row r="14" spans="1:7" x14ac:dyDescent="0.2">
      <c r="A14" s="13"/>
      <c r="B14" s="13"/>
      <c r="C14" s="13"/>
      <c r="D14" s="14"/>
      <c r="F14" s="17"/>
      <c r="G14" s="22"/>
    </row>
    <row r="15" spans="1:7" ht="15" x14ac:dyDescent="0.25">
      <c r="A15" s="387" t="s">
        <v>393</v>
      </c>
      <c r="B15" s="387"/>
      <c r="C15" s="387"/>
      <c r="D15" s="387"/>
      <c r="F15" s="17"/>
    </row>
    <row r="16" spans="1:7" s="6" customFormat="1" outlineLevel="1" x14ac:dyDescent="0.2">
      <c r="A16" s="5" t="s">
        <v>4</v>
      </c>
      <c r="B16" s="5" t="s">
        <v>15</v>
      </c>
      <c r="C16" s="5" t="s">
        <v>16</v>
      </c>
      <c r="D16" s="5" t="s">
        <v>93</v>
      </c>
      <c r="E16" s="5" t="s">
        <v>17</v>
      </c>
      <c r="F16" s="23"/>
    </row>
    <row r="17" spans="1:5" outlineLevel="1" x14ac:dyDescent="0.2">
      <c r="A17" s="7" t="s">
        <v>94</v>
      </c>
      <c r="B17" s="8">
        <v>0</v>
      </c>
      <c r="C17" s="24">
        <v>0</v>
      </c>
      <c r="D17" s="24">
        <f>B34</f>
        <v>18158.8</v>
      </c>
      <c r="E17" s="21" t="e">
        <f>Таблица211301731384552596673243138455259667380879410110233649637791105109128140152164184163248648096112128144160176193551678399115131147546562578590606620636652668684701718[Профит ФГ 24-25]/Таблица211301731384552596673243138455259667380879410110233649637791105109128140152164184163248648096112128144160176193551678399115131147546562578590606620636652668684701718[Профит ФГ 23-24]</f>
        <v>#DIV/0!</v>
      </c>
    </row>
    <row r="20" spans="1:5" ht="15" x14ac:dyDescent="0.25">
      <c r="A20" s="386" t="s">
        <v>18</v>
      </c>
      <c r="B20" s="386"/>
      <c r="C20" s="386"/>
      <c r="D20" s="386"/>
    </row>
    <row r="21" spans="1:5" outlineLevel="1" x14ac:dyDescent="0.2">
      <c r="A21" s="25" t="s">
        <v>19</v>
      </c>
      <c r="B21" s="26" t="s">
        <v>20</v>
      </c>
      <c r="C21" s="26" t="s">
        <v>21</v>
      </c>
      <c r="D21" s="25" t="s">
        <v>22</v>
      </c>
    </row>
    <row r="22" spans="1:5" outlineLevel="1" x14ac:dyDescent="0.2">
      <c r="A22" s="27" t="s">
        <v>23</v>
      </c>
      <c r="B22" s="28">
        <v>0</v>
      </c>
      <c r="C22" s="31">
        <v>0</v>
      </c>
      <c r="D22" s="29">
        <v>0</v>
      </c>
    </row>
    <row r="23" spans="1:5" outlineLevel="1" x14ac:dyDescent="0.2">
      <c r="A23" s="30" t="s">
        <v>25</v>
      </c>
      <c r="B23" s="31">
        <v>0</v>
      </c>
      <c r="C23" s="31">
        <v>0</v>
      </c>
      <c r="D23" s="32">
        <v>0</v>
      </c>
    </row>
    <row r="24" spans="1:5" outlineLevel="1" x14ac:dyDescent="0.2">
      <c r="A24" s="27" t="s">
        <v>26</v>
      </c>
      <c r="B24" s="31">
        <v>0</v>
      </c>
      <c r="C24" s="31">
        <v>0</v>
      </c>
      <c r="D24" s="29">
        <v>0</v>
      </c>
    </row>
    <row r="25" spans="1:5" outlineLevel="1" x14ac:dyDescent="0.2">
      <c r="A25" s="30" t="s">
        <v>27</v>
      </c>
      <c r="B25" s="31">
        <v>0</v>
      </c>
      <c r="C25" s="31">
        <v>0</v>
      </c>
      <c r="D25" s="32">
        <v>0</v>
      </c>
    </row>
    <row r="26" spans="1:5" outlineLevel="1" x14ac:dyDescent="0.2">
      <c r="A26" s="27" t="s">
        <v>28</v>
      </c>
      <c r="B26" s="31">
        <v>0</v>
      </c>
      <c r="C26" s="31">
        <v>0</v>
      </c>
      <c r="D26" s="29">
        <v>0</v>
      </c>
    </row>
    <row r="27" spans="1:5" outlineLevel="1" x14ac:dyDescent="0.2">
      <c r="A27" s="30" t="s">
        <v>29</v>
      </c>
      <c r="B27" s="31">
        <v>0</v>
      </c>
      <c r="C27" s="31">
        <v>0</v>
      </c>
      <c r="D27" s="32">
        <v>0</v>
      </c>
    </row>
    <row r="28" spans="1:5" outlineLevel="1" x14ac:dyDescent="0.2">
      <c r="A28" s="27" t="s">
        <v>30</v>
      </c>
      <c r="B28" s="31">
        <v>0</v>
      </c>
      <c r="C28" s="31">
        <v>0</v>
      </c>
      <c r="D28" s="29">
        <v>0</v>
      </c>
    </row>
    <row r="29" spans="1:5" outlineLevel="1" x14ac:dyDescent="0.2">
      <c r="A29" s="30" t="s">
        <v>31</v>
      </c>
      <c r="B29" s="135">
        <v>18158.8</v>
      </c>
      <c r="C29" s="31">
        <v>10000</v>
      </c>
      <c r="D29" s="32">
        <f>B29/C29</f>
        <v>1.8158799999999999</v>
      </c>
    </row>
    <row r="30" spans="1:5" outlineLevel="1" x14ac:dyDescent="0.2">
      <c r="A30" s="27" t="s">
        <v>32</v>
      </c>
      <c r="B30" s="31"/>
      <c r="C30" s="31">
        <v>20000</v>
      </c>
      <c r="D30" s="32">
        <f>B30/C30</f>
        <v>0</v>
      </c>
    </row>
    <row r="31" spans="1:5" outlineLevel="1" x14ac:dyDescent="0.2">
      <c r="A31" s="30" t="s">
        <v>33</v>
      </c>
      <c r="B31" s="31"/>
      <c r="C31" s="31">
        <v>15000</v>
      </c>
      <c r="D31" s="32">
        <f>B31/C31</f>
        <v>0</v>
      </c>
    </row>
    <row r="32" spans="1:5" outlineLevel="1" x14ac:dyDescent="0.2">
      <c r="A32" s="27" t="s">
        <v>34</v>
      </c>
      <c r="B32" s="28"/>
      <c r="C32" s="28">
        <v>30000</v>
      </c>
      <c r="D32" s="32">
        <f t="shared" ref="D32:D33" si="0">B32/C32</f>
        <v>0</v>
      </c>
    </row>
    <row r="33" spans="1:8" outlineLevel="1" x14ac:dyDescent="0.2">
      <c r="A33" s="33" t="s">
        <v>35</v>
      </c>
      <c r="B33" s="34"/>
      <c r="C33" s="34">
        <v>50000</v>
      </c>
      <c r="D33" s="32">
        <f t="shared" si="0"/>
        <v>0</v>
      </c>
      <c r="H33" s="35"/>
    </row>
    <row r="34" spans="1:8" ht="15" outlineLevel="1" x14ac:dyDescent="0.25">
      <c r="A34" s="36" t="s">
        <v>36</v>
      </c>
      <c r="B34" s="37">
        <f>SUM(B22:B33)</f>
        <v>18158.8</v>
      </c>
      <c r="C34" s="38">
        <f>SUM(C22:C33)</f>
        <v>125000</v>
      </c>
      <c r="D34" s="39"/>
    </row>
    <row r="35" spans="1:8" outlineLevel="1" x14ac:dyDescent="0.2">
      <c r="A35" s="41" t="s">
        <v>37</v>
      </c>
      <c r="B35" s="42">
        <f>AVERAGE(B29:B33)</f>
        <v>18158.8</v>
      </c>
      <c r="C35" s="42">
        <f>AVERAGE(C29:C33)</f>
        <v>25000</v>
      </c>
      <c r="D35" s="43">
        <f>B35/C35</f>
        <v>0.726352</v>
      </c>
    </row>
    <row r="38" spans="1:8" ht="15" x14ac:dyDescent="0.25">
      <c r="A38" s="386" t="s">
        <v>38</v>
      </c>
      <c r="B38" s="386"/>
      <c r="C38" s="386"/>
      <c r="D38" s="386"/>
    </row>
    <row r="39" spans="1:8" s="45" customFormat="1" outlineLevel="1" x14ac:dyDescent="0.2">
      <c r="A39" s="44" t="s">
        <v>39</v>
      </c>
      <c r="B39" s="44" t="s">
        <v>40</v>
      </c>
      <c r="C39" s="44" t="s">
        <v>41</v>
      </c>
      <c r="D39" s="44" t="s">
        <v>42</v>
      </c>
      <c r="E39" s="44" t="s">
        <v>43</v>
      </c>
      <c r="F39" s="2"/>
    </row>
    <row r="40" spans="1:8" outlineLevel="1" x14ac:dyDescent="0.2">
      <c r="A40" s="8">
        <f>B29</f>
        <v>18158.8</v>
      </c>
      <c r="B40" s="46">
        <f>50000</f>
        <v>50000</v>
      </c>
      <c r="C40" s="136">
        <f>A40*0.06</f>
        <v>1089.528</v>
      </c>
      <c r="D40" s="47">
        <f>SUM(G111,G112,G113)</f>
        <v>7440</v>
      </c>
      <c r="E40" s="48">
        <v>0</v>
      </c>
    </row>
    <row r="41" spans="1:8" outlineLevel="1" x14ac:dyDescent="0.2">
      <c r="A41" s="49" t="s">
        <v>44</v>
      </c>
      <c r="B41" s="137">
        <f>Таблица29445975911071231391551711873046627894110126142158556572588602616630646662678694711728[Оклад]+Таблица29445975911071231391551711873046627894110126142158556572588602616630646662678694711728[Премия]+Таблица29445975911071231391551711873046627894110126142158556572588602616630646662678694711728[Штрафы]+Таблица29445975911071231391551711873046627894110126142158556572588602616630646662678694711728[Доплата за Задачи]</f>
        <v>58529.527999999998</v>
      </c>
      <c r="C41" s="50"/>
    </row>
    <row r="42" spans="1:8" x14ac:dyDescent="0.2">
      <c r="A42" s="40"/>
      <c r="B42" s="40"/>
    </row>
    <row r="43" spans="1:8" x14ac:dyDescent="0.2">
      <c r="A43" s="51"/>
      <c r="B43" s="51"/>
      <c r="C43" s="51"/>
      <c r="D43" s="52"/>
      <c r="E43" s="51"/>
      <c r="F43" s="53"/>
      <c r="H43" s="22"/>
    </row>
    <row r="44" spans="1:8" ht="15" x14ac:dyDescent="0.25">
      <c r="A44" s="386" t="s">
        <v>45</v>
      </c>
      <c r="B44" s="386"/>
      <c r="C44" s="386"/>
      <c r="D44" s="386"/>
      <c r="E44" s="53"/>
      <c r="F44" s="53"/>
      <c r="H44" s="22"/>
    </row>
    <row r="45" spans="1:8" outlineLevel="1" x14ac:dyDescent="0.2">
      <c r="A45" s="5" t="s">
        <v>46</v>
      </c>
      <c r="B45" s="5" t="s">
        <v>47</v>
      </c>
      <c r="C45" s="5" t="s">
        <v>48</v>
      </c>
      <c r="D45" s="54" t="s">
        <v>49</v>
      </c>
      <c r="E45" s="51"/>
      <c r="G45" s="40"/>
    </row>
    <row r="46" spans="1:8" ht="24.95" customHeight="1" outlineLevel="1" x14ac:dyDescent="0.2">
      <c r="A46" s="55" t="s">
        <v>24</v>
      </c>
      <c r="B46" s="56"/>
      <c r="C46" s="56"/>
      <c r="D46" s="57"/>
      <c r="E46" s="51"/>
      <c r="G46" s="40"/>
    </row>
    <row r="47" spans="1:8" ht="24.95" customHeight="1" outlineLevel="1" x14ac:dyDescent="0.2">
      <c r="A47" s="55" t="s">
        <v>24</v>
      </c>
      <c r="B47" s="58"/>
      <c r="C47" s="58"/>
      <c r="D47" s="57"/>
      <c r="E47" s="51"/>
      <c r="G47" s="40"/>
    </row>
    <row r="48" spans="1:8" outlineLevel="1" x14ac:dyDescent="0.2">
      <c r="A48" s="63"/>
      <c r="B48" s="64" t="s">
        <v>50</v>
      </c>
      <c r="C48" s="65">
        <f>SUM(Таблица546243318323946536067742532394653606774818895102112437506478921061101291411531651851733496581971131291451611772036526884100116132148547563579593607621637653669685702719[Общая сумма долга])</f>
        <v>0</v>
      </c>
      <c r="D48" s="66">
        <v>0</v>
      </c>
      <c r="E48" s="67" t="s">
        <v>51</v>
      </c>
      <c r="F48" s="51"/>
      <c r="G48" s="51"/>
      <c r="H48" s="51"/>
    </row>
    <row r="49" spans="1:8" outlineLevel="1" x14ac:dyDescent="0.2">
      <c r="A49" s="63"/>
      <c r="B49" s="64"/>
      <c r="C49" s="65"/>
      <c r="D49" s="51"/>
      <c r="E49" s="51"/>
      <c r="F49" s="51"/>
      <c r="G49" s="51"/>
      <c r="H49" s="51"/>
    </row>
    <row r="50" spans="1:8" x14ac:dyDescent="0.2">
      <c r="A50" s="63"/>
      <c r="B50" s="51"/>
      <c r="C50" s="51"/>
      <c r="D50" s="52"/>
      <c r="E50" s="51"/>
      <c r="F50" s="53"/>
      <c r="G50" s="51"/>
      <c r="H50" s="68"/>
    </row>
    <row r="51" spans="1:8" x14ac:dyDescent="0.2">
      <c r="A51" s="63"/>
      <c r="B51" s="51"/>
      <c r="C51" s="51"/>
      <c r="D51" s="52"/>
      <c r="E51" s="51"/>
      <c r="F51" s="53"/>
      <c r="G51" s="51"/>
      <c r="H51" s="68"/>
    </row>
    <row r="52" spans="1:8" ht="15" x14ac:dyDescent="0.25">
      <c r="A52" s="386" t="s">
        <v>52</v>
      </c>
      <c r="B52" s="386"/>
      <c r="C52" s="386"/>
      <c r="D52" s="386"/>
      <c r="E52" s="53"/>
      <c r="F52" s="53"/>
      <c r="G52" s="51"/>
    </row>
    <row r="53" spans="1:8" s="6" customFormat="1" outlineLevel="1" x14ac:dyDescent="0.2">
      <c r="A53" s="18" t="s">
        <v>53</v>
      </c>
      <c r="B53" s="19" t="s">
        <v>54</v>
      </c>
      <c r="C53" s="19" t="s">
        <v>55</v>
      </c>
      <c r="D53" s="69" t="s">
        <v>56</v>
      </c>
      <c r="E53" s="69" t="s">
        <v>4</v>
      </c>
      <c r="F53" s="70" t="s">
        <v>57</v>
      </c>
    </row>
    <row r="54" spans="1:8" ht="24.95" customHeight="1" outlineLevel="1" x14ac:dyDescent="0.2">
      <c r="A54" s="71" t="s">
        <v>101</v>
      </c>
      <c r="B54" s="72">
        <v>87340</v>
      </c>
      <c r="C54" s="72">
        <v>4158.76</v>
      </c>
      <c r="D54" s="73">
        <v>0.05</v>
      </c>
      <c r="E54" s="74" t="s">
        <v>94</v>
      </c>
      <c r="F54" s="55" t="s">
        <v>102</v>
      </c>
    </row>
    <row r="55" spans="1:8" ht="24.95" customHeight="1" outlineLevel="1" x14ac:dyDescent="0.2">
      <c r="A55" s="71" t="s">
        <v>96</v>
      </c>
      <c r="B55" s="75">
        <v>107550</v>
      </c>
      <c r="C55" s="75">
        <v>14000.04</v>
      </c>
      <c r="D55" s="128">
        <v>0.16500000000000001</v>
      </c>
      <c r="E55" s="74" t="s">
        <v>94</v>
      </c>
      <c r="F55" s="127" t="s">
        <v>97</v>
      </c>
      <c r="G55" s="51"/>
    </row>
    <row r="56" spans="1:8" outlineLevel="1" x14ac:dyDescent="0.2">
      <c r="A56" s="76"/>
      <c r="B56" s="77">
        <f>SUM(Таблица16334659738710111512213414615817019022385470861021181341501661822541577389105121137153551567583597611625641657673689706723[Оборот])</f>
        <v>194890</v>
      </c>
      <c r="C56" s="77">
        <f>SUM(C54:C55)</f>
        <v>18158.800000000003</v>
      </c>
      <c r="D56" s="78">
        <f>Таблица16334659738710111512213414615817019022385470861021181341501661822541577389105121137153551567583597611625641657673689706723[[#Totals],[Профит ]]/Таблица16334659738710111512213414615817019022385470861021181341501661822541577389105121137153551567583597611625641657673689706723[[#Totals],[Оборот]]</f>
        <v>9.3174611319205722E-2</v>
      </c>
      <c r="E56" s="77"/>
      <c r="F56" s="7"/>
      <c r="G56" s="51"/>
    </row>
    <row r="57" spans="1:8" x14ac:dyDescent="0.2">
      <c r="A57" s="51"/>
      <c r="B57" s="51"/>
      <c r="C57" s="51"/>
      <c r="D57" s="52"/>
      <c r="E57" s="51"/>
      <c r="F57" s="53"/>
      <c r="G57" s="51"/>
    </row>
    <row r="58" spans="1:8" ht="15" x14ac:dyDescent="0.25">
      <c r="A58" s="386" t="s">
        <v>58</v>
      </c>
      <c r="B58" s="386"/>
      <c r="C58" s="386"/>
      <c r="D58" s="386"/>
      <c r="E58" s="79"/>
      <c r="F58" s="79"/>
    </row>
    <row r="59" spans="1:8" ht="15" customHeight="1" outlineLevel="1" x14ac:dyDescent="0.2">
      <c r="A59" s="80">
        <v>45627</v>
      </c>
      <c r="B59" s="81" t="s">
        <v>21</v>
      </c>
      <c r="C59" s="81" t="s">
        <v>59</v>
      </c>
      <c r="D59" s="81" t="s">
        <v>60</v>
      </c>
      <c r="E59" s="81" t="s">
        <v>61</v>
      </c>
      <c r="F59" s="81" t="s">
        <v>62</v>
      </c>
      <c r="G59" s="81" t="s">
        <v>63</v>
      </c>
      <c r="H59" s="81" t="s">
        <v>64</v>
      </c>
    </row>
    <row r="60" spans="1:8" outlineLevel="1" x14ac:dyDescent="0.2">
      <c r="A60" s="82"/>
      <c r="B60" s="83">
        <f>C30</f>
        <v>20000</v>
      </c>
      <c r="C60" s="84">
        <v>0</v>
      </c>
      <c r="D60" s="84">
        <v>0</v>
      </c>
      <c r="E60" s="84">
        <v>0</v>
      </c>
      <c r="F60" s="84">
        <v>51000</v>
      </c>
      <c r="G60" s="84">
        <f>C60+D60+E60*0.5+F60*0.05</f>
        <v>2550</v>
      </c>
      <c r="H60" s="85">
        <f>Таблица9132738193340475461687582899682891101171241311381451521591661731801871945121926334047546168758289961031101171241311381451521591661741821902052131241361481601721922440627894110126142158174190334965819711312914516155957559160361763164766367969571729[[#This Row],[Столбец6]]/Таблица9132738193340475461687582899682891101171241311381451521591661731801871945121926334047546168758289961031101171241311381451521591661741821902052131241361481601721922440627894110126142158174190334965819711312914516155957559160361763164766367969571729[[#This Row],[Столбец1]]</f>
        <v>0.1275</v>
      </c>
    </row>
    <row r="61" spans="1:8" outlineLevel="1" x14ac:dyDescent="0.2">
      <c r="A61" s="40"/>
      <c r="B61" s="40"/>
      <c r="C61" s="40"/>
      <c r="D61" s="40"/>
      <c r="E61" s="40"/>
      <c r="F61" s="40"/>
      <c r="G61" s="40"/>
      <c r="H61" s="86"/>
    </row>
    <row r="62" spans="1:8" outlineLevel="1" x14ac:dyDescent="0.2">
      <c r="A62" s="80">
        <v>45658</v>
      </c>
      <c r="B62" s="81" t="s">
        <v>21</v>
      </c>
      <c r="C62" s="81" t="s">
        <v>59</v>
      </c>
      <c r="D62" s="81" t="s">
        <v>60</v>
      </c>
      <c r="E62" s="81" t="s">
        <v>61</v>
      </c>
      <c r="F62" s="81" t="s">
        <v>62</v>
      </c>
      <c r="G62" s="81" t="s">
        <v>63</v>
      </c>
      <c r="H62" s="81" t="s">
        <v>64</v>
      </c>
    </row>
    <row r="63" spans="1:8" ht="15" customHeight="1" outlineLevel="1" x14ac:dyDescent="0.2">
      <c r="A63" s="87"/>
      <c r="B63" s="84">
        <f>C31</f>
        <v>15000</v>
      </c>
      <c r="C63" s="24">
        <v>0</v>
      </c>
      <c r="D63" s="24">
        <v>0</v>
      </c>
      <c r="E63" s="84">
        <v>0</v>
      </c>
      <c r="F63" s="84">
        <v>0</v>
      </c>
      <c r="G63" s="83">
        <f>D63+C63+E63*0.5+F63*0.05</f>
        <v>0</v>
      </c>
      <c r="H63" s="85">
        <f>Таблица9132738193340475461687582899682891101171241311381451521591661731801871945121926334047546168758289961031101171241311381451521591661741821902052131191251371491611731932541567288104120136152168184274359759110712313915555356958559961362764365967569725[[#This Row],[Столбец6]]/Таблица9132738193340475461687582899682891101171241311381451521591661731801871945121926334047546168758289961031101171241311381451521591661741821902052131191251371491611731932541567288104120136152168184274359759110712313915555356958559961362764365967569725[[#This Row],[Столбец1]]</f>
        <v>0</v>
      </c>
    </row>
    <row r="64" spans="1:8" x14ac:dyDescent="0.2">
      <c r="A64" s="63"/>
      <c r="B64" s="51"/>
      <c r="C64" s="51"/>
      <c r="D64" s="52"/>
      <c r="E64" s="51"/>
    </row>
    <row r="65" spans="1:8" x14ac:dyDescent="0.2">
      <c r="A65" s="51"/>
      <c r="B65" s="51"/>
      <c r="C65" s="51"/>
      <c r="D65" s="52"/>
      <c r="E65" s="51"/>
    </row>
    <row r="66" spans="1:8" ht="15.75" x14ac:dyDescent="0.25">
      <c r="A66" s="88" t="s">
        <v>65</v>
      </c>
      <c r="B66" s="89"/>
    </row>
    <row r="67" spans="1:8" ht="15" x14ac:dyDescent="0.25">
      <c r="A67" s="387" t="s">
        <v>66</v>
      </c>
      <c r="B67" s="387"/>
      <c r="C67" s="387"/>
      <c r="D67" s="387"/>
      <c r="E67" s="90"/>
      <c r="F67" s="90"/>
      <c r="G67" s="13">
        <f>SUM(Таблица421172034414855626976839097839011111812513213914615316016717418118819561320273441485562697683909710411111812513213914615316016717518319820621412313514715917119123395571871031191351511671832642587490106122138154552568584598612626642658674690707724[Сумма, тыс. руб.])*1000</f>
        <v>129000</v>
      </c>
    </row>
    <row r="68" spans="1:8" outlineLevel="1" x14ac:dyDescent="0.2">
      <c r="A68" s="91" t="s">
        <v>67</v>
      </c>
      <c r="B68" s="91" t="s">
        <v>53</v>
      </c>
      <c r="C68" s="91" t="s">
        <v>4</v>
      </c>
      <c r="D68" s="91" t="s">
        <v>68</v>
      </c>
      <c r="E68" s="91" t="s">
        <v>69</v>
      </c>
      <c r="F68" s="91" t="s">
        <v>70</v>
      </c>
      <c r="G68" s="91" t="s">
        <v>71</v>
      </c>
      <c r="H68" s="91" t="s">
        <v>72</v>
      </c>
    </row>
    <row r="69" spans="1:8" ht="24.95" customHeight="1" outlineLevel="1" x14ac:dyDescent="0.2">
      <c r="A69" s="55" t="s">
        <v>164</v>
      </c>
      <c r="B69" s="55" t="s">
        <v>165</v>
      </c>
      <c r="C69" s="93" t="s">
        <v>94</v>
      </c>
      <c r="D69" s="94" t="s">
        <v>73</v>
      </c>
      <c r="E69" s="59" t="s">
        <v>166</v>
      </c>
      <c r="F69" s="101" t="s">
        <v>167</v>
      </c>
      <c r="G69" s="72">
        <v>25</v>
      </c>
      <c r="H69" s="94" t="s">
        <v>168</v>
      </c>
    </row>
    <row r="70" spans="1:8" ht="24.95" customHeight="1" outlineLevel="1" x14ac:dyDescent="0.2">
      <c r="A70" s="147" t="s">
        <v>169</v>
      </c>
      <c r="B70" s="98" t="s">
        <v>170</v>
      </c>
      <c r="C70" s="93" t="s">
        <v>94</v>
      </c>
      <c r="D70" s="94" t="s">
        <v>73</v>
      </c>
      <c r="E70" s="99" t="s">
        <v>171</v>
      </c>
      <c r="F70" s="103" t="s">
        <v>167</v>
      </c>
      <c r="G70" s="100">
        <v>104</v>
      </c>
      <c r="H70" s="94" t="s">
        <v>168</v>
      </c>
    </row>
    <row r="71" spans="1:8" ht="24.95" customHeight="1" outlineLevel="1" x14ac:dyDescent="0.2">
      <c r="A71" s="94"/>
      <c r="B71" s="92"/>
      <c r="C71" s="93"/>
      <c r="D71" s="94"/>
      <c r="E71" s="93"/>
      <c r="F71" s="95"/>
      <c r="G71" s="96"/>
      <c r="H71" s="94"/>
    </row>
    <row r="72" spans="1:8" x14ac:dyDescent="0.2">
      <c r="A72" s="104"/>
      <c r="B72" s="104"/>
      <c r="C72" s="105"/>
      <c r="D72" s="106"/>
      <c r="E72" s="106"/>
      <c r="F72" s="107"/>
      <c r="G72" s="108"/>
      <c r="H72" s="106"/>
    </row>
    <row r="73" spans="1:8" x14ac:dyDescent="0.2">
      <c r="A73" s="104"/>
      <c r="B73" s="104"/>
      <c r="C73" s="105"/>
      <c r="D73" s="106"/>
      <c r="E73" s="106"/>
      <c r="F73" s="107"/>
      <c r="G73" s="108"/>
      <c r="H73" s="106"/>
    </row>
    <row r="74" spans="1:8" ht="15" x14ac:dyDescent="0.25">
      <c r="A74" s="387" t="s">
        <v>74</v>
      </c>
      <c r="B74" s="387"/>
      <c r="C74" s="387"/>
      <c r="D74" s="387"/>
      <c r="G74" s="13">
        <f>SUM(Таблица12513815016217419426425773891051211371531691852844607692108124140156554570586600614628644660676692709726[Сумма])*1000</f>
        <v>324000</v>
      </c>
    </row>
    <row r="75" spans="1:8" outlineLevel="1" x14ac:dyDescent="0.2">
      <c r="A75" s="91" t="s">
        <v>67</v>
      </c>
      <c r="B75" s="91" t="s">
        <v>53</v>
      </c>
      <c r="C75" s="91" t="s">
        <v>4</v>
      </c>
      <c r="D75" s="91" t="s">
        <v>68</v>
      </c>
      <c r="E75" s="91" t="s">
        <v>69</v>
      </c>
      <c r="F75" s="91" t="s">
        <v>70</v>
      </c>
      <c r="G75" s="91" t="s">
        <v>75</v>
      </c>
      <c r="H75" s="91" t="s">
        <v>72</v>
      </c>
    </row>
    <row r="76" spans="1:8" ht="24.95" customHeight="1" outlineLevel="1" x14ac:dyDescent="0.2">
      <c r="A76" s="55" t="s">
        <v>103</v>
      </c>
      <c r="B76" s="55" t="s">
        <v>104</v>
      </c>
      <c r="C76" s="93" t="s">
        <v>94</v>
      </c>
      <c r="D76" s="94" t="s">
        <v>73</v>
      </c>
      <c r="E76" s="94" t="s">
        <v>105</v>
      </c>
      <c r="F76" s="101" t="s">
        <v>106</v>
      </c>
      <c r="G76" s="102">
        <v>108</v>
      </c>
      <c r="H76" s="94" t="s">
        <v>107</v>
      </c>
    </row>
    <row r="77" spans="1:8" ht="24.95" customHeight="1" outlineLevel="1" x14ac:dyDescent="0.2">
      <c r="A77" s="55" t="s">
        <v>115</v>
      </c>
      <c r="B77" s="55" t="s">
        <v>116</v>
      </c>
      <c r="C77" s="93" t="s">
        <v>94</v>
      </c>
      <c r="D77" s="94" t="s">
        <v>73</v>
      </c>
      <c r="E77" s="55" t="s">
        <v>117</v>
      </c>
      <c r="F77" s="101" t="s">
        <v>106</v>
      </c>
      <c r="G77" s="102">
        <v>87</v>
      </c>
      <c r="H77" s="94" t="s">
        <v>107</v>
      </c>
    </row>
    <row r="78" spans="1:8" ht="24.95" customHeight="1" outlineLevel="1" x14ac:dyDescent="0.2">
      <c r="A78" s="147" t="s">
        <v>169</v>
      </c>
      <c r="B78" s="98" t="s">
        <v>170</v>
      </c>
      <c r="C78" s="93" t="s">
        <v>94</v>
      </c>
      <c r="D78" s="94" t="s">
        <v>73</v>
      </c>
      <c r="E78" s="99" t="s">
        <v>171</v>
      </c>
      <c r="F78" s="103" t="s">
        <v>106</v>
      </c>
      <c r="G78" s="100">
        <v>104</v>
      </c>
      <c r="H78" s="94" t="s">
        <v>168</v>
      </c>
    </row>
    <row r="79" spans="1:8" ht="24.95" customHeight="1" outlineLevel="1" x14ac:dyDescent="0.2">
      <c r="A79" s="55" t="s">
        <v>164</v>
      </c>
      <c r="B79" s="55" t="s">
        <v>165</v>
      </c>
      <c r="C79" s="93" t="s">
        <v>94</v>
      </c>
      <c r="D79" s="94" t="s">
        <v>73</v>
      </c>
      <c r="E79" s="59" t="s">
        <v>166</v>
      </c>
      <c r="F79" s="101" t="s">
        <v>167</v>
      </c>
      <c r="G79" s="72">
        <v>25</v>
      </c>
      <c r="H79" s="94" t="s">
        <v>168</v>
      </c>
    </row>
    <row r="80" spans="1:8" ht="15" customHeight="1" x14ac:dyDescent="0.2"/>
    <row r="81" spans="1:7" ht="15" customHeight="1" x14ac:dyDescent="0.2"/>
    <row r="82" spans="1:7" ht="15.75" x14ac:dyDescent="0.25">
      <c r="A82" s="1" t="s">
        <v>76</v>
      </c>
    </row>
    <row r="83" spans="1:7" ht="15" x14ac:dyDescent="0.25">
      <c r="A83" s="386" t="s">
        <v>77</v>
      </c>
      <c r="B83" s="386"/>
      <c r="C83" s="386"/>
      <c r="D83" s="386"/>
      <c r="E83" s="110"/>
      <c r="F83" s="111"/>
    </row>
    <row r="84" spans="1:7" s="104" customFormat="1" outlineLevel="1" x14ac:dyDescent="0.25">
      <c r="A84" s="112" t="s">
        <v>78</v>
      </c>
      <c r="B84" s="112" t="s">
        <v>53</v>
      </c>
      <c r="C84" s="91" t="s">
        <v>4</v>
      </c>
      <c r="D84" s="112" t="s">
        <v>79</v>
      </c>
      <c r="E84" s="91" t="s">
        <v>80</v>
      </c>
      <c r="F84" s="112" t="s">
        <v>81</v>
      </c>
      <c r="G84" s="112" t="s">
        <v>82</v>
      </c>
    </row>
    <row r="85" spans="1:7" ht="24.95" customHeight="1" outlineLevel="1" x14ac:dyDescent="0.2">
      <c r="A85" s="113" t="s">
        <v>24</v>
      </c>
      <c r="B85" s="114"/>
      <c r="C85" s="93"/>
      <c r="D85" s="113"/>
      <c r="E85" s="55"/>
      <c r="F85" s="109"/>
      <c r="G85" s="115"/>
    </row>
    <row r="86" spans="1:7" ht="24.95" customHeight="1" outlineLevel="1" x14ac:dyDescent="0.2">
      <c r="A86" s="113" t="s">
        <v>24</v>
      </c>
      <c r="B86" s="116"/>
      <c r="C86" s="93"/>
      <c r="D86" s="113"/>
      <c r="E86" s="55"/>
      <c r="F86" s="55"/>
      <c r="G86" s="117"/>
    </row>
    <row r="87" spans="1:7" ht="24.95" customHeight="1" outlineLevel="1" x14ac:dyDescent="0.2">
      <c r="A87" s="113" t="s">
        <v>24</v>
      </c>
      <c r="B87" s="114"/>
      <c r="C87" s="93"/>
      <c r="D87" s="113"/>
      <c r="E87" s="74"/>
      <c r="F87" s="55"/>
      <c r="G87" s="117"/>
    </row>
    <row r="88" spans="1:7" x14ac:dyDescent="0.2">
      <c r="B88" s="118"/>
    </row>
    <row r="89" spans="1:7" x14ac:dyDescent="0.2">
      <c r="A89" s="118"/>
      <c r="B89" s="118"/>
    </row>
    <row r="90" spans="1:7" ht="15" x14ac:dyDescent="0.25">
      <c r="A90" s="387" t="s">
        <v>83</v>
      </c>
      <c r="B90" s="387"/>
      <c r="C90" s="387"/>
      <c r="D90" s="387"/>
    </row>
    <row r="91" spans="1:7" s="104" customFormat="1" ht="12" customHeight="1" outlineLevel="1" x14ac:dyDescent="0.25">
      <c r="A91" s="112" t="s">
        <v>78</v>
      </c>
      <c r="B91" s="112" t="s">
        <v>53</v>
      </c>
      <c r="C91" s="91" t="s">
        <v>4</v>
      </c>
      <c r="D91" s="112" t="s">
        <v>79</v>
      </c>
      <c r="E91" s="91" t="s">
        <v>80</v>
      </c>
      <c r="F91" s="112" t="s">
        <v>81</v>
      </c>
      <c r="G91" s="112" t="s">
        <v>82</v>
      </c>
    </row>
    <row r="92" spans="1:7" ht="24" customHeight="1" outlineLevel="1" x14ac:dyDescent="0.2">
      <c r="A92" s="116"/>
      <c r="B92" s="116"/>
      <c r="C92" s="119"/>
      <c r="D92" s="129" t="s">
        <v>108</v>
      </c>
      <c r="E92" s="55"/>
      <c r="F92" s="109"/>
      <c r="G92" s="109"/>
    </row>
    <row r="93" spans="1:7" ht="24" customHeight="1" outlineLevel="1" x14ac:dyDescent="0.2">
      <c r="A93" s="139">
        <v>45601</v>
      </c>
      <c r="B93" s="114" t="s">
        <v>147</v>
      </c>
      <c r="C93" s="93" t="s">
        <v>94</v>
      </c>
      <c r="D93" s="145" t="s">
        <v>146</v>
      </c>
      <c r="E93" s="138"/>
      <c r="F93" s="55" t="s">
        <v>109</v>
      </c>
      <c r="G93" s="55" t="s">
        <v>148</v>
      </c>
    </row>
    <row r="94" spans="1:7" ht="24" customHeight="1" outlineLevel="1" x14ac:dyDescent="0.2">
      <c r="A94" s="116">
        <v>45602</v>
      </c>
      <c r="B94" s="116" t="s">
        <v>159</v>
      </c>
      <c r="C94" s="119" t="s">
        <v>94</v>
      </c>
      <c r="D94" s="144" t="s">
        <v>162</v>
      </c>
      <c r="E94" s="109"/>
      <c r="F94" s="109" t="s">
        <v>109</v>
      </c>
      <c r="G94" s="109" t="s">
        <v>161</v>
      </c>
    </row>
    <row r="95" spans="1:7" ht="24" customHeight="1" outlineLevel="1" x14ac:dyDescent="0.2">
      <c r="A95" s="116">
        <v>45608</v>
      </c>
      <c r="B95" s="116" t="s">
        <v>130</v>
      </c>
      <c r="C95" s="119" t="s">
        <v>94</v>
      </c>
      <c r="D95" s="143" t="s">
        <v>132</v>
      </c>
      <c r="E95" s="109"/>
      <c r="F95" s="109" t="s">
        <v>109</v>
      </c>
      <c r="G95" s="109" t="s">
        <v>131</v>
      </c>
    </row>
    <row r="96" spans="1:7" ht="24" customHeight="1" outlineLevel="1" x14ac:dyDescent="0.2">
      <c r="A96" s="116">
        <v>45608</v>
      </c>
      <c r="B96" s="116" t="s">
        <v>136</v>
      </c>
      <c r="C96" s="119" t="s">
        <v>94</v>
      </c>
      <c r="D96" s="143" t="s">
        <v>137</v>
      </c>
      <c r="E96" s="109"/>
      <c r="F96" s="109" t="s">
        <v>109</v>
      </c>
      <c r="G96" s="109" t="s">
        <v>138</v>
      </c>
    </row>
    <row r="97" spans="1:7" ht="24" customHeight="1" outlineLevel="1" x14ac:dyDescent="0.2">
      <c r="A97" s="116">
        <v>45608</v>
      </c>
      <c r="B97" s="116" t="s">
        <v>142</v>
      </c>
      <c r="C97" s="119" t="s">
        <v>94</v>
      </c>
      <c r="D97" s="143" t="s">
        <v>144</v>
      </c>
      <c r="E97" s="109"/>
      <c r="F97" s="109" t="s">
        <v>109</v>
      </c>
      <c r="G97" s="109" t="s">
        <v>143</v>
      </c>
    </row>
    <row r="98" spans="1:7" ht="24" customHeight="1" outlineLevel="1" x14ac:dyDescent="0.2">
      <c r="A98" s="116">
        <v>45609</v>
      </c>
      <c r="B98" s="116" t="s">
        <v>124</v>
      </c>
      <c r="C98" s="119" t="s">
        <v>94</v>
      </c>
      <c r="D98" s="143" t="s">
        <v>125</v>
      </c>
      <c r="E98" s="109"/>
      <c r="F98" s="109" t="s">
        <v>109</v>
      </c>
      <c r="G98" s="109" t="s">
        <v>126</v>
      </c>
    </row>
    <row r="99" spans="1:7" ht="24" customHeight="1" outlineLevel="1" x14ac:dyDescent="0.2">
      <c r="A99" s="116">
        <v>45609</v>
      </c>
      <c r="B99" s="116" t="s">
        <v>139</v>
      </c>
      <c r="C99" s="119" t="s">
        <v>94</v>
      </c>
      <c r="D99" s="143" t="s">
        <v>140</v>
      </c>
      <c r="E99" s="109"/>
      <c r="F99" s="109" t="s">
        <v>109</v>
      </c>
      <c r="G99" s="109" t="s">
        <v>141</v>
      </c>
    </row>
    <row r="100" spans="1:7" ht="24" customHeight="1" outlineLevel="1" x14ac:dyDescent="0.2">
      <c r="A100" s="116">
        <v>45609</v>
      </c>
      <c r="B100" s="116" t="s">
        <v>133</v>
      </c>
      <c r="C100" s="119" t="s">
        <v>94</v>
      </c>
      <c r="D100" s="143" t="s">
        <v>134</v>
      </c>
      <c r="E100" s="109"/>
      <c r="F100" s="109" t="s">
        <v>109</v>
      </c>
      <c r="G100" s="109" t="s">
        <v>135</v>
      </c>
    </row>
    <row r="101" spans="1:7" ht="24" customHeight="1" outlineLevel="1" x14ac:dyDescent="0.2">
      <c r="A101" s="116">
        <v>45611</v>
      </c>
      <c r="B101" s="116" t="s">
        <v>127</v>
      </c>
      <c r="C101" s="119" t="s">
        <v>94</v>
      </c>
      <c r="D101" s="143" t="s">
        <v>128</v>
      </c>
      <c r="E101" s="109"/>
      <c r="F101" s="109" t="s">
        <v>109</v>
      </c>
      <c r="G101" s="109" t="s">
        <v>129</v>
      </c>
    </row>
    <row r="102" spans="1:7" ht="24" customHeight="1" outlineLevel="1" x14ac:dyDescent="0.2">
      <c r="A102" s="116">
        <v>45615</v>
      </c>
      <c r="B102" s="116" t="s">
        <v>151</v>
      </c>
      <c r="C102" s="119" t="s">
        <v>94</v>
      </c>
      <c r="D102" s="144" t="s">
        <v>149</v>
      </c>
      <c r="E102" s="109"/>
      <c r="F102" s="109" t="s">
        <v>109</v>
      </c>
      <c r="G102" s="109" t="s">
        <v>150</v>
      </c>
    </row>
    <row r="103" spans="1:7" ht="24" customHeight="1" outlineLevel="1" x14ac:dyDescent="0.2">
      <c r="A103" s="116">
        <v>45615</v>
      </c>
      <c r="B103" s="116" t="s">
        <v>122</v>
      </c>
      <c r="C103" s="119" t="s">
        <v>94</v>
      </c>
      <c r="D103" s="143" t="s">
        <v>123</v>
      </c>
      <c r="E103" s="109"/>
      <c r="F103" s="109" t="s">
        <v>109</v>
      </c>
      <c r="G103" s="109" t="s">
        <v>121</v>
      </c>
    </row>
    <row r="104" spans="1:7" ht="24" customHeight="1" outlineLevel="1" x14ac:dyDescent="0.2">
      <c r="A104" s="116">
        <v>45616</v>
      </c>
      <c r="B104" s="116" t="s">
        <v>152</v>
      </c>
      <c r="C104" s="119" t="s">
        <v>94</v>
      </c>
      <c r="D104" s="144" t="s">
        <v>153</v>
      </c>
      <c r="E104" s="109"/>
      <c r="F104" s="109" t="s">
        <v>109</v>
      </c>
      <c r="G104" s="109" t="s">
        <v>154</v>
      </c>
    </row>
    <row r="105" spans="1:7" ht="24" customHeight="1" outlineLevel="1" x14ac:dyDescent="0.2">
      <c r="A105" s="116">
        <v>45616</v>
      </c>
      <c r="B105" s="116" t="s">
        <v>155</v>
      </c>
      <c r="C105" s="119" t="s">
        <v>94</v>
      </c>
      <c r="D105" s="143" t="s">
        <v>156</v>
      </c>
      <c r="E105" s="109"/>
      <c r="F105" s="109" t="s">
        <v>109</v>
      </c>
      <c r="G105" s="109" t="s">
        <v>157</v>
      </c>
    </row>
    <row r="108" spans="1:7" s="104" customFormat="1" ht="15.75" x14ac:dyDescent="0.25">
      <c r="A108" s="1" t="s">
        <v>84</v>
      </c>
      <c r="B108" s="2"/>
      <c r="C108" s="2"/>
      <c r="D108" s="2"/>
      <c r="E108" s="2"/>
      <c r="F108" s="2"/>
      <c r="G108" s="2"/>
    </row>
    <row r="109" spans="1:7" ht="15" x14ac:dyDescent="0.25">
      <c r="A109" s="386" t="s">
        <v>85</v>
      </c>
      <c r="B109" s="386"/>
      <c r="C109" s="386"/>
      <c r="D109" s="386"/>
    </row>
    <row r="110" spans="1:7" s="17" customFormat="1" ht="25.5" outlineLevel="1" x14ac:dyDescent="0.2">
      <c r="A110" s="120" t="s">
        <v>81</v>
      </c>
      <c r="B110" s="120" t="s">
        <v>86</v>
      </c>
      <c r="C110" s="120" t="s">
        <v>87</v>
      </c>
      <c r="D110" s="120" t="s">
        <v>88</v>
      </c>
      <c r="E110" s="120" t="s">
        <v>89</v>
      </c>
      <c r="F110" s="120" t="s">
        <v>4</v>
      </c>
      <c r="G110" s="120" t="s">
        <v>90</v>
      </c>
    </row>
    <row r="111" spans="1:7" ht="60" customHeight="1" outlineLevel="1" x14ac:dyDescent="0.2">
      <c r="A111" s="94"/>
      <c r="B111" s="94" t="s">
        <v>98</v>
      </c>
      <c r="C111" s="133" t="s">
        <v>91</v>
      </c>
      <c r="D111" s="72" t="s">
        <v>114</v>
      </c>
      <c r="E111" s="132" t="s">
        <v>110</v>
      </c>
      <c r="F111" s="74" t="s">
        <v>94</v>
      </c>
      <c r="G111" s="146">
        <v>0</v>
      </c>
    </row>
    <row r="112" spans="1:7" ht="60" customHeight="1" outlineLevel="1" x14ac:dyDescent="0.2">
      <c r="A112" s="130"/>
      <c r="B112" s="148" t="s">
        <v>99</v>
      </c>
      <c r="C112" s="142" t="s">
        <v>160</v>
      </c>
      <c r="D112" s="141" t="s">
        <v>163</v>
      </c>
      <c r="E112" s="121" t="s">
        <v>100</v>
      </c>
      <c r="F112" s="74" t="s">
        <v>94</v>
      </c>
      <c r="G112" s="149">
        <f>8000*0.93</f>
        <v>7440</v>
      </c>
    </row>
    <row r="113" spans="1:15" ht="60" customHeight="1" outlineLevel="1" x14ac:dyDescent="0.2">
      <c r="A113" s="94"/>
      <c r="B113" s="94" t="s">
        <v>112</v>
      </c>
      <c r="C113" s="133" t="s">
        <v>91</v>
      </c>
      <c r="D113" s="94" t="s">
        <v>113</v>
      </c>
      <c r="E113" s="132" t="s">
        <v>111</v>
      </c>
      <c r="F113" s="74" t="s">
        <v>94</v>
      </c>
      <c r="G113" s="146">
        <v>0</v>
      </c>
    </row>
    <row r="114" spans="1:15" x14ac:dyDescent="0.2">
      <c r="B114" s="122"/>
      <c r="C114" s="123"/>
      <c r="F114" s="122"/>
    </row>
    <row r="115" spans="1:15" x14ac:dyDescent="0.2">
      <c r="A115" s="122"/>
      <c r="B115" s="122"/>
      <c r="C115" s="123"/>
      <c r="F115" s="122"/>
    </row>
    <row r="116" spans="1:15" ht="15" x14ac:dyDescent="0.25">
      <c r="A116" s="386" t="s">
        <v>92</v>
      </c>
      <c r="B116" s="386"/>
      <c r="C116" s="386"/>
      <c r="D116" s="386"/>
    </row>
    <row r="117" spans="1:15" s="124" customFormat="1" ht="25.5" outlineLevel="1" x14ac:dyDescent="0.2">
      <c r="A117" s="120" t="s">
        <v>81</v>
      </c>
      <c r="B117" s="120" t="s">
        <v>86</v>
      </c>
      <c r="C117" s="120" t="s">
        <v>87</v>
      </c>
      <c r="D117" s="120" t="s">
        <v>88</v>
      </c>
      <c r="E117" s="120" t="s">
        <v>89</v>
      </c>
      <c r="F117" s="120" t="s">
        <v>4</v>
      </c>
      <c r="G117" s="120" t="s">
        <v>90</v>
      </c>
      <c r="H117" s="2"/>
      <c r="I117" s="2"/>
      <c r="J117" s="2"/>
      <c r="K117" s="2"/>
      <c r="L117" s="2"/>
      <c r="M117" s="2"/>
      <c r="N117" s="2"/>
      <c r="O117" s="2"/>
    </row>
    <row r="118" spans="1:15" ht="60" customHeight="1" outlineLevel="1" x14ac:dyDescent="0.25">
      <c r="A118" s="94"/>
      <c r="B118" s="94"/>
      <c r="C118" s="125"/>
      <c r="D118"/>
      <c r="E118" s="121"/>
      <c r="F118" s="74" t="s">
        <v>94</v>
      </c>
      <c r="G118" s="9"/>
    </row>
    <row r="119" spans="1:15" ht="60" customHeight="1" outlineLevel="1" x14ac:dyDescent="0.25">
      <c r="A119" s="94"/>
      <c r="B119" s="94"/>
      <c r="C119" s="125"/>
      <c r="D119"/>
      <c r="E119" s="121"/>
      <c r="F119" s="74" t="s">
        <v>94</v>
      </c>
      <c r="G119" s="126"/>
    </row>
  </sheetData>
  <mergeCells count="14">
    <mergeCell ref="A109:D109"/>
    <mergeCell ref="A116:D116"/>
    <mergeCell ref="A52:D52"/>
    <mergeCell ref="A58:D58"/>
    <mergeCell ref="A67:D67"/>
    <mergeCell ref="A74:D74"/>
    <mergeCell ref="A83:D83"/>
    <mergeCell ref="A90:D90"/>
    <mergeCell ref="A44:D44"/>
    <mergeCell ref="A5:D5"/>
    <mergeCell ref="A10:D10"/>
    <mergeCell ref="A15:D15"/>
    <mergeCell ref="A20:D20"/>
    <mergeCell ref="A38:D38"/>
  </mergeCells>
  <conditionalFormatting sqref="G119 G113">
    <cfRule type="cellIs" dxfId="690" priority="25" operator="equal">
      <formula>"ДА"</formula>
    </cfRule>
    <cfRule type="cellIs" dxfId="689" priority="26" operator="equal">
      <formula>"НЕТ"</formula>
    </cfRule>
    <cfRule type="cellIs" dxfId="688" priority="27" operator="equal">
      <formula>"Нет"</formula>
    </cfRule>
    <cfRule type="cellIs" dxfId="687" priority="28" operator="equal">
      <formula>"нет"</formula>
    </cfRule>
    <cfRule type="cellIs" dxfId="686" priority="29" operator="equal">
      <formula>"ДА"</formula>
    </cfRule>
    <cfRule type="containsText" dxfId="685" priority="30" operator="containsText" text="Да">
      <formula>NOT(ISERROR(SEARCH("Да",G113)))</formula>
    </cfRule>
  </conditionalFormatting>
  <conditionalFormatting sqref="E7 E12">
    <cfRule type="cellIs" dxfId="684" priority="37" operator="lessThan">
      <formula>0</formula>
    </cfRule>
    <cfRule type="cellIs" dxfId="683" priority="38" operator="greaterThan">
      <formula>0</formula>
    </cfRule>
  </conditionalFormatting>
  <conditionalFormatting sqref="D7 F7 D12 E17">
    <cfRule type="cellIs" dxfId="682" priority="35" operator="lessThan">
      <formula>0</formula>
    </cfRule>
    <cfRule type="cellIs" dxfId="681" priority="36" operator="greaterThan">
      <formula>0</formula>
    </cfRule>
  </conditionalFormatting>
  <conditionalFormatting sqref="H60">
    <cfRule type="cellIs" dxfId="680" priority="33" operator="lessThan">
      <formula>1</formula>
    </cfRule>
    <cfRule type="cellIs" dxfId="679" priority="34" operator="greaterThan">
      <formula>1</formula>
    </cfRule>
  </conditionalFormatting>
  <conditionalFormatting sqref="H63">
    <cfRule type="cellIs" dxfId="678" priority="31" operator="lessThan">
      <formula>1</formula>
    </cfRule>
    <cfRule type="cellIs" dxfId="677" priority="32" operator="greaterThan">
      <formula>1</formula>
    </cfRule>
  </conditionalFormatting>
  <conditionalFormatting sqref="G118">
    <cfRule type="cellIs" dxfId="676" priority="19" operator="equal">
      <formula>"ДА"</formula>
    </cfRule>
    <cfRule type="cellIs" dxfId="675" priority="20" operator="equal">
      <formula>"НЕТ"</formula>
    </cfRule>
    <cfRule type="cellIs" dxfId="674" priority="21" operator="equal">
      <formula>"Нет"</formula>
    </cfRule>
    <cfRule type="cellIs" dxfId="673" priority="22" operator="equal">
      <formula>"нет"</formula>
    </cfRule>
    <cfRule type="cellIs" dxfId="672" priority="23" operator="equal">
      <formula>"ДА"</formula>
    </cfRule>
    <cfRule type="containsText" dxfId="671" priority="24" operator="containsText" text="Да">
      <formula>NOT(ISERROR(SEARCH("Да",G118)))</formula>
    </cfRule>
  </conditionalFormatting>
  <conditionalFormatting sqref="G111:G112">
    <cfRule type="cellIs" dxfId="670" priority="13" operator="equal">
      <formula>"ДА"</formula>
    </cfRule>
    <cfRule type="cellIs" dxfId="669" priority="14" operator="equal">
      <formula>"НЕТ"</formula>
    </cfRule>
    <cfRule type="cellIs" dxfId="668" priority="15" operator="equal">
      <formula>"Нет"</formula>
    </cfRule>
    <cfRule type="cellIs" dxfId="667" priority="16" operator="equal">
      <formula>"нет"</formula>
    </cfRule>
    <cfRule type="cellIs" dxfId="666" priority="17" operator="equal">
      <formula>"ДА"</formula>
    </cfRule>
    <cfRule type="containsText" dxfId="665" priority="18" operator="containsText" text="Да">
      <formula>NOT(ISERROR(SEARCH("Да",G111)))</formula>
    </cfRule>
  </conditionalFormatting>
  <pageMargins left="0.7" right="0.7" top="0.75" bottom="0.75" header="0.3" footer="0.3"/>
  <pageSetup paperSize="9" orientation="portrait" r:id="rId1"/>
  <legacy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464AC-B226-432A-A120-78F622B68E53}">
  <dimension ref="A1:O130"/>
  <sheetViews>
    <sheetView topLeftCell="A4" zoomScale="85" zoomScaleNormal="85" workbookViewId="0">
      <selection activeCell="B29" sqref="B29:B30"/>
    </sheetView>
  </sheetViews>
  <sheetFormatPr defaultColWidth="9.140625" defaultRowHeight="12.75" outlineLevelRow="1" x14ac:dyDescent="0.2"/>
  <cols>
    <col min="1" max="1" width="30.28515625" style="2" customWidth="1"/>
    <col min="2" max="2" width="28.85546875" style="2" customWidth="1"/>
    <col min="3" max="3" width="31.5703125" style="2" bestFit="1" customWidth="1"/>
    <col min="4" max="4" width="30.5703125" style="2" customWidth="1"/>
    <col min="5" max="5" width="34.85546875" style="2" customWidth="1"/>
    <col min="6" max="6" width="27.140625" style="2" customWidth="1"/>
    <col min="7" max="7" width="27.42578125" style="2" customWidth="1"/>
    <col min="8" max="8" width="36" style="2" customWidth="1"/>
    <col min="9" max="16384" width="9.140625" style="2"/>
  </cols>
  <sheetData>
    <row r="1" spans="1:7" ht="24.75" customHeight="1" x14ac:dyDescent="0.25">
      <c r="A1" s="134" t="s">
        <v>94</v>
      </c>
    </row>
    <row r="2" spans="1:7" ht="15.75" x14ac:dyDescent="0.25">
      <c r="A2" s="134" t="s">
        <v>175</v>
      </c>
    </row>
    <row r="3" spans="1:7" x14ac:dyDescent="0.2">
      <c r="A3" s="3"/>
    </row>
    <row r="4" spans="1:7" ht="15.75" x14ac:dyDescent="0.25">
      <c r="A4" s="1" t="s">
        <v>0</v>
      </c>
      <c r="B4" s="2" t="s">
        <v>1</v>
      </c>
      <c r="C4" s="2" t="s">
        <v>2</v>
      </c>
    </row>
    <row r="5" spans="1:7" ht="15" x14ac:dyDescent="0.25">
      <c r="A5" s="386" t="s">
        <v>3</v>
      </c>
      <c r="B5" s="386"/>
      <c r="C5" s="386"/>
      <c r="D5" s="386"/>
      <c r="F5" s="4"/>
    </row>
    <row r="6" spans="1:7" s="6" customFormat="1" outlineLevel="1" x14ac:dyDescent="0.2">
      <c r="A6" s="5" t="s">
        <v>4</v>
      </c>
      <c r="B6" s="5" t="s">
        <v>5</v>
      </c>
      <c r="C6" s="5" t="s">
        <v>6</v>
      </c>
      <c r="D6" s="5" t="s">
        <v>7</v>
      </c>
      <c r="E6" s="5" t="s">
        <v>8</v>
      </c>
      <c r="F6" s="5" t="s">
        <v>10</v>
      </c>
      <c r="G6" s="186"/>
    </row>
    <row r="7" spans="1:7" outlineLevel="1" x14ac:dyDescent="0.2">
      <c r="A7" s="7" t="s">
        <v>94</v>
      </c>
      <c r="B7" s="8">
        <v>20000</v>
      </c>
      <c r="C7" s="9">
        <f>B30</f>
        <v>15021.5</v>
      </c>
      <c r="D7" s="10">
        <f>Таблица1102916303744515865722330374451586572798693100922354862769010410712713915116318315294763799511112714315917518345066829811413014654556157758960561963565166768370071716[Факт, руб.]/Таблица1102916303744515865722330374451586572798693100922354862769010410712713915116318315294763799511112714315917518345066829811413014654556157758960561963565166768370071716[План, руб.]-100%</f>
        <v>-0.24892499999999995</v>
      </c>
      <c r="E7" s="11">
        <f>Таблица1102916303744515865722330374451586572798693100922354862769010410712713915116318315294763799511112714315917518345066829811413014654556157758960561963565166768370071716[Факт, руб.]-Таблица1102916303744515865722330374451586572798693100922354862769010410712713915116318315294763799511112714315917518345066829811413014654556157758960561963565166768370071716[План, руб.]</f>
        <v>-4978.5</v>
      </c>
      <c r="F7" s="9">
        <f>B29</f>
        <v>18158.8</v>
      </c>
      <c r="G7" s="185"/>
    </row>
    <row r="8" spans="1:7" x14ac:dyDescent="0.2">
      <c r="A8" s="12"/>
      <c r="B8" s="13"/>
      <c r="C8" s="13"/>
      <c r="D8" s="14"/>
      <c r="F8" s="15"/>
      <c r="G8" s="16"/>
    </row>
    <row r="9" spans="1:7" ht="15" customHeight="1" x14ac:dyDescent="0.2">
      <c r="A9" s="12"/>
      <c r="B9" s="13"/>
      <c r="C9" s="13"/>
      <c r="D9" s="14"/>
      <c r="F9" s="17"/>
    </row>
    <row r="10" spans="1:7" ht="15" x14ac:dyDescent="0.25">
      <c r="A10" s="386" t="s">
        <v>11</v>
      </c>
      <c r="B10" s="386"/>
      <c r="C10" s="386"/>
      <c r="D10" s="386"/>
      <c r="F10" s="17"/>
    </row>
    <row r="11" spans="1:7" s="6" customFormat="1" outlineLevel="1" x14ac:dyDescent="0.2">
      <c r="A11" s="18" t="s">
        <v>4</v>
      </c>
      <c r="B11" s="19" t="s">
        <v>12</v>
      </c>
      <c r="C11" s="19" t="s">
        <v>13</v>
      </c>
      <c r="D11" s="19" t="s">
        <v>7</v>
      </c>
      <c r="E11" s="19" t="s">
        <v>8</v>
      </c>
      <c r="F11" s="20"/>
    </row>
    <row r="12" spans="1:7" outlineLevel="1" x14ac:dyDescent="0.2">
      <c r="A12" s="7" t="s">
        <v>94</v>
      </c>
      <c r="B12" s="8">
        <f>SUM(C22:C30)</f>
        <v>30000</v>
      </c>
      <c r="C12" s="8">
        <f>B34</f>
        <v>33180.300000000003</v>
      </c>
      <c r="D12" s="21">
        <f>C12/B12-100%</f>
        <v>0.10601000000000016</v>
      </c>
      <c r="E12" s="8">
        <f>C12-B12</f>
        <v>3180.3000000000029</v>
      </c>
      <c r="F12" s="17"/>
      <c r="G12" s="22"/>
    </row>
    <row r="13" spans="1:7" x14ac:dyDescent="0.2">
      <c r="A13" s="12"/>
      <c r="B13" s="13"/>
      <c r="C13" s="13"/>
      <c r="D13" s="14"/>
      <c r="F13" s="17"/>
    </row>
    <row r="14" spans="1:7" x14ac:dyDescent="0.2">
      <c r="A14" s="13"/>
      <c r="B14" s="13"/>
      <c r="C14" s="13"/>
      <c r="D14" s="14"/>
      <c r="F14" s="17"/>
      <c r="G14" s="22"/>
    </row>
    <row r="15" spans="1:7" ht="15" x14ac:dyDescent="0.25">
      <c r="A15" s="387" t="s">
        <v>393</v>
      </c>
      <c r="B15" s="387"/>
      <c r="C15" s="387"/>
      <c r="D15" s="387"/>
      <c r="F15" s="17"/>
    </row>
    <row r="16" spans="1:7" s="6" customFormat="1" outlineLevel="1" x14ac:dyDescent="0.2">
      <c r="A16" s="5" t="s">
        <v>4</v>
      </c>
      <c r="B16" s="5" t="s">
        <v>15</v>
      </c>
      <c r="C16" s="5" t="s">
        <v>16</v>
      </c>
      <c r="D16" s="5" t="s">
        <v>93</v>
      </c>
      <c r="E16" s="5" t="s">
        <v>17</v>
      </c>
      <c r="F16" s="23"/>
    </row>
    <row r="17" spans="1:5" outlineLevel="1" x14ac:dyDescent="0.2">
      <c r="A17" s="7" t="s">
        <v>94</v>
      </c>
      <c r="B17" s="8">
        <v>0</v>
      </c>
      <c r="C17" s="24">
        <v>0</v>
      </c>
      <c r="D17" s="24">
        <f>B34</f>
        <v>33180.300000000003</v>
      </c>
      <c r="E17" s="21" t="e">
        <f>Таблица21130173138455259667324313845525966738087941011023364963779110510912814015216418416324864809611212814416017619355167839911513114754656257859060662063665266868470171817[Профит ФГ 24-25]/Таблица21130173138455259667324313845525966738087941011023364963779110510912814015216418416324864809611212814416017619355167839911513114754656257859060662063665266868470171817[Профит ФГ 23-24]</f>
        <v>#DIV/0!</v>
      </c>
    </row>
    <row r="20" spans="1:5" ht="15" x14ac:dyDescent="0.25">
      <c r="A20" s="386" t="s">
        <v>18</v>
      </c>
      <c r="B20" s="386"/>
      <c r="C20" s="386"/>
      <c r="D20" s="386"/>
    </row>
    <row r="21" spans="1:5" outlineLevel="1" x14ac:dyDescent="0.2">
      <c r="A21" s="25" t="s">
        <v>19</v>
      </c>
      <c r="B21" s="26" t="s">
        <v>20</v>
      </c>
      <c r="C21" s="26" t="s">
        <v>21</v>
      </c>
      <c r="D21" s="25" t="s">
        <v>22</v>
      </c>
    </row>
    <row r="22" spans="1:5" outlineLevel="1" x14ac:dyDescent="0.2">
      <c r="A22" s="27" t="s">
        <v>23</v>
      </c>
      <c r="B22" s="28">
        <v>0</v>
      </c>
      <c r="C22" s="31">
        <v>0</v>
      </c>
      <c r="D22" s="29">
        <v>0</v>
      </c>
    </row>
    <row r="23" spans="1:5" outlineLevel="1" x14ac:dyDescent="0.2">
      <c r="A23" s="30" t="s">
        <v>25</v>
      </c>
      <c r="B23" s="31">
        <v>0</v>
      </c>
      <c r="C23" s="31">
        <v>0</v>
      </c>
      <c r="D23" s="32">
        <v>0</v>
      </c>
    </row>
    <row r="24" spans="1:5" outlineLevel="1" x14ac:dyDescent="0.2">
      <c r="A24" s="27" t="s">
        <v>26</v>
      </c>
      <c r="B24" s="31">
        <v>0</v>
      </c>
      <c r="C24" s="31">
        <v>0</v>
      </c>
      <c r="D24" s="29">
        <v>0</v>
      </c>
    </row>
    <row r="25" spans="1:5" outlineLevel="1" x14ac:dyDescent="0.2">
      <c r="A25" s="30" t="s">
        <v>27</v>
      </c>
      <c r="B25" s="31">
        <v>0</v>
      </c>
      <c r="C25" s="31">
        <v>0</v>
      </c>
      <c r="D25" s="32">
        <v>0</v>
      </c>
    </row>
    <row r="26" spans="1:5" outlineLevel="1" x14ac:dyDescent="0.2">
      <c r="A26" s="27" t="s">
        <v>28</v>
      </c>
      <c r="B26" s="31">
        <v>0</v>
      </c>
      <c r="C26" s="31">
        <v>0</v>
      </c>
      <c r="D26" s="29">
        <v>0</v>
      </c>
    </row>
    <row r="27" spans="1:5" outlineLevel="1" x14ac:dyDescent="0.2">
      <c r="A27" s="30" t="s">
        <v>29</v>
      </c>
      <c r="B27" s="31">
        <v>0</v>
      </c>
      <c r="C27" s="31">
        <v>0</v>
      </c>
      <c r="D27" s="32">
        <v>0</v>
      </c>
    </row>
    <row r="28" spans="1:5" outlineLevel="1" x14ac:dyDescent="0.2">
      <c r="A28" s="27" t="s">
        <v>30</v>
      </c>
      <c r="B28" s="31">
        <v>0</v>
      </c>
      <c r="C28" s="31">
        <v>0</v>
      </c>
      <c r="D28" s="29">
        <v>0</v>
      </c>
    </row>
    <row r="29" spans="1:5" outlineLevel="1" x14ac:dyDescent="0.2">
      <c r="A29" s="30" t="s">
        <v>31</v>
      </c>
      <c r="B29" s="135">
        <v>18158.8</v>
      </c>
      <c r="C29" s="31">
        <v>10000</v>
      </c>
      <c r="D29" s="32">
        <f>B29/C29</f>
        <v>1.8158799999999999</v>
      </c>
    </row>
    <row r="30" spans="1:5" outlineLevel="1" x14ac:dyDescent="0.2">
      <c r="A30" s="27" t="s">
        <v>32</v>
      </c>
      <c r="B30" s="31">
        <v>15021.5</v>
      </c>
      <c r="C30" s="31">
        <v>20000</v>
      </c>
      <c r="D30" s="32">
        <f>B30/C30</f>
        <v>0.75107500000000005</v>
      </c>
    </row>
    <row r="31" spans="1:5" outlineLevel="1" x14ac:dyDescent="0.2">
      <c r="A31" s="30" t="s">
        <v>33</v>
      </c>
      <c r="B31" s="31"/>
      <c r="C31" s="31">
        <v>15000</v>
      </c>
      <c r="D31" s="32">
        <f>B31/C31</f>
        <v>0</v>
      </c>
    </row>
    <row r="32" spans="1:5" outlineLevel="1" x14ac:dyDescent="0.2">
      <c r="A32" s="27" t="s">
        <v>34</v>
      </c>
      <c r="B32" s="28"/>
      <c r="C32" s="28">
        <v>30000</v>
      </c>
      <c r="D32" s="32">
        <f t="shared" ref="D32:D33" si="0">B32/C32</f>
        <v>0</v>
      </c>
    </row>
    <row r="33" spans="1:8" outlineLevel="1" x14ac:dyDescent="0.2">
      <c r="A33" s="33" t="s">
        <v>35</v>
      </c>
      <c r="B33" s="34"/>
      <c r="C33" s="34">
        <v>50000</v>
      </c>
      <c r="D33" s="32">
        <f t="shared" si="0"/>
        <v>0</v>
      </c>
      <c r="H33" s="35"/>
    </row>
    <row r="34" spans="1:8" ht="15" outlineLevel="1" x14ac:dyDescent="0.25">
      <c r="A34" s="36" t="s">
        <v>36</v>
      </c>
      <c r="B34" s="37">
        <f>SUM(B22:B33)</f>
        <v>33180.300000000003</v>
      </c>
      <c r="C34" s="38">
        <f>SUM(C22:C33)</f>
        <v>125000</v>
      </c>
      <c r="D34" s="39"/>
    </row>
    <row r="35" spans="1:8" outlineLevel="1" x14ac:dyDescent="0.2">
      <c r="A35" s="41" t="s">
        <v>37</v>
      </c>
      <c r="B35" s="42">
        <f>AVERAGE(B29:B33)</f>
        <v>16590.150000000001</v>
      </c>
      <c r="C35" s="42">
        <f>AVERAGE(C29:C33)</f>
        <v>25000</v>
      </c>
      <c r="D35" s="43">
        <f>B35/C35</f>
        <v>0.66360600000000003</v>
      </c>
    </row>
    <row r="38" spans="1:8" ht="15" x14ac:dyDescent="0.25">
      <c r="A38" s="386" t="s">
        <v>38</v>
      </c>
      <c r="B38" s="386"/>
      <c r="C38" s="386"/>
      <c r="D38" s="386"/>
    </row>
    <row r="39" spans="1:8" s="45" customFormat="1" outlineLevel="1" x14ac:dyDescent="0.2">
      <c r="A39" s="44" t="s">
        <v>39</v>
      </c>
      <c r="B39" s="44" t="s">
        <v>40</v>
      </c>
      <c r="C39" s="44" t="s">
        <v>41</v>
      </c>
      <c r="D39" s="44" t="s">
        <v>42</v>
      </c>
      <c r="E39" s="44" t="s">
        <v>43</v>
      </c>
      <c r="F39" s="2"/>
    </row>
    <row r="40" spans="1:8" outlineLevel="1" x14ac:dyDescent="0.2">
      <c r="A40" s="8">
        <f>B30</f>
        <v>15021.5</v>
      </c>
      <c r="B40" s="46">
        <f>50000</f>
        <v>50000</v>
      </c>
      <c r="C40" s="136">
        <f>A40*0.06</f>
        <v>901.29</v>
      </c>
      <c r="D40" s="184">
        <f>SUM(Таблица193144577185991131201321441561681882036526884100116132148164180233955718710311913515154956558159560962363965567168770472121[К оплате])</f>
        <v>14868</v>
      </c>
      <c r="E40" s="48">
        <v>0</v>
      </c>
    </row>
    <row r="41" spans="1:8" outlineLevel="1" x14ac:dyDescent="0.2">
      <c r="A41" s="49" t="s">
        <v>44</v>
      </c>
      <c r="B41" s="137">
        <f>Таблица2944597591107123139155171187304662789411012614215855657258860261663064666267869471172828[Оклад]+Таблица2944597591107123139155171187304662789411012614215855657258860261663064666267869471172828[Премия]+Таблица2944597591107123139155171187304662789411012614215855657258860261663064666267869471172828[Штрафы]+Таблица2944597591107123139155171187304662789411012614215855657258860261663064666267869471172828[Доплата за Задачи]</f>
        <v>65769.290000000008</v>
      </c>
      <c r="C41" s="50"/>
    </row>
    <row r="42" spans="1:8" x14ac:dyDescent="0.2">
      <c r="A42" s="40"/>
      <c r="B42" s="40"/>
    </row>
    <row r="43" spans="1:8" x14ac:dyDescent="0.2">
      <c r="A43" s="51"/>
      <c r="B43" s="51"/>
      <c r="C43" s="51"/>
      <c r="D43" s="52"/>
      <c r="E43" s="51"/>
      <c r="F43" s="53"/>
      <c r="H43" s="22"/>
    </row>
    <row r="44" spans="1:8" ht="15" x14ac:dyDescent="0.25">
      <c r="A44" s="386" t="s">
        <v>45</v>
      </c>
      <c r="B44" s="386"/>
      <c r="C44" s="386"/>
      <c r="D44" s="386"/>
      <c r="E44" s="53"/>
      <c r="F44" s="53"/>
      <c r="H44" s="22"/>
    </row>
    <row r="45" spans="1:8" hidden="1" outlineLevel="1" x14ac:dyDescent="0.2">
      <c r="A45" s="5" t="s">
        <v>46</v>
      </c>
      <c r="B45" s="5" t="s">
        <v>47</v>
      </c>
      <c r="C45" s="5" t="s">
        <v>48</v>
      </c>
      <c r="D45" s="54" t="s">
        <v>49</v>
      </c>
      <c r="E45" s="51"/>
      <c r="G45" s="40"/>
    </row>
    <row r="46" spans="1:8" ht="24.95" hidden="1" customHeight="1" outlineLevel="1" x14ac:dyDescent="0.2">
      <c r="A46" s="55" t="s">
        <v>24</v>
      </c>
      <c r="B46" s="56"/>
      <c r="C46" s="56"/>
      <c r="D46" s="57"/>
      <c r="E46" s="51"/>
      <c r="G46" s="40"/>
    </row>
    <row r="47" spans="1:8" ht="24.95" hidden="1" customHeight="1" outlineLevel="1" x14ac:dyDescent="0.2">
      <c r="A47" s="55" t="s">
        <v>24</v>
      </c>
      <c r="B47" s="58"/>
      <c r="C47" s="58"/>
      <c r="D47" s="57"/>
      <c r="E47" s="51"/>
      <c r="G47" s="40"/>
    </row>
    <row r="48" spans="1:8" ht="24.95" hidden="1" customHeight="1" outlineLevel="1" x14ac:dyDescent="0.2">
      <c r="A48" s="59" t="s">
        <v>24</v>
      </c>
      <c r="B48" s="58"/>
      <c r="C48" s="58"/>
      <c r="D48" s="57"/>
      <c r="E48" s="51"/>
      <c r="G48" s="40"/>
    </row>
    <row r="49" spans="1:8" ht="24.95" hidden="1" customHeight="1" outlineLevel="1" x14ac:dyDescent="0.2">
      <c r="A49" s="55" t="s">
        <v>24</v>
      </c>
      <c r="B49" s="60"/>
      <c r="C49" s="60"/>
      <c r="D49" s="61"/>
      <c r="E49" s="51"/>
      <c r="G49" s="62"/>
      <c r="H49" s="6"/>
    </row>
    <row r="50" spans="1:8" hidden="1" outlineLevel="1" x14ac:dyDescent="0.2">
      <c r="A50" s="63"/>
      <c r="B50" s="64" t="s">
        <v>50</v>
      </c>
      <c r="C50" s="65">
        <f>SUM(Таблица54624331832394653606774253239465360677481889510211243750647892106110129141153165185173349658197113129145161177203652688410011613214854756357959360762163765366968570271919[Общая сумма долга])</f>
        <v>0</v>
      </c>
      <c r="D50" s="66">
        <v>0</v>
      </c>
      <c r="E50" s="67" t="s">
        <v>51</v>
      </c>
      <c r="F50" s="51"/>
      <c r="G50" s="51"/>
      <c r="H50" s="51"/>
    </row>
    <row r="51" spans="1:8" hidden="1" outlineLevel="1" x14ac:dyDescent="0.2">
      <c r="A51" s="63"/>
      <c r="B51" s="64"/>
      <c r="C51" s="65"/>
      <c r="D51" s="51"/>
      <c r="E51" s="51"/>
      <c r="F51" s="51"/>
      <c r="G51" s="51"/>
      <c r="H51" s="51"/>
    </row>
    <row r="52" spans="1:8" collapsed="1" x14ac:dyDescent="0.2">
      <c r="A52" s="63"/>
      <c r="B52" s="51"/>
      <c r="C52" s="51"/>
      <c r="D52" s="52"/>
      <c r="E52" s="51"/>
      <c r="F52" s="53"/>
      <c r="G52" s="51"/>
      <c r="H52" s="68"/>
    </row>
    <row r="53" spans="1:8" x14ac:dyDescent="0.2">
      <c r="A53" s="63"/>
      <c r="B53" s="51"/>
      <c r="C53" s="51"/>
      <c r="D53" s="52"/>
      <c r="E53" s="51"/>
      <c r="F53" s="53"/>
      <c r="G53" s="51"/>
      <c r="H53" s="68"/>
    </row>
    <row r="54" spans="1:8" ht="15" x14ac:dyDescent="0.25">
      <c r="A54" s="386" t="s">
        <v>52</v>
      </c>
      <c r="B54" s="386"/>
      <c r="C54" s="386"/>
      <c r="D54" s="386"/>
      <c r="E54" s="53"/>
      <c r="F54" s="53"/>
      <c r="G54" s="51"/>
    </row>
    <row r="55" spans="1:8" s="6" customFormat="1" outlineLevel="1" x14ac:dyDescent="0.2">
      <c r="A55" s="18" t="s">
        <v>53</v>
      </c>
      <c r="B55" s="19" t="s">
        <v>54</v>
      </c>
      <c r="C55" s="19" t="s">
        <v>55</v>
      </c>
      <c r="D55" s="69" t="s">
        <v>56</v>
      </c>
      <c r="E55" s="69" t="s">
        <v>4</v>
      </c>
      <c r="F55" s="70" t="s">
        <v>57</v>
      </c>
    </row>
    <row r="56" spans="1:8" ht="24.95" customHeight="1" outlineLevel="1" x14ac:dyDescent="0.2">
      <c r="A56" s="71" t="s">
        <v>101</v>
      </c>
      <c r="B56" s="72">
        <v>71047</v>
      </c>
      <c r="C56" s="72">
        <v>12720.5</v>
      </c>
      <c r="D56" s="73">
        <v>0.218</v>
      </c>
      <c r="E56" s="74" t="s">
        <v>177</v>
      </c>
      <c r="F56" s="55" t="s">
        <v>178</v>
      </c>
    </row>
    <row r="57" spans="1:8" ht="24.95" customHeight="1" outlineLevel="1" x14ac:dyDescent="0.2">
      <c r="A57" s="71" t="s">
        <v>244</v>
      </c>
      <c r="B57" s="75">
        <v>47300</v>
      </c>
      <c r="C57" s="75">
        <v>2301</v>
      </c>
      <c r="D57" s="128">
        <v>0.05</v>
      </c>
      <c r="E57" s="74" t="s">
        <v>177</v>
      </c>
      <c r="F57" s="127" t="s">
        <v>180</v>
      </c>
      <c r="G57" s="51"/>
    </row>
    <row r="58" spans="1:8" outlineLevel="1" x14ac:dyDescent="0.2">
      <c r="A58" s="76"/>
      <c r="B58" s="77">
        <f>SUM(Таблица1633465973871011151221341461581701902238547086102118134150166182254157738910512113715355156758359761162564165767368970672323[Оборот])</f>
        <v>118347</v>
      </c>
      <c r="C58" s="77">
        <f>SUM(C56:C57)</f>
        <v>15021.5</v>
      </c>
      <c r="D58" s="78">
        <f>Таблица1633465973871011151221341461581701902238547086102118134150166182254157738910512113715355156758359761162564165767368970672323[[#Totals],[Профит ]]/Таблица1633465973871011151221341461581701902238547086102118134150166182254157738910512113715355156758359761162564165767368970672323[[#Totals],[Оборот]]</f>
        <v>0.12692759427784397</v>
      </c>
      <c r="E58" s="77"/>
      <c r="F58" s="7"/>
      <c r="G58" s="51"/>
    </row>
    <row r="59" spans="1:8" x14ac:dyDescent="0.2">
      <c r="A59" s="51"/>
      <c r="B59" s="51"/>
      <c r="C59" s="51"/>
      <c r="D59" s="52"/>
      <c r="E59" s="51"/>
      <c r="F59" s="53"/>
      <c r="G59" s="51"/>
    </row>
    <row r="60" spans="1:8" ht="15" x14ac:dyDescent="0.25">
      <c r="A60" s="386" t="s">
        <v>58</v>
      </c>
      <c r="B60" s="386"/>
      <c r="C60" s="386"/>
      <c r="D60" s="386"/>
      <c r="E60" s="79"/>
      <c r="F60" s="79"/>
    </row>
    <row r="61" spans="1:8" ht="15" customHeight="1" outlineLevel="1" x14ac:dyDescent="0.2">
      <c r="A61" s="80">
        <v>45658</v>
      </c>
      <c r="B61" s="81" t="s">
        <v>21</v>
      </c>
      <c r="C61" s="81" t="s">
        <v>59</v>
      </c>
      <c r="D61" s="81" t="s">
        <v>60</v>
      </c>
      <c r="E61" s="81" t="s">
        <v>61</v>
      </c>
      <c r="F61" s="81" t="s">
        <v>62</v>
      </c>
      <c r="G61" s="81" t="s">
        <v>63</v>
      </c>
      <c r="H61" s="81" t="s">
        <v>64</v>
      </c>
    </row>
    <row r="62" spans="1:8" outlineLevel="1" x14ac:dyDescent="0.2">
      <c r="A62" s="82"/>
      <c r="B62" s="83">
        <v>15000</v>
      </c>
      <c r="C62" s="84">
        <v>0</v>
      </c>
      <c r="D62" s="84">
        <v>0</v>
      </c>
      <c r="E62" s="84">
        <v>56000</v>
      </c>
      <c r="F62" s="140">
        <v>9000</v>
      </c>
      <c r="G62" s="84">
        <f>C62+D62+E62*0.5+F62*0.05</f>
        <v>28450</v>
      </c>
      <c r="H62" s="85">
        <f>Таблица9132738193340475461687582899682891101171241311381451521591661731801871945121926334047546168758289961031101171241311381451521591661741821902052131241361481601721922440627894110126142158174190334965819711312914516155957559160361763164766367969571730[[#This Row],[Столбец6]]/Таблица9132738193340475461687582899682891101171241311381451521591661731801871945121926334047546168758289961031101171241311381451521591661741821902052131241361481601721922440627894110126142158174190334965819711312914516155957559160361763164766367969571730[[#This Row],[Столбец1]]</f>
        <v>1.8966666666666667</v>
      </c>
    </row>
    <row r="63" spans="1:8" outlineLevel="1" x14ac:dyDescent="0.2">
      <c r="A63" s="40"/>
      <c r="B63" s="40"/>
      <c r="C63" s="40"/>
      <c r="D63" s="40"/>
      <c r="E63" s="40"/>
      <c r="F63" s="40"/>
      <c r="G63" s="40"/>
      <c r="H63" s="86"/>
    </row>
    <row r="64" spans="1:8" outlineLevel="1" x14ac:dyDescent="0.2">
      <c r="A64" s="80">
        <v>45689</v>
      </c>
      <c r="B64" s="81" t="s">
        <v>21</v>
      </c>
      <c r="C64" s="81" t="s">
        <v>59</v>
      </c>
      <c r="D64" s="81" t="s">
        <v>60</v>
      </c>
      <c r="E64" s="81" t="s">
        <v>61</v>
      </c>
      <c r="F64" s="81" t="s">
        <v>62</v>
      </c>
      <c r="G64" s="81" t="s">
        <v>63</v>
      </c>
      <c r="H64" s="81" t="s">
        <v>64</v>
      </c>
    </row>
    <row r="65" spans="1:8" ht="15" customHeight="1" outlineLevel="1" x14ac:dyDescent="0.2">
      <c r="A65" s="87"/>
      <c r="B65" s="84">
        <v>30000</v>
      </c>
      <c r="C65" s="24">
        <v>0</v>
      </c>
      <c r="D65" s="24">
        <v>0</v>
      </c>
      <c r="E65" s="84">
        <v>0</v>
      </c>
      <c r="F65" s="84">
        <v>0</v>
      </c>
      <c r="G65" s="83">
        <f>D65+C65+E65*0.5+F65*0.05</f>
        <v>0</v>
      </c>
      <c r="H65" s="85">
        <f>Таблица9132738193340475461687582899682891101171241311381451521591661731801871945121926334047546168758289961031101171241311381451521591661741821902052131191251371491611731932541567288104120136152168184274359759110712313915555356958559961362764365967569726[[#This Row],[Столбец6]]/Таблица9132738193340475461687582899682891101171241311381451521591661731801871945121926334047546168758289961031101171241311381451521591661741821902052131191251371491611731932541567288104120136152168184274359759110712313915555356958559961362764365967569726[[#This Row],[Столбец1]]</f>
        <v>0</v>
      </c>
    </row>
    <row r="66" spans="1:8" x14ac:dyDescent="0.2">
      <c r="A66" s="63"/>
      <c r="B66" s="51"/>
      <c r="C66" s="51"/>
      <c r="D66" s="52"/>
      <c r="E66" s="51"/>
    </row>
    <row r="67" spans="1:8" x14ac:dyDescent="0.2">
      <c r="A67" s="51"/>
      <c r="B67" s="51"/>
      <c r="C67" s="51"/>
      <c r="D67" s="52"/>
      <c r="E67" s="51"/>
    </row>
    <row r="68" spans="1:8" ht="15.75" x14ac:dyDescent="0.25">
      <c r="A68" s="88" t="s">
        <v>65</v>
      </c>
      <c r="B68" s="89"/>
    </row>
    <row r="69" spans="1:8" ht="15" x14ac:dyDescent="0.25">
      <c r="A69" s="386" t="s">
        <v>66</v>
      </c>
      <c r="B69" s="386"/>
      <c r="C69" s="386"/>
      <c r="D69" s="386"/>
      <c r="E69" s="90"/>
      <c r="F69" s="90"/>
      <c r="G69" s="13">
        <f>SUM(Таблица4211720344148556269768390978390111118125132139146153160167174181188195613202734414855626976839097104111118125132139146153160167175183198206214123135147159171191233955718710311913515116718326425874901061221381545525685845986126266426586746907077224[Сумма, тыс. руб.])*1000</f>
        <v>275000</v>
      </c>
    </row>
    <row r="70" spans="1:8" outlineLevel="1" x14ac:dyDescent="0.2">
      <c r="A70" s="91" t="s">
        <v>67</v>
      </c>
      <c r="B70" s="91" t="s">
        <v>53</v>
      </c>
      <c r="C70" s="91" t="s">
        <v>4</v>
      </c>
      <c r="D70" s="91" t="s">
        <v>68</v>
      </c>
      <c r="E70" s="91" t="s">
        <v>69</v>
      </c>
      <c r="F70" s="91" t="s">
        <v>70</v>
      </c>
      <c r="G70" s="91" t="s">
        <v>71</v>
      </c>
      <c r="H70" s="91" t="s">
        <v>72</v>
      </c>
    </row>
    <row r="71" spans="1:8" ht="24.95" customHeight="1" outlineLevel="1" x14ac:dyDescent="0.2">
      <c r="A71" s="97" t="s">
        <v>256</v>
      </c>
      <c r="B71" s="152" t="s">
        <v>181</v>
      </c>
      <c r="C71" s="151" t="s">
        <v>94</v>
      </c>
      <c r="D71" s="152" t="s">
        <v>73</v>
      </c>
      <c r="E71" s="156" t="s">
        <v>184</v>
      </c>
      <c r="F71" s="153">
        <v>45292</v>
      </c>
      <c r="G71" s="157">
        <v>129</v>
      </c>
      <c r="H71" s="155" t="s">
        <v>168</v>
      </c>
    </row>
    <row r="72" spans="1:8" ht="24.95" customHeight="1" outlineLevel="1" x14ac:dyDescent="0.2">
      <c r="A72" s="97" t="s">
        <v>255</v>
      </c>
      <c r="B72" s="176" t="s">
        <v>246</v>
      </c>
      <c r="C72" s="177" t="s">
        <v>94</v>
      </c>
      <c r="D72" s="177" t="s">
        <v>73</v>
      </c>
      <c r="E72" s="178" t="s">
        <v>180</v>
      </c>
      <c r="F72" s="179">
        <v>45292</v>
      </c>
      <c r="G72" s="131">
        <v>82</v>
      </c>
      <c r="H72" s="173" t="s">
        <v>168</v>
      </c>
    </row>
    <row r="73" spans="1:8" ht="24.95" customHeight="1" outlineLevel="1" x14ac:dyDescent="0.2">
      <c r="A73" s="55" t="s">
        <v>183</v>
      </c>
      <c r="B73" s="55" t="s">
        <v>181</v>
      </c>
      <c r="C73" s="151" t="s">
        <v>94</v>
      </c>
      <c r="D73" s="152" t="s">
        <v>73</v>
      </c>
      <c r="E73" s="55" t="s">
        <v>250</v>
      </c>
      <c r="F73" s="153">
        <v>45292</v>
      </c>
      <c r="G73" s="154">
        <v>64</v>
      </c>
      <c r="H73" s="155" t="s">
        <v>168</v>
      </c>
    </row>
    <row r="74" spans="1:8" x14ac:dyDescent="0.2">
      <c r="A74" s="104"/>
      <c r="B74" s="104"/>
      <c r="C74" s="105"/>
      <c r="D74" s="106"/>
      <c r="E74" s="106"/>
      <c r="F74" s="107"/>
      <c r="G74" s="108"/>
      <c r="H74" s="106"/>
    </row>
    <row r="75" spans="1:8" x14ac:dyDescent="0.2">
      <c r="A75" s="104"/>
      <c r="B75" s="104"/>
      <c r="C75" s="105"/>
      <c r="D75" s="106"/>
      <c r="E75" s="106"/>
      <c r="F75" s="107"/>
      <c r="G75" s="108"/>
      <c r="H75" s="106"/>
    </row>
    <row r="76" spans="1:8" ht="15" outlineLevel="1" x14ac:dyDescent="0.25">
      <c r="A76" s="386" t="s">
        <v>74</v>
      </c>
      <c r="B76" s="386"/>
      <c r="C76" s="386"/>
      <c r="D76" s="386"/>
      <c r="G76" s="13">
        <f>SUM(Таблица1251381501621741942642577389105121137153169185284460769210812414015655457058660061462864466067669270972626[Сумма])*1000</f>
        <v>394000</v>
      </c>
    </row>
    <row r="77" spans="1:8" ht="24.95" customHeight="1" outlineLevel="1" x14ac:dyDescent="0.2">
      <c r="A77" s="91" t="s">
        <v>67</v>
      </c>
      <c r="B77" s="91" t="s">
        <v>53</v>
      </c>
      <c r="C77" s="91" t="s">
        <v>4</v>
      </c>
      <c r="D77" s="91" t="s">
        <v>68</v>
      </c>
      <c r="E77" s="91" t="s">
        <v>69</v>
      </c>
      <c r="F77" s="91" t="s">
        <v>70</v>
      </c>
      <c r="G77" s="91" t="s">
        <v>75</v>
      </c>
      <c r="H77" s="91" t="s">
        <v>72</v>
      </c>
    </row>
    <row r="78" spans="1:8" ht="24.95" customHeight="1" outlineLevel="1" x14ac:dyDescent="0.2">
      <c r="A78" s="55" t="s">
        <v>256</v>
      </c>
      <c r="B78" s="152" t="s">
        <v>181</v>
      </c>
      <c r="C78" s="151" t="s">
        <v>94</v>
      </c>
      <c r="D78" s="152" t="s">
        <v>73</v>
      </c>
      <c r="E78" s="156" t="s">
        <v>184</v>
      </c>
      <c r="F78" s="153">
        <v>45292</v>
      </c>
      <c r="G78" s="157">
        <v>130</v>
      </c>
      <c r="H78" s="155" t="s">
        <v>168</v>
      </c>
    </row>
    <row r="79" spans="1:8" ht="24.95" customHeight="1" outlineLevel="1" x14ac:dyDescent="0.2">
      <c r="A79" s="55" t="s">
        <v>255</v>
      </c>
      <c r="B79" s="180" t="s">
        <v>246</v>
      </c>
      <c r="C79" s="151" t="s">
        <v>94</v>
      </c>
      <c r="D79" s="152" t="s">
        <v>73</v>
      </c>
      <c r="E79" s="152" t="s">
        <v>180</v>
      </c>
      <c r="F79" s="153">
        <v>45292</v>
      </c>
      <c r="G79" s="157">
        <v>82</v>
      </c>
      <c r="H79" s="155" t="s">
        <v>168</v>
      </c>
    </row>
    <row r="80" spans="1:8" ht="24.95" customHeight="1" outlineLevel="1" x14ac:dyDescent="0.2">
      <c r="A80" s="55" t="s">
        <v>254</v>
      </c>
      <c r="B80" s="176" t="s">
        <v>246</v>
      </c>
      <c r="C80" s="177" t="s">
        <v>94</v>
      </c>
      <c r="D80" s="152" t="s">
        <v>73</v>
      </c>
      <c r="E80" s="55" t="s">
        <v>251</v>
      </c>
      <c r="F80" s="101">
        <v>45646</v>
      </c>
      <c r="G80" s="154">
        <v>64</v>
      </c>
      <c r="H80" s="155" t="s">
        <v>252</v>
      </c>
    </row>
    <row r="81" spans="1:8" ht="24.95" customHeight="1" outlineLevel="1" x14ac:dyDescent="0.2">
      <c r="A81" s="55" t="s">
        <v>183</v>
      </c>
      <c r="B81" s="55" t="s">
        <v>181</v>
      </c>
      <c r="C81" s="151" t="s">
        <v>94</v>
      </c>
      <c r="D81" s="152" t="s">
        <v>73</v>
      </c>
      <c r="E81" s="55" t="s">
        <v>250</v>
      </c>
      <c r="F81" s="153">
        <v>45292</v>
      </c>
      <c r="G81" s="154">
        <v>64</v>
      </c>
      <c r="H81" s="155" t="s">
        <v>168</v>
      </c>
    </row>
    <row r="82" spans="1:8" ht="24.95" customHeight="1" outlineLevel="1" x14ac:dyDescent="0.2">
      <c r="A82" s="55" t="s">
        <v>253</v>
      </c>
      <c r="B82" s="55" t="s">
        <v>116</v>
      </c>
      <c r="C82" s="93" t="s">
        <v>94</v>
      </c>
      <c r="D82" s="94" t="s">
        <v>73</v>
      </c>
      <c r="E82" s="94" t="s">
        <v>185</v>
      </c>
      <c r="F82" s="101">
        <v>45646</v>
      </c>
      <c r="G82" s="102">
        <v>54</v>
      </c>
      <c r="H82" s="94" t="s">
        <v>107</v>
      </c>
    </row>
    <row r="83" spans="1:8" ht="15" customHeight="1" x14ac:dyDescent="0.2"/>
    <row r="85" spans="1:8" ht="15.75" x14ac:dyDescent="0.25">
      <c r="A85" s="1" t="s">
        <v>76</v>
      </c>
    </row>
    <row r="86" spans="1:8" s="104" customFormat="1" ht="15" outlineLevel="1" x14ac:dyDescent="0.25">
      <c r="A86" s="386" t="s">
        <v>77</v>
      </c>
      <c r="B86" s="386"/>
      <c r="C86" s="386"/>
      <c r="D86" s="386"/>
      <c r="E86" s="110"/>
      <c r="F86" s="111"/>
      <c r="G86" s="2"/>
      <c r="H86" s="2"/>
    </row>
    <row r="87" spans="1:8" ht="24.95" customHeight="1" outlineLevel="1" x14ac:dyDescent="0.2">
      <c r="A87" s="112" t="s">
        <v>78</v>
      </c>
      <c r="B87" s="112" t="s">
        <v>53</v>
      </c>
      <c r="C87" s="91" t="s">
        <v>4</v>
      </c>
      <c r="D87" s="112" t="s">
        <v>79</v>
      </c>
      <c r="E87" s="91" t="s">
        <v>80</v>
      </c>
      <c r="F87" s="112" t="s">
        <v>81</v>
      </c>
      <c r="G87" s="112" t="s">
        <v>82</v>
      </c>
      <c r="H87" s="104"/>
    </row>
    <row r="88" spans="1:8" ht="24.95" customHeight="1" outlineLevel="1" x14ac:dyDescent="0.2">
      <c r="A88" s="187">
        <v>45636</v>
      </c>
      <c r="B88" s="55" t="s">
        <v>181</v>
      </c>
      <c r="C88" s="93" t="s">
        <v>94</v>
      </c>
      <c r="D88" s="113" t="s">
        <v>182</v>
      </c>
      <c r="E88" s="55" t="s">
        <v>183</v>
      </c>
      <c r="F88" s="109" t="s">
        <v>258</v>
      </c>
      <c r="G88" s="94" t="s">
        <v>259</v>
      </c>
    </row>
    <row r="89" spans="1:8" ht="24.95" customHeight="1" outlineLevel="1" x14ac:dyDescent="0.2">
      <c r="A89" s="187">
        <v>45644</v>
      </c>
      <c r="B89" s="55" t="s">
        <v>181</v>
      </c>
      <c r="C89" s="93" t="s">
        <v>94</v>
      </c>
      <c r="D89" s="113" t="s">
        <v>245</v>
      </c>
      <c r="E89" s="55" t="s">
        <v>183</v>
      </c>
      <c r="F89" s="109" t="s">
        <v>261</v>
      </c>
      <c r="G89" s="94" t="s">
        <v>260</v>
      </c>
    </row>
    <row r="90" spans="1:8" x14ac:dyDescent="0.2">
      <c r="B90" s="118"/>
    </row>
    <row r="91" spans="1:8" x14ac:dyDescent="0.2">
      <c r="A91" s="118"/>
      <c r="B91" s="118"/>
    </row>
    <row r="92" spans="1:8" s="104" customFormat="1" ht="12" customHeight="1" outlineLevel="1" x14ac:dyDescent="0.25">
      <c r="A92" s="387" t="s">
        <v>83</v>
      </c>
      <c r="B92" s="387"/>
      <c r="C92" s="387"/>
      <c r="D92" s="387"/>
      <c r="E92" s="2"/>
      <c r="F92" s="2"/>
      <c r="G92" s="2"/>
      <c r="H92" s="2"/>
    </row>
    <row r="93" spans="1:8" ht="24" customHeight="1" outlineLevel="1" x14ac:dyDescent="0.2">
      <c r="A93" s="112" t="s">
        <v>78</v>
      </c>
      <c r="B93" s="112" t="s">
        <v>53</v>
      </c>
      <c r="C93" s="91" t="s">
        <v>4</v>
      </c>
      <c r="D93" s="112" t="s">
        <v>79</v>
      </c>
      <c r="E93" s="91" t="s">
        <v>80</v>
      </c>
      <c r="F93" s="112" t="s">
        <v>81</v>
      </c>
      <c r="G93" s="112" t="s">
        <v>82</v>
      </c>
      <c r="H93" s="104"/>
    </row>
    <row r="94" spans="1:8" ht="24" customHeight="1" outlineLevel="1" x14ac:dyDescent="0.2">
      <c r="A94" s="116"/>
      <c r="B94" s="116"/>
      <c r="C94" s="119"/>
      <c r="D94" s="129" t="s">
        <v>108</v>
      </c>
      <c r="E94" s="55"/>
      <c r="F94" s="109"/>
      <c r="G94" s="109"/>
    </row>
    <row r="95" spans="1:8" ht="24" customHeight="1" outlineLevel="1" x14ac:dyDescent="0.2">
      <c r="A95" s="187">
        <v>45628</v>
      </c>
      <c r="B95" s="114" t="s">
        <v>120</v>
      </c>
      <c r="C95" s="93" t="s">
        <v>94</v>
      </c>
      <c r="D95" s="167" t="s">
        <v>119</v>
      </c>
      <c r="E95" s="55" t="s">
        <v>24</v>
      </c>
      <c r="F95" s="55" t="s">
        <v>109</v>
      </c>
      <c r="G95" s="55" t="s">
        <v>118</v>
      </c>
    </row>
    <row r="96" spans="1:8" ht="24" customHeight="1" outlineLevel="1" x14ac:dyDescent="0.2">
      <c r="A96" s="187">
        <v>45629</v>
      </c>
      <c r="B96" s="158" t="s">
        <v>186</v>
      </c>
      <c r="C96" s="159" t="s">
        <v>94</v>
      </c>
      <c r="D96" s="169" t="s">
        <v>187</v>
      </c>
      <c r="E96" s="152"/>
      <c r="F96" s="152" t="s">
        <v>109</v>
      </c>
      <c r="G96" s="55" t="s">
        <v>188</v>
      </c>
    </row>
    <row r="97" spans="1:7" ht="24" customHeight="1" outlineLevel="1" x14ac:dyDescent="0.2">
      <c r="A97" s="187">
        <v>45630</v>
      </c>
      <c r="B97" s="158" t="s">
        <v>189</v>
      </c>
      <c r="C97" s="159" t="s">
        <v>94</v>
      </c>
      <c r="D97" s="170" t="s">
        <v>190</v>
      </c>
      <c r="E97" s="152"/>
      <c r="F97" s="152" t="s">
        <v>109</v>
      </c>
      <c r="G97" s="55" t="s">
        <v>191</v>
      </c>
    </row>
    <row r="98" spans="1:7" ht="24" customHeight="1" outlineLevel="1" x14ac:dyDescent="0.2">
      <c r="A98" s="187">
        <v>45631</v>
      </c>
      <c r="B98" s="158" t="s">
        <v>192</v>
      </c>
      <c r="C98" s="159" t="s">
        <v>94</v>
      </c>
      <c r="D98" s="160" t="s">
        <v>194</v>
      </c>
      <c r="E98" s="152"/>
      <c r="F98" s="152" t="s">
        <v>109</v>
      </c>
      <c r="G98" s="152" t="s">
        <v>193</v>
      </c>
    </row>
    <row r="99" spans="1:7" ht="24" customHeight="1" outlineLevel="1" x14ac:dyDescent="0.2">
      <c r="A99" s="187">
        <v>45642</v>
      </c>
      <c r="B99" s="158" t="s">
        <v>214</v>
      </c>
      <c r="C99" s="159" t="s">
        <v>94</v>
      </c>
      <c r="D99" s="175" t="s">
        <v>215</v>
      </c>
      <c r="E99" s="152"/>
      <c r="F99" s="152" t="s">
        <v>109</v>
      </c>
      <c r="G99" s="152" t="s">
        <v>216</v>
      </c>
    </row>
    <row r="100" spans="1:7" ht="24" customHeight="1" outlineLevel="1" x14ac:dyDescent="0.2">
      <c r="A100" s="187">
        <v>45642</v>
      </c>
      <c r="B100" s="158" t="s">
        <v>199</v>
      </c>
      <c r="C100" s="159" t="s">
        <v>94</v>
      </c>
      <c r="D100" s="158" t="s">
        <v>196</v>
      </c>
      <c r="E100" s="152"/>
      <c r="F100" s="152" t="s">
        <v>109</v>
      </c>
      <c r="G100" s="152" t="s">
        <v>195</v>
      </c>
    </row>
    <row r="101" spans="1:7" ht="24" customHeight="1" outlineLevel="1" x14ac:dyDescent="0.2">
      <c r="A101" s="187">
        <v>45643</v>
      </c>
      <c r="B101" s="114" t="s">
        <v>247</v>
      </c>
      <c r="C101" s="159" t="s">
        <v>94</v>
      </c>
      <c r="D101" s="114" t="s">
        <v>248</v>
      </c>
      <c r="E101" s="152"/>
      <c r="F101" s="152" t="s">
        <v>109</v>
      </c>
      <c r="G101" s="55" t="s">
        <v>249</v>
      </c>
    </row>
    <row r="102" spans="1:7" ht="24" customHeight="1" outlineLevel="1" x14ac:dyDescent="0.2">
      <c r="A102" s="187">
        <v>45643</v>
      </c>
      <c r="B102" s="158" t="s">
        <v>238</v>
      </c>
      <c r="C102" s="159" t="s">
        <v>94</v>
      </c>
      <c r="D102" s="171" t="s">
        <v>240</v>
      </c>
      <c r="E102" s="152"/>
      <c r="F102" s="152" t="s">
        <v>109</v>
      </c>
      <c r="G102" s="152" t="s">
        <v>239</v>
      </c>
    </row>
    <row r="103" spans="1:7" ht="24" customHeight="1" outlineLevel="1" x14ac:dyDescent="0.2">
      <c r="A103" s="187">
        <v>45643</v>
      </c>
      <c r="B103" s="158" t="s">
        <v>200</v>
      </c>
      <c r="C103" s="159" t="s">
        <v>94</v>
      </c>
      <c r="D103" s="171" t="s">
        <v>197</v>
      </c>
      <c r="E103" s="152"/>
      <c r="F103" s="152" t="s">
        <v>109</v>
      </c>
      <c r="G103" s="152" t="s">
        <v>201</v>
      </c>
    </row>
    <row r="104" spans="1:7" ht="24" customHeight="1" outlineLevel="1" x14ac:dyDescent="0.2">
      <c r="A104" s="187">
        <v>45643</v>
      </c>
      <c r="B104" s="158" t="s">
        <v>217</v>
      </c>
      <c r="C104" s="159" t="s">
        <v>94</v>
      </c>
      <c r="D104" s="172" t="s">
        <v>219</v>
      </c>
      <c r="E104" s="152"/>
      <c r="F104" s="152" t="s">
        <v>109</v>
      </c>
      <c r="G104" s="152" t="s">
        <v>218</v>
      </c>
    </row>
    <row r="105" spans="1:7" ht="24" customHeight="1" outlineLevel="1" x14ac:dyDescent="0.2">
      <c r="A105" s="187">
        <v>45645</v>
      </c>
      <c r="B105" s="158" t="s">
        <v>202</v>
      </c>
      <c r="C105" s="159" t="s">
        <v>94</v>
      </c>
      <c r="D105" s="171" t="s">
        <v>198</v>
      </c>
      <c r="E105" s="152"/>
      <c r="F105" s="152" t="s">
        <v>109</v>
      </c>
      <c r="G105" s="152" t="s">
        <v>203</v>
      </c>
    </row>
    <row r="106" spans="1:7" ht="24" customHeight="1" outlineLevel="1" x14ac:dyDescent="0.2">
      <c r="A106" s="187">
        <v>45646</v>
      </c>
      <c r="B106" s="158" t="s">
        <v>205</v>
      </c>
      <c r="C106" s="159" t="s">
        <v>94</v>
      </c>
      <c r="D106" s="171" t="s">
        <v>206</v>
      </c>
      <c r="E106" s="152"/>
      <c r="F106" s="152" t="s">
        <v>109</v>
      </c>
      <c r="G106" s="152" t="s">
        <v>204</v>
      </c>
    </row>
    <row r="107" spans="1:7" ht="24" customHeight="1" outlineLevel="1" x14ac:dyDescent="0.2">
      <c r="A107" s="187">
        <v>45645</v>
      </c>
      <c r="B107" s="158" t="s">
        <v>207</v>
      </c>
      <c r="C107" s="159" t="s">
        <v>94</v>
      </c>
      <c r="D107" s="171" t="s">
        <v>209</v>
      </c>
      <c r="E107" s="152"/>
      <c r="F107" s="152" t="s">
        <v>109</v>
      </c>
      <c r="G107" s="152" t="s">
        <v>208</v>
      </c>
    </row>
    <row r="108" spans="1:7" ht="24" customHeight="1" outlineLevel="1" x14ac:dyDescent="0.2">
      <c r="A108" s="187">
        <v>45645</v>
      </c>
      <c r="B108" s="158" t="s">
        <v>212</v>
      </c>
      <c r="C108" s="159" t="s">
        <v>94</v>
      </c>
      <c r="D108" s="170" t="s">
        <v>211</v>
      </c>
      <c r="E108" s="152"/>
      <c r="F108" s="152" t="s">
        <v>109</v>
      </c>
      <c r="G108" s="152" t="s">
        <v>210</v>
      </c>
    </row>
    <row r="109" spans="1:7" ht="24" customHeight="1" outlineLevel="1" x14ac:dyDescent="0.2">
      <c r="A109" s="187">
        <v>45650</v>
      </c>
      <c r="B109" s="116" t="s">
        <v>220</v>
      </c>
      <c r="C109" s="159" t="s">
        <v>94</v>
      </c>
      <c r="D109" s="173" t="s">
        <v>222</v>
      </c>
      <c r="E109" s="109"/>
      <c r="F109" s="152" t="s">
        <v>109</v>
      </c>
      <c r="G109" s="109" t="s">
        <v>221</v>
      </c>
    </row>
    <row r="110" spans="1:7" ht="24" customHeight="1" outlineLevel="1" x14ac:dyDescent="0.2">
      <c r="A110" s="187">
        <v>45651</v>
      </c>
      <c r="B110" s="116" t="s">
        <v>223</v>
      </c>
      <c r="C110" s="159" t="s">
        <v>94</v>
      </c>
      <c r="D110" s="168" t="s">
        <v>225</v>
      </c>
      <c r="E110" s="109"/>
      <c r="F110" s="152" t="s">
        <v>109</v>
      </c>
      <c r="G110" s="109" t="s">
        <v>224</v>
      </c>
    </row>
    <row r="111" spans="1:7" ht="24" customHeight="1" outlineLevel="1" x14ac:dyDescent="0.2">
      <c r="A111" s="187">
        <v>45651</v>
      </c>
      <c r="B111" s="116" t="s">
        <v>226</v>
      </c>
      <c r="C111" s="159" t="s">
        <v>94</v>
      </c>
      <c r="D111" s="168" t="s">
        <v>227</v>
      </c>
      <c r="E111" s="109"/>
      <c r="F111" s="152" t="s">
        <v>109</v>
      </c>
      <c r="G111" s="109" t="s">
        <v>228</v>
      </c>
    </row>
    <row r="112" spans="1:7" ht="24" customHeight="1" outlineLevel="1" x14ac:dyDescent="0.2">
      <c r="A112" s="187">
        <v>45651</v>
      </c>
      <c r="B112" s="116" t="s">
        <v>229</v>
      </c>
      <c r="C112" s="159" t="s">
        <v>94</v>
      </c>
      <c r="D112" s="168" t="s">
        <v>230</v>
      </c>
      <c r="E112" s="109"/>
      <c r="F112" s="152" t="s">
        <v>109</v>
      </c>
      <c r="G112" s="109" t="s">
        <v>231</v>
      </c>
    </row>
    <row r="113" spans="1:15" ht="24" customHeight="1" outlineLevel="1" x14ac:dyDescent="0.2">
      <c r="A113" s="187">
        <v>45651</v>
      </c>
      <c r="B113" s="116" t="s">
        <v>232</v>
      </c>
      <c r="C113" s="159" t="s">
        <v>94</v>
      </c>
      <c r="D113" s="168" t="s">
        <v>233</v>
      </c>
      <c r="E113" s="109"/>
      <c r="F113" s="55" t="s">
        <v>109</v>
      </c>
      <c r="G113" s="109" t="s">
        <v>234</v>
      </c>
    </row>
    <row r="114" spans="1:15" ht="24" customHeight="1" outlineLevel="1" x14ac:dyDescent="0.2">
      <c r="A114" s="187">
        <v>45651</v>
      </c>
      <c r="B114" s="116" t="s">
        <v>235</v>
      </c>
      <c r="C114" s="159" t="s">
        <v>94</v>
      </c>
      <c r="D114" s="168" t="s">
        <v>236</v>
      </c>
      <c r="E114" s="109"/>
      <c r="F114" s="152" t="s">
        <v>109</v>
      </c>
      <c r="G114" s="109" t="s">
        <v>237</v>
      </c>
    </row>
    <row r="115" spans="1:15" ht="24" customHeight="1" outlineLevel="1" x14ac:dyDescent="0.2">
      <c r="A115" s="187">
        <v>45652</v>
      </c>
      <c r="B115" s="158" t="s">
        <v>241</v>
      </c>
      <c r="C115" s="159" t="s">
        <v>94</v>
      </c>
      <c r="D115" s="174" t="s">
        <v>242</v>
      </c>
      <c r="E115" s="152"/>
      <c r="F115" s="152" t="s">
        <v>109</v>
      </c>
      <c r="G115" s="152" t="s">
        <v>243</v>
      </c>
    </row>
    <row r="117" spans="1:15" s="104" customFormat="1" x14ac:dyDescent="0.2">
      <c r="A117" s="2"/>
      <c r="B117" s="2"/>
      <c r="C117" s="2"/>
      <c r="D117" s="2"/>
      <c r="E117" s="2"/>
      <c r="F117" s="2"/>
      <c r="G117" s="2"/>
      <c r="H117" s="2"/>
    </row>
    <row r="118" spans="1:15" ht="15.75" x14ac:dyDescent="0.25">
      <c r="A118" s="1" t="s">
        <v>84</v>
      </c>
      <c r="H118" s="104"/>
    </row>
    <row r="119" spans="1:15" s="17" customFormat="1" ht="15" outlineLevel="1" x14ac:dyDescent="0.25">
      <c r="A119" s="386" t="s">
        <v>85</v>
      </c>
      <c r="B119" s="386"/>
      <c r="C119" s="386"/>
      <c r="D119" s="386"/>
      <c r="E119" s="2"/>
      <c r="F119" s="2"/>
      <c r="G119" s="2"/>
      <c r="H119" s="2"/>
    </row>
    <row r="120" spans="1:15" ht="24.95" customHeight="1" outlineLevel="1" x14ac:dyDescent="0.2">
      <c r="A120" s="120" t="s">
        <v>81</v>
      </c>
      <c r="B120" s="120" t="s">
        <v>86</v>
      </c>
      <c r="C120" s="120" t="s">
        <v>87</v>
      </c>
      <c r="D120" s="120" t="s">
        <v>88</v>
      </c>
      <c r="E120" s="120" t="s">
        <v>89</v>
      </c>
      <c r="F120" s="120" t="s">
        <v>4</v>
      </c>
      <c r="G120" s="120" t="s">
        <v>90</v>
      </c>
      <c r="H120" s="17"/>
    </row>
    <row r="121" spans="1:15" ht="50.1" customHeight="1" outlineLevel="1" x14ac:dyDescent="0.2">
      <c r="A121" s="94"/>
      <c r="B121" s="94" t="s">
        <v>98</v>
      </c>
      <c r="C121" s="142" t="s">
        <v>160</v>
      </c>
      <c r="D121" s="72" t="s">
        <v>172</v>
      </c>
      <c r="E121" s="132" t="s">
        <v>173</v>
      </c>
      <c r="F121" s="74" t="s">
        <v>94</v>
      </c>
      <c r="G121" s="9">
        <f>11520*0.9</f>
        <v>10368</v>
      </c>
    </row>
    <row r="122" spans="1:15" ht="50.1" customHeight="1" outlineLevel="1" x14ac:dyDescent="0.2">
      <c r="A122" s="130"/>
      <c r="B122" s="148" t="s">
        <v>99</v>
      </c>
      <c r="C122" s="142" t="s">
        <v>160</v>
      </c>
      <c r="D122" s="150" t="s">
        <v>262</v>
      </c>
      <c r="E122" s="121" t="s">
        <v>174</v>
      </c>
      <c r="F122" s="74" t="s">
        <v>94</v>
      </c>
      <c r="G122" s="131">
        <f>5000*0.7</f>
        <v>3500</v>
      </c>
    </row>
    <row r="123" spans="1:15" ht="50.1" customHeight="1" x14ac:dyDescent="0.2">
      <c r="A123" s="94"/>
      <c r="B123" s="94" t="s">
        <v>179</v>
      </c>
      <c r="C123" s="133" t="s">
        <v>91</v>
      </c>
      <c r="D123" s="94" t="s">
        <v>114</v>
      </c>
      <c r="E123" s="132" t="s">
        <v>176</v>
      </c>
      <c r="F123" s="74" t="s">
        <v>94</v>
      </c>
      <c r="G123" s="9">
        <v>0</v>
      </c>
    </row>
    <row r="124" spans="1:15" ht="50.1" customHeight="1" x14ac:dyDescent="0.2">
      <c r="A124" s="148"/>
      <c r="B124" s="148"/>
      <c r="C124" s="181"/>
      <c r="D124" s="183" t="s">
        <v>257</v>
      </c>
      <c r="E124" s="182"/>
      <c r="F124" s="74" t="s">
        <v>94</v>
      </c>
      <c r="G124" s="131">
        <v>1000</v>
      </c>
    </row>
    <row r="125" spans="1:15" x14ac:dyDescent="0.2">
      <c r="B125" s="122"/>
      <c r="C125" s="123"/>
      <c r="F125" s="122"/>
    </row>
    <row r="126" spans="1:15" x14ac:dyDescent="0.2">
      <c r="A126" s="122"/>
      <c r="B126" s="122"/>
      <c r="C126" s="123"/>
      <c r="F126" s="122"/>
    </row>
    <row r="127" spans="1:15" s="124" customFormat="1" ht="15" outlineLevel="1" x14ac:dyDescent="0.25">
      <c r="A127" s="386" t="s">
        <v>92</v>
      </c>
      <c r="B127" s="386"/>
      <c r="C127" s="386"/>
      <c r="D127" s="386"/>
      <c r="E127" s="2"/>
      <c r="F127" s="2"/>
      <c r="G127" s="2"/>
      <c r="H127" s="2"/>
      <c r="I127" s="2"/>
      <c r="J127" s="2"/>
      <c r="K127" s="2"/>
      <c r="L127" s="2"/>
      <c r="M127" s="2"/>
      <c r="N127" s="2"/>
      <c r="O127" s="2"/>
    </row>
    <row r="128" spans="1:15" ht="24.95" customHeight="1" outlineLevel="1" x14ac:dyDescent="0.2">
      <c r="A128" s="120" t="s">
        <v>81</v>
      </c>
      <c r="B128" s="120" t="s">
        <v>86</v>
      </c>
      <c r="C128" s="120" t="s">
        <v>87</v>
      </c>
      <c r="D128" s="120" t="s">
        <v>88</v>
      </c>
      <c r="E128" s="120" t="s">
        <v>89</v>
      </c>
      <c r="F128" s="120" t="s">
        <v>4</v>
      </c>
      <c r="G128" s="120" t="s">
        <v>90</v>
      </c>
    </row>
    <row r="129" spans="1:7" ht="50.1" customHeight="1" outlineLevel="1" x14ac:dyDescent="0.25">
      <c r="A129" s="94"/>
      <c r="B129" s="94"/>
      <c r="C129" s="125"/>
      <c r="D129"/>
      <c r="E129" s="121"/>
      <c r="F129" s="74" t="s">
        <v>94</v>
      </c>
      <c r="G129" s="9"/>
    </row>
    <row r="130" spans="1:7" ht="50.1" customHeight="1" x14ac:dyDescent="0.25">
      <c r="A130" s="94"/>
      <c r="B130" s="94"/>
      <c r="C130" s="125"/>
      <c r="D130"/>
      <c r="E130" s="121"/>
      <c r="F130" s="74" t="s">
        <v>94</v>
      </c>
      <c r="G130" s="126"/>
    </row>
  </sheetData>
  <mergeCells count="14">
    <mergeCell ref="A44:D44"/>
    <mergeCell ref="A5:D5"/>
    <mergeCell ref="A10:D10"/>
    <mergeCell ref="A15:D15"/>
    <mergeCell ref="A20:D20"/>
    <mergeCell ref="A38:D38"/>
    <mergeCell ref="A119:D119"/>
    <mergeCell ref="A127:D127"/>
    <mergeCell ref="A54:D54"/>
    <mergeCell ref="A60:D60"/>
    <mergeCell ref="A69:D69"/>
    <mergeCell ref="A76:D76"/>
    <mergeCell ref="A86:D86"/>
    <mergeCell ref="A92:D92"/>
  </mergeCells>
  <conditionalFormatting sqref="G130 G123:G124">
    <cfRule type="cellIs" dxfId="664" priority="13" operator="equal">
      <formula>"ДА"</formula>
    </cfRule>
    <cfRule type="cellIs" dxfId="663" priority="14" operator="equal">
      <formula>"НЕТ"</formula>
    </cfRule>
    <cfRule type="cellIs" dxfId="662" priority="15" operator="equal">
      <formula>"Нет"</formula>
    </cfRule>
    <cfRule type="cellIs" dxfId="661" priority="16" operator="equal">
      <formula>"нет"</formula>
    </cfRule>
    <cfRule type="cellIs" dxfId="660" priority="17" operator="equal">
      <formula>"ДА"</formula>
    </cfRule>
    <cfRule type="containsText" dxfId="659" priority="18" operator="containsText" text="Да">
      <formula>NOT(ISERROR(SEARCH("Да",G123)))</formula>
    </cfRule>
  </conditionalFormatting>
  <conditionalFormatting sqref="E7 E12">
    <cfRule type="cellIs" dxfId="658" priority="25" operator="lessThan">
      <formula>0</formula>
    </cfRule>
    <cfRule type="cellIs" dxfId="657" priority="26" operator="greaterThan">
      <formula>0</formula>
    </cfRule>
  </conditionalFormatting>
  <conditionalFormatting sqref="D7 D12 E17">
    <cfRule type="cellIs" dxfId="656" priority="23" operator="lessThan">
      <formula>0</formula>
    </cfRule>
    <cfRule type="cellIs" dxfId="655" priority="24" operator="greaterThan">
      <formula>0</formula>
    </cfRule>
  </conditionalFormatting>
  <conditionalFormatting sqref="H62">
    <cfRule type="cellIs" dxfId="654" priority="21" operator="lessThan">
      <formula>1</formula>
    </cfRule>
    <cfRule type="cellIs" dxfId="653" priority="22" operator="greaterThan">
      <formula>1</formula>
    </cfRule>
  </conditionalFormatting>
  <conditionalFormatting sqref="H65">
    <cfRule type="cellIs" dxfId="652" priority="19" operator="lessThan">
      <formula>1</formula>
    </cfRule>
    <cfRule type="cellIs" dxfId="651" priority="20" operator="greaterThan">
      <formula>1</formula>
    </cfRule>
  </conditionalFormatting>
  <conditionalFormatting sqref="G129">
    <cfRule type="cellIs" dxfId="650" priority="7" operator="equal">
      <formula>"ДА"</formula>
    </cfRule>
    <cfRule type="cellIs" dxfId="649" priority="8" operator="equal">
      <formula>"НЕТ"</formula>
    </cfRule>
    <cfRule type="cellIs" dxfId="648" priority="9" operator="equal">
      <formula>"Нет"</formula>
    </cfRule>
    <cfRule type="cellIs" dxfId="647" priority="10" operator="equal">
      <formula>"нет"</formula>
    </cfRule>
    <cfRule type="cellIs" dxfId="646" priority="11" operator="equal">
      <formula>"ДА"</formula>
    </cfRule>
    <cfRule type="containsText" dxfId="645" priority="12" operator="containsText" text="Да">
      <formula>NOT(ISERROR(SEARCH("Да",G129)))</formula>
    </cfRule>
  </conditionalFormatting>
  <conditionalFormatting sqref="G121:G122">
    <cfRule type="cellIs" dxfId="644" priority="1" operator="equal">
      <formula>"ДА"</formula>
    </cfRule>
    <cfRule type="cellIs" dxfId="643" priority="2" operator="equal">
      <formula>"НЕТ"</formula>
    </cfRule>
    <cfRule type="cellIs" dxfId="642" priority="3" operator="equal">
      <formula>"Нет"</formula>
    </cfRule>
    <cfRule type="cellIs" dxfId="641" priority="4" operator="equal">
      <formula>"нет"</formula>
    </cfRule>
    <cfRule type="cellIs" dxfId="640" priority="5" operator="equal">
      <formula>"ДА"</formula>
    </cfRule>
    <cfRule type="containsText" dxfId="639" priority="6" operator="containsText" text="Да">
      <formula>NOT(ISERROR(SEARCH("Да",G121)))</formula>
    </cfRule>
  </conditionalFormatting>
  <pageMargins left="0.7" right="0.7" top="0.75" bottom="0.75" header="0.3" footer="0.3"/>
  <pageSetup paperSize="9" orientation="portrait" r:id="rId1"/>
  <legacy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B171B-31DD-4922-8F8F-03C8AC336CE5}">
  <dimension ref="A1:O143"/>
  <sheetViews>
    <sheetView topLeftCell="A9" zoomScale="85" zoomScaleNormal="85" workbookViewId="0">
      <selection activeCell="B29" sqref="B29:B31"/>
    </sheetView>
  </sheetViews>
  <sheetFormatPr defaultColWidth="9.140625" defaultRowHeight="12.75" outlineLevelRow="1" x14ac:dyDescent="0.2"/>
  <cols>
    <col min="1" max="1" width="30.28515625" style="2" customWidth="1"/>
    <col min="2" max="2" width="28.85546875" style="2" customWidth="1"/>
    <col min="3" max="3" width="31.5703125" style="2" bestFit="1" customWidth="1"/>
    <col min="4" max="4" width="30.5703125" style="2" customWidth="1"/>
    <col min="5" max="5" width="34.85546875" style="2" customWidth="1"/>
    <col min="6" max="6" width="27.140625" style="2" customWidth="1"/>
    <col min="7" max="7" width="27.42578125" style="2" customWidth="1"/>
    <col min="8" max="8" width="36" style="2" customWidth="1"/>
    <col min="9" max="16384" width="9.140625" style="2"/>
  </cols>
  <sheetData>
    <row r="1" spans="1:7" ht="24.75" customHeight="1" x14ac:dyDescent="0.25">
      <c r="A1" s="134" t="s">
        <v>94</v>
      </c>
    </row>
    <row r="2" spans="1:7" ht="15.75" x14ac:dyDescent="0.25">
      <c r="A2" s="134" t="s">
        <v>630</v>
      </c>
    </row>
    <row r="3" spans="1:7" x14ac:dyDescent="0.2">
      <c r="A3" s="3"/>
    </row>
    <row r="4" spans="1:7" ht="15.75" x14ac:dyDescent="0.25">
      <c r="A4" s="1" t="s">
        <v>0</v>
      </c>
      <c r="B4" s="2" t="s">
        <v>1</v>
      </c>
      <c r="C4" s="2" t="s">
        <v>2</v>
      </c>
    </row>
    <row r="5" spans="1:7" ht="15" x14ac:dyDescent="0.25">
      <c r="A5" s="386" t="s">
        <v>3</v>
      </c>
      <c r="B5" s="386"/>
      <c r="C5" s="386"/>
      <c r="D5" s="386"/>
      <c r="F5" s="4"/>
    </row>
    <row r="6" spans="1:7" s="6" customFormat="1" outlineLevel="1" x14ac:dyDescent="0.2">
      <c r="A6" s="5" t="s">
        <v>4</v>
      </c>
      <c r="B6" s="5" t="s">
        <v>5</v>
      </c>
      <c r="C6" s="5" t="s">
        <v>6</v>
      </c>
      <c r="D6" s="5" t="s">
        <v>7</v>
      </c>
      <c r="E6" s="5" t="s">
        <v>8</v>
      </c>
      <c r="F6" s="5" t="s">
        <v>10</v>
      </c>
      <c r="G6" s="186"/>
    </row>
    <row r="7" spans="1:7" outlineLevel="1" x14ac:dyDescent="0.2">
      <c r="A7" s="7" t="s">
        <v>94</v>
      </c>
      <c r="B7" s="8">
        <v>15000</v>
      </c>
      <c r="C7" s="9">
        <v>7379.75</v>
      </c>
      <c r="D7" s="10">
        <f>Таблица110291630374451586572233037445158657279869310092235486276901041071271391511631831529476379951111271431591751834506682981141301465455615775896056196356516676837007171632[Факт, руб.]/Таблица110291630374451586572233037445158657279869310092235486276901041071271391511631831529476379951111271431591751834506682981141301465455615775896056196356516676837007171632[План, руб.]-100%</f>
        <v>-0.50801666666666667</v>
      </c>
      <c r="E7" s="11">
        <f>Таблица110291630374451586572233037445158657279869310092235486276901041071271391511631831529476379951111271431591751834506682981141301465455615775896056196356516676837007171632[Факт, руб.]-Таблица110291630374451586572233037445158657279869310092235486276901041071271391511631831529476379951111271431591751834506682981141301465455615775896056196356516676837007171632[План, руб.]</f>
        <v>-7620.25</v>
      </c>
      <c r="F7" s="9">
        <f>B30</f>
        <v>13165</v>
      </c>
      <c r="G7" s="185"/>
    </row>
    <row r="8" spans="1:7" x14ac:dyDescent="0.2">
      <c r="A8" s="12"/>
      <c r="B8" s="13"/>
      <c r="C8" s="13"/>
      <c r="D8" s="14"/>
      <c r="F8" s="15"/>
      <c r="G8" s="16"/>
    </row>
    <row r="9" spans="1:7" ht="15" customHeight="1" x14ac:dyDescent="0.2">
      <c r="A9" s="12"/>
      <c r="B9" s="13"/>
      <c r="C9" s="13"/>
      <c r="D9" s="14"/>
      <c r="F9" s="17"/>
    </row>
    <row r="10" spans="1:7" ht="15" x14ac:dyDescent="0.25">
      <c r="A10" s="386" t="s">
        <v>11</v>
      </c>
      <c r="B10" s="386"/>
      <c r="C10" s="386"/>
      <c r="D10" s="386"/>
      <c r="F10" s="17"/>
    </row>
    <row r="11" spans="1:7" s="6" customFormat="1" outlineLevel="1" x14ac:dyDescent="0.2">
      <c r="A11" s="18" t="s">
        <v>4</v>
      </c>
      <c r="B11" s="19" t="s">
        <v>12</v>
      </c>
      <c r="C11" s="19" t="s">
        <v>13</v>
      </c>
      <c r="D11" s="19" t="s">
        <v>7</v>
      </c>
      <c r="E11" s="19" t="s">
        <v>8</v>
      </c>
      <c r="F11" s="20"/>
    </row>
    <row r="12" spans="1:7" outlineLevel="1" x14ac:dyDescent="0.2">
      <c r="A12" s="7" t="s">
        <v>94</v>
      </c>
      <c r="B12" s="8">
        <f>SUM(C22:C31)</f>
        <v>45000</v>
      </c>
      <c r="C12" s="8">
        <f>B34</f>
        <v>38703.800000000003</v>
      </c>
      <c r="D12" s="21">
        <f>C12/B12-100%</f>
        <v>-0.13991555555555546</v>
      </c>
      <c r="E12" s="8">
        <f>C12-B12</f>
        <v>-6296.1999999999971</v>
      </c>
      <c r="F12" s="17"/>
      <c r="G12" s="22"/>
    </row>
    <row r="13" spans="1:7" x14ac:dyDescent="0.2">
      <c r="A13" s="12"/>
      <c r="B13" s="13"/>
      <c r="C13" s="13"/>
      <c r="D13" s="14"/>
      <c r="F13" s="17"/>
    </row>
    <row r="14" spans="1:7" x14ac:dyDescent="0.2">
      <c r="A14" s="13"/>
      <c r="B14" s="13"/>
      <c r="C14" s="13"/>
      <c r="D14" s="14"/>
      <c r="F14" s="17"/>
      <c r="G14" s="22"/>
    </row>
    <row r="15" spans="1:7" ht="15" x14ac:dyDescent="0.25">
      <c r="A15" s="387" t="s">
        <v>393</v>
      </c>
      <c r="B15" s="387"/>
      <c r="C15" s="387"/>
      <c r="D15" s="387"/>
      <c r="F15" s="17"/>
    </row>
    <row r="16" spans="1:7" s="6" customFormat="1" outlineLevel="1" x14ac:dyDescent="0.2">
      <c r="A16" s="5" t="s">
        <v>4</v>
      </c>
      <c r="B16" s="5" t="s">
        <v>15</v>
      </c>
      <c r="C16" s="5" t="s">
        <v>16</v>
      </c>
      <c r="D16" s="5" t="s">
        <v>93</v>
      </c>
      <c r="E16" s="5" t="s">
        <v>17</v>
      </c>
      <c r="F16" s="23"/>
    </row>
    <row r="17" spans="1:5" outlineLevel="1" x14ac:dyDescent="0.2">
      <c r="A17" s="7" t="s">
        <v>94</v>
      </c>
      <c r="B17" s="8">
        <v>0</v>
      </c>
      <c r="C17" s="24">
        <v>0</v>
      </c>
      <c r="D17" s="24">
        <f>B34</f>
        <v>38703.800000000003</v>
      </c>
      <c r="E17" s="21" t="e">
        <f>Таблица2113017313845525966732431384552596673808794101102336496377911051091281401521641841632486480961121281441601761935516783991151311475465625785906066206366526686847017181733[Профит ФГ 24-25]/Таблица2113017313845525966732431384552596673808794101102336496377911051091281401521641841632486480961121281441601761935516783991151311475465625785906066206366526686847017181733[Профит ФГ 23-24]</f>
        <v>#DIV/0!</v>
      </c>
    </row>
    <row r="20" spans="1:5" ht="15" x14ac:dyDescent="0.25">
      <c r="A20" s="386" t="s">
        <v>18</v>
      </c>
      <c r="B20" s="386"/>
      <c r="C20" s="386"/>
      <c r="D20" s="386"/>
    </row>
    <row r="21" spans="1:5" outlineLevel="1" x14ac:dyDescent="0.2">
      <c r="A21" s="25" t="s">
        <v>19</v>
      </c>
      <c r="B21" s="26" t="s">
        <v>20</v>
      </c>
      <c r="C21" s="26" t="s">
        <v>21</v>
      </c>
      <c r="D21" s="25" t="s">
        <v>22</v>
      </c>
    </row>
    <row r="22" spans="1:5" outlineLevel="1" x14ac:dyDescent="0.2">
      <c r="A22" s="27" t="s">
        <v>23</v>
      </c>
      <c r="B22" s="28">
        <v>0</v>
      </c>
      <c r="C22" s="31">
        <v>0</v>
      </c>
      <c r="D22" s="29">
        <v>0</v>
      </c>
    </row>
    <row r="23" spans="1:5" outlineLevel="1" x14ac:dyDescent="0.2">
      <c r="A23" s="30" t="s">
        <v>25</v>
      </c>
      <c r="B23" s="31">
        <v>0</v>
      </c>
      <c r="C23" s="31">
        <v>0</v>
      </c>
      <c r="D23" s="32">
        <v>0</v>
      </c>
    </row>
    <row r="24" spans="1:5" outlineLevel="1" x14ac:dyDescent="0.2">
      <c r="A24" s="27" t="s">
        <v>26</v>
      </c>
      <c r="B24" s="31">
        <v>0</v>
      </c>
      <c r="C24" s="31">
        <v>0</v>
      </c>
      <c r="D24" s="29">
        <v>0</v>
      </c>
    </row>
    <row r="25" spans="1:5" outlineLevel="1" x14ac:dyDescent="0.2">
      <c r="A25" s="30" t="s">
        <v>27</v>
      </c>
      <c r="B25" s="31">
        <v>0</v>
      </c>
      <c r="C25" s="31">
        <v>0</v>
      </c>
      <c r="D25" s="32">
        <v>0</v>
      </c>
    </row>
    <row r="26" spans="1:5" outlineLevel="1" x14ac:dyDescent="0.2">
      <c r="A26" s="27" t="s">
        <v>28</v>
      </c>
      <c r="B26" s="31">
        <v>0</v>
      </c>
      <c r="C26" s="31">
        <v>0</v>
      </c>
      <c r="D26" s="29">
        <v>0</v>
      </c>
    </row>
    <row r="27" spans="1:5" outlineLevel="1" x14ac:dyDescent="0.2">
      <c r="A27" s="30" t="s">
        <v>29</v>
      </c>
      <c r="B27" s="31">
        <v>0</v>
      </c>
      <c r="C27" s="31">
        <v>0</v>
      </c>
      <c r="D27" s="32">
        <v>0</v>
      </c>
    </row>
    <row r="28" spans="1:5" outlineLevel="1" x14ac:dyDescent="0.2">
      <c r="A28" s="27" t="s">
        <v>30</v>
      </c>
      <c r="B28" s="31">
        <v>0</v>
      </c>
      <c r="C28" s="31">
        <v>0</v>
      </c>
      <c r="D28" s="29">
        <v>0</v>
      </c>
    </row>
    <row r="29" spans="1:5" outlineLevel="1" x14ac:dyDescent="0.2">
      <c r="A29" s="30" t="s">
        <v>31</v>
      </c>
      <c r="B29" s="135">
        <v>18158.8</v>
      </c>
      <c r="C29" s="31">
        <v>10000</v>
      </c>
      <c r="D29" s="32">
        <f>B29/C29</f>
        <v>1.8158799999999999</v>
      </c>
    </row>
    <row r="30" spans="1:5" outlineLevel="1" x14ac:dyDescent="0.2">
      <c r="A30" s="27" t="s">
        <v>32</v>
      </c>
      <c r="B30" s="31">
        <v>13165</v>
      </c>
      <c r="C30" s="31">
        <v>20000</v>
      </c>
      <c r="D30" s="32">
        <f>B30/C30</f>
        <v>0.65825</v>
      </c>
    </row>
    <row r="31" spans="1:5" outlineLevel="1" x14ac:dyDescent="0.2">
      <c r="A31" s="30" t="s">
        <v>33</v>
      </c>
      <c r="B31" s="31">
        <v>7380</v>
      </c>
      <c r="C31" s="31">
        <v>15000</v>
      </c>
      <c r="D31" s="32">
        <f>B31/C31</f>
        <v>0.49199999999999999</v>
      </c>
    </row>
    <row r="32" spans="1:5" outlineLevel="1" x14ac:dyDescent="0.2">
      <c r="A32" s="27" t="s">
        <v>34</v>
      </c>
      <c r="B32" s="28"/>
      <c r="C32" s="28">
        <v>30000</v>
      </c>
      <c r="D32" s="32">
        <f t="shared" ref="D32:D33" si="0">B32/C32</f>
        <v>0</v>
      </c>
    </row>
    <row r="33" spans="1:8" outlineLevel="1" x14ac:dyDescent="0.2">
      <c r="A33" s="33" t="s">
        <v>35</v>
      </c>
      <c r="B33" s="34"/>
      <c r="C33" s="34">
        <v>50000</v>
      </c>
      <c r="D33" s="32">
        <f t="shared" si="0"/>
        <v>0</v>
      </c>
      <c r="H33" s="35"/>
    </row>
    <row r="34" spans="1:8" ht="15" outlineLevel="1" x14ac:dyDescent="0.25">
      <c r="A34" s="36" t="s">
        <v>36</v>
      </c>
      <c r="B34" s="37">
        <f>SUM(B22:B33)</f>
        <v>38703.800000000003</v>
      </c>
      <c r="C34" s="38">
        <f>SUM(C22:C33)</f>
        <v>125000</v>
      </c>
      <c r="D34" s="39"/>
    </row>
    <row r="35" spans="1:8" outlineLevel="1" x14ac:dyDescent="0.2">
      <c r="A35" s="41" t="s">
        <v>37</v>
      </c>
      <c r="B35" s="42">
        <f>AVERAGE(B29:B33)</f>
        <v>12901.266666666668</v>
      </c>
      <c r="C35" s="42">
        <f>AVERAGE(C29:C33)</f>
        <v>25000</v>
      </c>
      <c r="D35" s="43">
        <f>B35/C35</f>
        <v>0.51605066666666677</v>
      </c>
    </row>
    <row r="38" spans="1:8" ht="15" x14ac:dyDescent="0.25">
      <c r="A38" s="386" t="s">
        <v>38</v>
      </c>
      <c r="B38" s="386"/>
      <c r="C38" s="386"/>
      <c r="D38" s="386"/>
    </row>
    <row r="39" spans="1:8" s="45" customFormat="1" outlineLevel="1" x14ac:dyDescent="0.2">
      <c r="A39" s="44" t="s">
        <v>39</v>
      </c>
      <c r="B39" s="44" t="s">
        <v>40</v>
      </c>
      <c r="C39" s="44" t="s">
        <v>41</v>
      </c>
      <c r="D39" s="44" t="s">
        <v>42</v>
      </c>
      <c r="E39" s="44" t="s">
        <v>43</v>
      </c>
      <c r="F39" s="2"/>
    </row>
    <row r="40" spans="1:8" outlineLevel="1" x14ac:dyDescent="0.2">
      <c r="A40" s="8">
        <f>B31</f>
        <v>7380</v>
      </c>
      <c r="B40" s="46">
        <f>50000</f>
        <v>50000</v>
      </c>
      <c r="C40" s="136">
        <f>A40*0.06</f>
        <v>442.8</v>
      </c>
      <c r="D40" s="47">
        <f>SUM(G135:G137)</f>
        <v>10020</v>
      </c>
      <c r="E40" s="48">
        <v>0</v>
      </c>
    </row>
    <row r="41" spans="1:8" outlineLevel="1" x14ac:dyDescent="0.2">
      <c r="A41" s="49" t="s">
        <v>44</v>
      </c>
      <c r="B41" s="137">
        <f>Таблица294459759110712313915517118730466278941101261421585565725886026166306466626786947117282843[Оклад]+Таблица294459759110712313915517118730466278941101261421585565725886026166306466626786947117282843[Премия]+Таблица294459759110712313915517118730466278941101261421585565725886026166306466626786947117282843[Штрафы]+Таблица294459759110712313915517118730466278941101261421585565725886026166306466626786947117282843[Доплата за Задачи]</f>
        <v>60462.8</v>
      </c>
      <c r="C41" s="50"/>
    </row>
    <row r="42" spans="1:8" x14ac:dyDescent="0.2">
      <c r="A42" s="40"/>
      <c r="B42" s="40"/>
    </row>
    <row r="43" spans="1:8" x14ac:dyDescent="0.2">
      <c r="A43" s="51"/>
      <c r="B43" s="51"/>
      <c r="C43" s="51"/>
      <c r="D43" s="52"/>
      <c r="E43" s="51"/>
      <c r="F43" s="53"/>
      <c r="H43" s="22"/>
    </row>
    <row r="44" spans="1:8" ht="15" x14ac:dyDescent="0.25">
      <c r="A44" s="386" t="s">
        <v>45</v>
      </c>
      <c r="B44" s="386"/>
      <c r="C44" s="386"/>
      <c r="D44" s="386"/>
      <c r="E44" s="53"/>
      <c r="F44" s="53"/>
      <c r="H44" s="22"/>
    </row>
    <row r="45" spans="1:8" outlineLevel="1" x14ac:dyDescent="0.2">
      <c r="A45" s="5" t="s">
        <v>46</v>
      </c>
      <c r="B45" s="5" t="s">
        <v>47</v>
      </c>
      <c r="C45" s="5" t="s">
        <v>48</v>
      </c>
      <c r="D45" s="54" t="s">
        <v>49</v>
      </c>
      <c r="E45" s="51"/>
      <c r="G45" s="40"/>
    </row>
    <row r="46" spans="1:8" ht="24.95" customHeight="1" outlineLevel="1" x14ac:dyDescent="0.2">
      <c r="A46" s="55" t="s">
        <v>24</v>
      </c>
      <c r="B46" s="56"/>
      <c r="C46" s="56"/>
      <c r="D46" s="57"/>
      <c r="E46" s="51"/>
      <c r="G46" s="40"/>
    </row>
    <row r="47" spans="1:8" ht="24.95" customHeight="1" outlineLevel="1" x14ac:dyDescent="0.2">
      <c r="A47" s="55" t="s">
        <v>24</v>
      </c>
      <c r="B47" s="58"/>
      <c r="C47" s="58"/>
      <c r="D47" s="57"/>
      <c r="E47" s="51"/>
      <c r="G47" s="40"/>
    </row>
    <row r="48" spans="1:8" ht="24.95" customHeight="1" outlineLevel="1" x14ac:dyDescent="0.2">
      <c r="A48" s="59" t="s">
        <v>24</v>
      </c>
      <c r="B48" s="58"/>
      <c r="C48" s="58"/>
      <c r="D48" s="57"/>
      <c r="E48" s="51"/>
      <c r="G48" s="40"/>
    </row>
    <row r="49" spans="1:8" ht="24.95" customHeight="1" outlineLevel="1" x14ac:dyDescent="0.2">
      <c r="A49" s="55" t="s">
        <v>24</v>
      </c>
      <c r="B49" s="60"/>
      <c r="C49" s="60"/>
      <c r="D49" s="61"/>
      <c r="E49" s="51"/>
      <c r="G49" s="62"/>
      <c r="H49" s="6"/>
    </row>
    <row r="50" spans="1:8" outlineLevel="1" x14ac:dyDescent="0.2">
      <c r="A50" s="63"/>
      <c r="B50" s="64" t="s">
        <v>50</v>
      </c>
      <c r="C50" s="65">
        <f>SUM(Таблица5462433183239465360677425323946536067748188951021124375064789210611012914115316518517334965819711312914516117720365268841001161321485475635795936076216376536696857027191934[Общая сумма долга])</f>
        <v>0</v>
      </c>
      <c r="D50" s="66">
        <v>0</v>
      </c>
      <c r="E50" s="67" t="s">
        <v>51</v>
      </c>
      <c r="F50" s="51"/>
      <c r="G50" s="51"/>
      <c r="H50" s="51"/>
    </row>
    <row r="51" spans="1:8" outlineLevel="1" x14ac:dyDescent="0.2">
      <c r="A51" s="63"/>
      <c r="B51" s="64"/>
      <c r="C51" s="65"/>
      <c r="D51" s="51"/>
      <c r="E51" s="51"/>
      <c r="F51" s="51"/>
      <c r="G51" s="51"/>
      <c r="H51" s="51"/>
    </row>
    <row r="52" spans="1:8" x14ac:dyDescent="0.2">
      <c r="A52" s="63"/>
      <c r="B52" s="51"/>
      <c r="C52" s="51"/>
      <c r="D52" s="52"/>
      <c r="E52" s="51"/>
      <c r="F52" s="53"/>
      <c r="G52" s="51"/>
      <c r="H52" s="68"/>
    </row>
    <row r="53" spans="1:8" x14ac:dyDescent="0.2">
      <c r="A53" s="63"/>
      <c r="B53" s="51"/>
      <c r="C53" s="51"/>
      <c r="D53" s="52"/>
      <c r="E53" s="51"/>
      <c r="F53" s="53"/>
      <c r="G53" s="51"/>
      <c r="H53" s="68"/>
    </row>
    <row r="54" spans="1:8" ht="15" x14ac:dyDescent="0.25">
      <c r="A54" s="386" t="s">
        <v>52</v>
      </c>
      <c r="B54" s="386"/>
      <c r="C54" s="386"/>
      <c r="D54" s="386"/>
      <c r="E54" s="53"/>
      <c r="F54" s="53"/>
      <c r="G54" s="51"/>
    </row>
    <row r="55" spans="1:8" s="6" customFormat="1" outlineLevel="1" x14ac:dyDescent="0.2">
      <c r="A55" s="18" t="s">
        <v>53</v>
      </c>
      <c r="B55" s="19" t="s">
        <v>54</v>
      </c>
      <c r="C55" s="200" t="s">
        <v>55</v>
      </c>
      <c r="D55" s="69" t="s">
        <v>56</v>
      </c>
      <c r="E55" s="69" t="s">
        <v>4</v>
      </c>
      <c r="F55" s="70" t="s">
        <v>57</v>
      </c>
    </row>
    <row r="56" spans="1:8" ht="24.95" customHeight="1" outlineLevel="1" x14ac:dyDescent="0.2">
      <c r="A56" s="71" t="s">
        <v>273</v>
      </c>
      <c r="B56" s="75">
        <v>69514</v>
      </c>
      <c r="C56" s="75">
        <v>3970</v>
      </c>
      <c r="D56" s="128">
        <v>6.0999999999999999E-2</v>
      </c>
      <c r="E56" s="74" t="s">
        <v>177</v>
      </c>
      <c r="F56" s="127" t="s">
        <v>272</v>
      </c>
    </row>
    <row r="57" spans="1:8" ht="24.95" customHeight="1" outlineLevel="1" x14ac:dyDescent="0.2">
      <c r="A57" s="71" t="s">
        <v>271</v>
      </c>
      <c r="B57" s="72">
        <v>50700</v>
      </c>
      <c r="C57" s="72">
        <v>2520</v>
      </c>
      <c r="D57" s="73">
        <v>5.1999999999999998E-2</v>
      </c>
      <c r="E57" s="74" t="s">
        <v>177</v>
      </c>
      <c r="F57" s="55" t="s">
        <v>268</v>
      </c>
    </row>
    <row r="58" spans="1:8" outlineLevel="1" x14ac:dyDescent="0.2">
      <c r="A58" s="76"/>
      <c r="B58" s="77">
        <f>SUM(Таблица163346597387101115122134146158170190223854708610211813415016618225415773891051211371535515675835976116256416576736897067232338[Оборот])</f>
        <v>120214</v>
      </c>
      <c r="C58" s="77">
        <f>SUM(C56:C57)</f>
        <v>6490</v>
      </c>
      <c r="D58" s="78">
        <f>Таблица163346597387101115122134146158170190223854708610211813415016618225415773891051211371535515675835976116256416576736897067232338[[#Totals],[Профит ]]/Таблица163346597387101115122134146158170190223854708610211813415016618225415773891051211371535515675835976116256416576736897067232338[[#Totals],[Оборот]]</f>
        <v>5.3987056416058027E-2</v>
      </c>
      <c r="E58" s="77"/>
      <c r="F58" s="7"/>
      <c r="G58" s="51"/>
    </row>
    <row r="59" spans="1:8" x14ac:dyDescent="0.2">
      <c r="A59" s="51"/>
      <c r="B59" s="51"/>
      <c r="C59" s="51"/>
      <c r="D59" s="52"/>
      <c r="E59" s="51"/>
      <c r="F59" s="53"/>
      <c r="G59" s="51"/>
    </row>
    <row r="60" spans="1:8" ht="15" x14ac:dyDescent="0.25">
      <c r="A60" s="386" t="s">
        <v>58</v>
      </c>
      <c r="B60" s="386"/>
      <c r="C60" s="386"/>
      <c r="D60" s="386"/>
      <c r="E60" s="79"/>
      <c r="F60" s="79"/>
    </row>
    <row r="61" spans="1:8" ht="15" customHeight="1" outlineLevel="1" x14ac:dyDescent="0.2">
      <c r="A61" s="80">
        <v>45689</v>
      </c>
      <c r="B61" s="81" t="s">
        <v>21</v>
      </c>
      <c r="C61" s="81" t="s">
        <v>59</v>
      </c>
      <c r="D61" s="81" t="s">
        <v>60</v>
      </c>
      <c r="E61" s="81" t="s">
        <v>61</v>
      </c>
      <c r="F61" s="81" t="s">
        <v>62</v>
      </c>
      <c r="G61" s="81" t="s">
        <v>63</v>
      </c>
      <c r="H61" s="81" t="s">
        <v>64</v>
      </c>
    </row>
    <row r="62" spans="1:8" outlineLevel="1" x14ac:dyDescent="0.2">
      <c r="A62" s="82"/>
      <c r="B62" s="83">
        <f>C32</f>
        <v>30000</v>
      </c>
      <c r="C62" s="84">
        <v>10000</v>
      </c>
      <c r="D62" s="84">
        <v>25000</v>
      </c>
      <c r="E62" s="84">
        <v>0</v>
      </c>
      <c r="F62" s="140">
        <v>0</v>
      </c>
      <c r="G62" s="84">
        <f>C62+D62+E62*0.5+F62*0.05</f>
        <v>35000</v>
      </c>
      <c r="H62" s="85">
        <f>Таблица9132738193340475461687582899682891101171241311381451521591661731801871945121926334047546168758289961031101171241311381451521591661741821902052131241361481601721922440627894110126142158174190334965819711312914516155957559160361763164766367969571744[[#This Row],[Столбец6]]/Таблица9132738193340475461687582899682891101171241311381451521591661731801871945121926334047546168758289961031101171241311381451521591661741821902052131241361481601721922440627894110126142158174190334965819711312914516155957559160361763164766367969571744[[#This Row],[Столбец1]]</f>
        <v>1.1666666666666667</v>
      </c>
    </row>
    <row r="63" spans="1:8" outlineLevel="1" x14ac:dyDescent="0.2">
      <c r="A63" s="40"/>
      <c r="B63" s="40"/>
      <c r="C63" s="40"/>
      <c r="D63" s="40"/>
      <c r="E63" s="40"/>
      <c r="F63" s="40"/>
      <c r="G63" s="40"/>
      <c r="H63" s="86"/>
    </row>
    <row r="64" spans="1:8" outlineLevel="1" x14ac:dyDescent="0.2">
      <c r="A64" s="80">
        <v>45717</v>
      </c>
      <c r="B64" s="81" t="s">
        <v>21</v>
      </c>
      <c r="C64" s="81" t="s">
        <v>59</v>
      </c>
      <c r="D64" s="81" t="s">
        <v>60</v>
      </c>
      <c r="E64" s="81" t="s">
        <v>61</v>
      </c>
      <c r="F64" s="81" t="s">
        <v>62</v>
      </c>
      <c r="G64" s="81" t="s">
        <v>63</v>
      </c>
      <c r="H64" s="81" t="s">
        <v>64</v>
      </c>
    </row>
    <row r="65" spans="1:8" ht="15" customHeight="1" outlineLevel="1" x14ac:dyDescent="0.2">
      <c r="A65" s="87"/>
      <c r="B65" s="84">
        <f>C33</f>
        <v>50000</v>
      </c>
      <c r="C65" s="24">
        <v>0</v>
      </c>
      <c r="D65" s="24">
        <v>0</v>
      </c>
      <c r="E65" s="84"/>
      <c r="F65" s="84"/>
      <c r="G65" s="83">
        <f>D65+C65+E65*0.5+F65*0.05</f>
        <v>0</v>
      </c>
      <c r="H65" s="85">
        <f>Таблица9132738193340475461687582899682891101171241311381451521591661731801871945121926334047546168758289961031101171241311381451521591661741821902052131191251371491611731932541567288104120136152168184274359759110712313915555356958559961362764365967569740[[#This Row],[Столбец6]]/Таблица9132738193340475461687582899682891101171241311381451521591661731801871945121926334047546168758289961031101171241311381451521591661741821902052131191251371491611731932541567288104120136152168184274359759110712313915555356958559961362764365967569740[[#This Row],[Столбец1]]</f>
        <v>0</v>
      </c>
    </row>
    <row r="66" spans="1:8" x14ac:dyDescent="0.2">
      <c r="A66" s="63"/>
      <c r="B66" s="51"/>
      <c r="C66" s="51"/>
      <c r="D66" s="52"/>
      <c r="E66" s="51"/>
    </row>
    <row r="67" spans="1:8" x14ac:dyDescent="0.2">
      <c r="A67" s="51"/>
      <c r="B67" s="51"/>
      <c r="C67" s="51"/>
      <c r="D67" s="52"/>
      <c r="E67" s="51"/>
    </row>
    <row r="68" spans="1:8" ht="15.75" x14ac:dyDescent="0.25">
      <c r="A68" s="88" t="s">
        <v>65</v>
      </c>
      <c r="B68" s="89"/>
    </row>
    <row r="69" spans="1:8" ht="15" x14ac:dyDescent="0.25">
      <c r="A69" s="387" t="s">
        <v>66</v>
      </c>
      <c r="B69" s="387"/>
      <c r="C69" s="387"/>
      <c r="D69" s="387"/>
      <c r="E69" s="90"/>
      <c r="F69" s="90"/>
      <c r="G69" s="13">
        <f>SUM(Таблица4211720344148556269768390978390111118125132139146153160167174181188195613202734414855626976839097104111118125132139146153160167175183198206214123135147159171191233955718710311913515116718326425874901061221381545525685845986126266426586746907077239[Сумма, тыс. руб.])*1000</f>
        <v>188000</v>
      </c>
    </row>
    <row r="70" spans="1:8" outlineLevel="1" x14ac:dyDescent="0.2">
      <c r="A70" s="91" t="s">
        <v>67</v>
      </c>
      <c r="B70" s="91" t="s">
        <v>53</v>
      </c>
      <c r="C70" s="91" t="s">
        <v>4</v>
      </c>
      <c r="D70" s="91" t="s">
        <v>68</v>
      </c>
      <c r="E70" s="91" t="s">
        <v>69</v>
      </c>
      <c r="F70" s="91" t="s">
        <v>70</v>
      </c>
      <c r="G70" s="91" t="s">
        <v>71</v>
      </c>
      <c r="H70" s="91" t="s">
        <v>72</v>
      </c>
    </row>
    <row r="71" spans="1:8" ht="24.95" customHeight="1" outlineLevel="1" x14ac:dyDescent="0.2">
      <c r="A71" s="55" t="s">
        <v>183</v>
      </c>
      <c r="B71" s="55" t="s">
        <v>269</v>
      </c>
      <c r="C71" s="151" t="s">
        <v>94</v>
      </c>
      <c r="D71" s="152" t="s">
        <v>73</v>
      </c>
      <c r="E71" s="55" t="s">
        <v>250</v>
      </c>
      <c r="F71" s="153">
        <v>45689</v>
      </c>
      <c r="G71" s="154">
        <v>64</v>
      </c>
      <c r="H71" s="155" t="s">
        <v>168</v>
      </c>
    </row>
    <row r="72" spans="1:8" ht="24.95" customHeight="1" outlineLevel="1" x14ac:dyDescent="0.2">
      <c r="A72" s="190" t="s">
        <v>277</v>
      </c>
      <c r="B72" s="176" t="s">
        <v>278</v>
      </c>
      <c r="C72" s="151" t="s">
        <v>94</v>
      </c>
      <c r="D72" s="152" t="s">
        <v>73</v>
      </c>
      <c r="E72" s="178" t="s">
        <v>279</v>
      </c>
      <c r="F72" s="153">
        <v>45689</v>
      </c>
      <c r="G72" s="189">
        <v>63</v>
      </c>
      <c r="H72" s="94" t="s">
        <v>280</v>
      </c>
    </row>
    <row r="73" spans="1:8" ht="24.95" customHeight="1" outlineLevel="1" x14ac:dyDescent="0.2">
      <c r="A73" s="55" t="s">
        <v>389</v>
      </c>
      <c r="B73" s="173" t="s">
        <v>391</v>
      </c>
      <c r="C73" s="151" t="s">
        <v>94</v>
      </c>
      <c r="D73" s="152" t="s">
        <v>73</v>
      </c>
      <c r="E73" s="109" t="s">
        <v>282</v>
      </c>
      <c r="F73" s="153">
        <v>45689</v>
      </c>
      <c r="G73" s="154">
        <v>61</v>
      </c>
      <c r="H73" s="173" t="s">
        <v>390</v>
      </c>
    </row>
    <row r="74" spans="1:8" x14ac:dyDescent="0.2">
      <c r="A74" s="104"/>
      <c r="B74" s="104"/>
      <c r="C74" s="105"/>
      <c r="D74" s="106"/>
      <c r="E74" s="106"/>
      <c r="F74" s="107"/>
      <c r="G74" s="108"/>
      <c r="H74" s="106"/>
    </row>
    <row r="75" spans="1:8" x14ac:dyDescent="0.2">
      <c r="A75" s="104"/>
      <c r="B75" s="104"/>
      <c r="C75" s="105"/>
      <c r="D75" s="106"/>
      <c r="E75" s="106"/>
      <c r="F75" s="107"/>
      <c r="G75" s="108"/>
      <c r="H75" s="106"/>
    </row>
    <row r="76" spans="1:8" ht="15" x14ac:dyDescent="0.25">
      <c r="A76" s="387" t="s">
        <v>74</v>
      </c>
      <c r="B76" s="387"/>
      <c r="C76" s="387"/>
      <c r="D76" s="387"/>
      <c r="G76" s="13">
        <f>SUM(Таблица125138150162174194264257738910512113715316918528446076921081241401565545705866006146286446606766927097262641[Сумма])*1000</f>
        <v>535000</v>
      </c>
    </row>
    <row r="77" spans="1:8" outlineLevel="1" x14ac:dyDescent="0.2">
      <c r="A77" s="91" t="s">
        <v>67</v>
      </c>
      <c r="B77" s="91" t="s">
        <v>53</v>
      </c>
      <c r="C77" s="91" t="s">
        <v>4</v>
      </c>
      <c r="D77" s="91" t="s">
        <v>68</v>
      </c>
      <c r="E77" s="91" t="s">
        <v>69</v>
      </c>
      <c r="F77" s="91" t="s">
        <v>70</v>
      </c>
      <c r="G77" s="91" t="s">
        <v>75</v>
      </c>
      <c r="H77" s="91" t="s">
        <v>72</v>
      </c>
    </row>
    <row r="78" spans="1:8" ht="24.95" customHeight="1" outlineLevel="1" x14ac:dyDescent="0.2">
      <c r="A78" s="55" t="s">
        <v>276</v>
      </c>
      <c r="B78" s="55" t="s">
        <v>267</v>
      </c>
      <c r="C78" s="151" t="s">
        <v>94</v>
      </c>
      <c r="D78" s="94" t="s">
        <v>73</v>
      </c>
      <c r="E78" s="94" t="s">
        <v>272</v>
      </c>
      <c r="F78" s="153">
        <v>45658</v>
      </c>
      <c r="G78" s="199">
        <v>50</v>
      </c>
      <c r="H78" s="94" t="s">
        <v>107</v>
      </c>
    </row>
    <row r="79" spans="1:8" ht="24.95" customHeight="1" outlineLevel="1" x14ac:dyDescent="0.2">
      <c r="A79" s="55" t="s">
        <v>274</v>
      </c>
      <c r="B79" s="55" t="s">
        <v>275</v>
      </c>
      <c r="C79" s="151" t="s">
        <v>94</v>
      </c>
      <c r="D79" s="94" t="s">
        <v>73</v>
      </c>
      <c r="E79" s="55" t="s">
        <v>270</v>
      </c>
      <c r="F79" s="153">
        <v>45658</v>
      </c>
      <c r="G79" s="102">
        <v>109</v>
      </c>
      <c r="H79" s="94" t="s">
        <v>107</v>
      </c>
    </row>
    <row r="80" spans="1:8" ht="24.95" customHeight="1" outlineLevel="1" x14ac:dyDescent="0.2">
      <c r="A80" s="55" t="s">
        <v>274</v>
      </c>
      <c r="B80" s="55" t="s">
        <v>267</v>
      </c>
      <c r="C80" s="151" t="s">
        <v>94</v>
      </c>
      <c r="D80" s="94" t="s">
        <v>73</v>
      </c>
      <c r="E80" s="188" t="s">
        <v>270</v>
      </c>
      <c r="F80" s="153">
        <v>45689</v>
      </c>
      <c r="G80" s="189">
        <v>190</v>
      </c>
      <c r="H80" s="94" t="s">
        <v>107</v>
      </c>
    </row>
    <row r="81" spans="1:8" ht="24.95" customHeight="1" outlineLevel="1" x14ac:dyDescent="0.2">
      <c r="A81" s="55" t="s">
        <v>183</v>
      </c>
      <c r="B81" s="55" t="s">
        <v>269</v>
      </c>
      <c r="C81" s="151" t="s">
        <v>94</v>
      </c>
      <c r="D81" s="152" t="s">
        <v>73</v>
      </c>
      <c r="E81" s="55" t="s">
        <v>250</v>
      </c>
      <c r="F81" s="153">
        <v>45689</v>
      </c>
      <c r="G81" s="154">
        <v>64</v>
      </c>
      <c r="H81" s="173" t="s">
        <v>168</v>
      </c>
    </row>
    <row r="82" spans="1:8" ht="24.95" customHeight="1" outlineLevel="1" x14ac:dyDescent="0.2">
      <c r="A82" s="55" t="s">
        <v>283</v>
      </c>
      <c r="B82" s="55" t="s">
        <v>281</v>
      </c>
      <c r="C82" s="151" t="s">
        <v>94</v>
      </c>
      <c r="D82" s="152" t="s">
        <v>73</v>
      </c>
      <c r="E82" s="55" t="s">
        <v>282</v>
      </c>
      <c r="F82" s="153">
        <v>45658</v>
      </c>
      <c r="G82" s="102">
        <v>61</v>
      </c>
      <c r="H82" s="173" t="s">
        <v>284</v>
      </c>
    </row>
    <row r="83" spans="1:8" ht="24.95" customHeight="1" outlineLevel="1" x14ac:dyDescent="0.2">
      <c r="A83" s="55" t="s">
        <v>389</v>
      </c>
      <c r="B83" s="173" t="s">
        <v>391</v>
      </c>
      <c r="C83" s="151" t="s">
        <v>94</v>
      </c>
      <c r="D83" s="152" t="s">
        <v>73</v>
      </c>
      <c r="E83" s="109" t="s">
        <v>282</v>
      </c>
      <c r="F83" s="153">
        <v>45689</v>
      </c>
      <c r="G83" s="154">
        <v>61</v>
      </c>
      <c r="H83" s="173" t="s">
        <v>390</v>
      </c>
    </row>
    <row r="84" spans="1:8" ht="15" customHeight="1" x14ac:dyDescent="0.2"/>
    <row r="85" spans="1:8" ht="15" customHeight="1" x14ac:dyDescent="0.2"/>
    <row r="86" spans="1:8" ht="15.75" x14ac:dyDescent="0.25">
      <c r="A86" s="1" t="s">
        <v>76</v>
      </c>
    </row>
    <row r="87" spans="1:8" ht="15" x14ac:dyDescent="0.25">
      <c r="A87" s="386" t="s">
        <v>77</v>
      </c>
      <c r="B87" s="386"/>
      <c r="C87" s="386"/>
      <c r="D87" s="386"/>
      <c r="E87" s="110"/>
      <c r="F87" s="111"/>
    </row>
    <row r="88" spans="1:8" s="104" customFormat="1" outlineLevel="1" x14ac:dyDescent="0.25">
      <c r="A88" s="112" t="s">
        <v>78</v>
      </c>
      <c r="B88" s="112" t="s">
        <v>53</v>
      </c>
      <c r="C88" s="91" t="s">
        <v>4</v>
      </c>
      <c r="D88" s="112" t="s">
        <v>79</v>
      </c>
      <c r="E88" s="91" t="s">
        <v>80</v>
      </c>
      <c r="F88" s="112" t="s">
        <v>81</v>
      </c>
      <c r="G88" s="112" t="s">
        <v>82</v>
      </c>
    </row>
    <row r="89" spans="1:8" ht="24.95" customHeight="1" outlineLevel="1" x14ac:dyDescent="0.2">
      <c r="A89" s="113"/>
      <c r="B89" s="55"/>
      <c r="C89" s="93"/>
      <c r="D89" s="113"/>
      <c r="E89" s="55"/>
      <c r="F89" s="109"/>
      <c r="G89" s="94"/>
    </row>
    <row r="90" spans="1:8" ht="24.95" customHeight="1" outlineLevel="1" x14ac:dyDescent="0.2">
      <c r="A90" s="113" t="s">
        <v>24</v>
      </c>
      <c r="B90" s="116"/>
      <c r="C90" s="93"/>
      <c r="D90" s="113"/>
      <c r="E90" s="55"/>
      <c r="F90" s="55"/>
      <c r="G90" s="117"/>
    </row>
    <row r="91" spans="1:8" ht="24.95" customHeight="1" outlineLevel="1" x14ac:dyDescent="0.2">
      <c r="A91" s="113" t="s">
        <v>24</v>
      </c>
      <c r="B91" s="114"/>
      <c r="C91" s="93"/>
      <c r="D91" s="113"/>
      <c r="E91" s="74"/>
      <c r="F91" s="55"/>
      <c r="G91" s="117"/>
    </row>
    <row r="92" spans="1:8" x14ac:dyDescent="0.2">
      <c r="B92" s="118"/>
    </row>
    <row r="93" spans="1:8" x14ac:dyDescent="0.2">
      <c r="A93" s="118"/>
      <c r="B93" s="118"/>
    </row>
    <row r="94" spans="1:8" ht="15" x14ac:dyDescent="0.25">
      <c r="A94" s="387" t="s">
        <v>83</v>
      </c>
      <c r="B94" s="387"/>
      <c r="C94" s="387"/>
      <c r="D94" s="387"/>
    </row>
    <row r="95" spans="1:8" s="104" customFormat="1" ht="12" customHeight="1" outlineLevel="1" x14ac:dyDescent="0.25">
      <c r="A95" s="112" t="s">
        <v>78</v>
      </c>
      <c r="B95" s="112" t="s">
        <v>53</v>
      </c>
      <c r="C95" s="91" t="s">
        <v>4</v>
      </c>
      <c r="D95" s="112" t="s">
        <v>79</v>
      </c>
      <c r="E95" s="91" t="s">
        <v>80</v>
      </c>
      <c r="F95" s="112" t="s">
        <v>81</v>
      </c>
      <c r="G95" s="112" t="s">
        <v>82</v>
      </c>
    </row>
    <row r="96" spans="1:8" ht="24" customHeight="1" outlineLevel="1" x14ac:dyDescent="0.2">
      <c r="A96" s="116"/>
      <c r="B96" s="116"/>
      <c r="C96" s="119"/>
      <c r="D96" s="129" t="s">
        <v>108</v>
      </c>
      <c r="E96" s="55"/>
      <c r="F96" s="109"/>
      <c r="G96" s="109"/>
    </row>
    <row r="97" spans="1:7" ht="24" customHeight="1" outlineLevel="1" x14ac:dyDescent="0.2">
      <c r="A97" s="158">
        <v>45670</v>
      </c>
      <c r="B97" s="158" t="s">
        <v>286</v>
      </c>
      <c r="C97" s="159" t="s">
        <v>94</v>
      </c>
      <c r="D97" s="116" t="s">
        <v>290</v>
      </c>
      <c r="E97" s="152"/>
      <c r="F97" s="55" t="s">
        <v>109</v>
      </c>
      <c r="G97" s="109" t="s">
        <v>295</v>
      </c>
    </row>
    <row r="98" spans="1:7" ht="24" customHeight="1" outlineLevel="1" x14ac:dyDescent="0.2">
      <c r="A98" s="116">
        <v>45671</v>
      </c>
      <c r="B98" s="116" t="s">
        <v>285</v>
      </c>
      <c r="C98" s="159" t="s">
        <v>94</v>
      </c>
      <c r="D98" s="171" t="s">
        <v>291</v>
      </c>
      <c r="E98" s="152"/>
      <c r="F98" s="55" t="s">
        <v>109</v>
      </c>
      <c r="G98" s="109" t="s">
        <v>296</v>
      </c>
    </row>
    <row r="99" spans="1:7" ht="24" customHeight="1" outlineLevel="1" x14ac:dyDescent="0.2">
      <c r="A99" s="116">
        <v>45671</v>
      </c>
      <c r="B99" s="116" t="s">
        <v>287</v>
      </c>
      <c r="C99" s="159" t="s">
        <v>94</v>
      </c>
      <c r="D99" s="191" t="s">
        <v>292</v>
      </c>
      <c r="E99" s="152"/>
      <c r="F99" s="55" t="s">
        <v>109</v>
      </c>
      <c r="G99" s="109" t="s">
        <v>297</v>
      </c>
    </row>
    <row r="100" spans="1:7" ht="24" customHeight="1" outlineLevel="1" x14ac:dyDescent="0.2">
      <c r="A100" s="116">
        <v>45671</v>
      </c>
      <c r="B100" s="116" t="s">
        <v>288</v>
      </c>
      <c r="C100" s="159" t="s">
        <v>94</v>
      </c>
      <c r="D100" s="191" t="s">
        <v>293</v>
      </c>
      <c r="E100" s="152"/>
      <c r="F100" s="55" t="s">
        <v>109</v>
      </c>
      <c r="G100" s="109" t="s">
        <v>298</v>
      </c>
    </row>
    <row r="101" spans="1:7" ht="24" customHeight="1" outlineLevel="1" x14ac:dyDescent="0.2">
      <c r="A101" s="116">
        <v>45672</v>
      </c>
      <c r="B101" s="116" t="s">
        <v>289</v>
      </c>
      <c r="C101" s="159" t="s">
        <v>94</v>
      </c>
      <c r="D101" s="192" t="s">
        <v>294</v>
      </c>
      <c r="E101" s="152"/>
      <c r="F101" s="55" t="s">
        <v>109</v>
      </c>
      <c r="G101" s="109" t="s">
        <v>299</v>
      </c>
    </row>
    <row r="102" spans="1:7" ht="24" customHeight="1" outlineLevel="1" x14ac:dyDescent="0.2">
      <c r="A102" s="109"/>
      <c r="B102" s="116"/>
      <c r="C102" s="159"/>
      <c r="D102" s="129" t="s">
        <v>300</v>
      </c>
      <c r="E102" s="152"/>
      <c r="F102" s="55"/>
      <c r="G102" s="152"/>
    </row>
    <row r="103" spans="1:7" ht="24" customHeight="1" outlineLevel="1" x14ac:dyDescent="0.2">
      <c r="A103" s="116">
        <v>45680</v>
      </c>
      <c r="B103" s="116" t="s">
        <v>320</v>
      </c>
      <c r="C103" s="159" t="s">
        <v>94</v>
      </c>
      <c r="D103" s="109" t="s">
        <v>313</v>
      </c>
      <c r="E103" s="152"/>
      <c r="F103" s="55" t="s">
        <v>109</v>
      </c>
      <c r="G103" s="152" t="s">
        <v>321</v>
      </c>
    </row>
    <row r="104" spans="1:7" ht="24" customHeight="1" outlineLevel="1" x14ac:dyDescent="0.2">
      <c r="A104" s="116">
        <v>45680</v>
      </c>
      <c r="B104" s="116" t="s">
        <v>302</v>
      </c>
      <c r="C104" s="119" t="s">
        <v>94</v>
      </c>
      <c r="D104" s="116" t="s">
        <v>314</v>
      </c>
      <c r="E104" s="109"/>
      <c r="F104" s="109" t="s">
        <v>109</v>
      </c>
      <c r="G104" s="109" t="s">
        <v>311</v>
      </c>
    </row>
    <row r="105" spans="1:7" ht="24" customHeight="1" outlineLevel="1" x14ac:dyDescent="0.2">
      <c r="A105" s="116">
        <v>45685</v>
      </c>
      <c r="B105" s="116" t="s">
        <v>322</v>
      </c>
      <c r="C105" s="119" t="s">
        <v>94</v>
      </c>
      <c r="D105" s="109" t="s">
        <v>323</v>
      </c>
      <c r="E105" s="109"/>
      <c r="F105" s="109" t="s">
        <v>109</v>
      </c>
      <c r="G105" s="109" t="s">
        <v>324</v>
      </c>
    </row>
    <row r="106" spans="1:7" ht="24" customHeight="1" outlineLevel="1" x14ac:dyDescent="0.2">
      <c r="A106" s="116">
        <v>45685</v>
      </c>
      <c r="B106" s="116" t="s">
        <v>325</v>
      </c>
      <c r="C106" s="119" t="s">
        <v>94</v>
      </c>
      <c r="D106" s="109" t="s">
        <v>153</v>
      </c>
      <c r="E106" s="109"/>
      <c r="F106" s="109" t="s">
        <v>109</v>
      </c>
      <c r="G106" s="109" t="s">
        <v>326</v>
      </c>
    </row>
    <row r="107" spans="1:7" ht="24" customHeight="1" outlineLevel="1" x14ac:dyDescent="0.2">
      <c r="A107" s="116">
        <v>45684</v>
      </c>
      <c r="B107" s="116" t="s">
        <v>327</v>
      </c>
      <c r="C107" s="119" t="s">
        <v>94</v>
      </c>
      <c r="D107" s="109" t="s">
        <v>361</v>
      </c>
      <c r="E107" s="109"/>
      <c r="F107" s="109" t="s">
        <v>109</v>
      </c>
      <c r="G107" s="109" t="s">
        <v>328</v>
      </c>
    </row>
    <row r="108" spans="1:7" ht="24" customHeight="1" outlineLevel="1" x14ac:dyDescent="0.2">
      <c r="A108" s="116">
        <v>45684</v>
      </c>
      <c r="B108" s="116" t="s">
        <v>329</v>
      </c>
      <c r="C108" s="119" t="s">
        <v>94</v>
      </c>
      <c r="D108" s="109" t="s">
        <v>362</v>
      </c>
      <c r="E108" s="109"/>
      <c r="F108" s="109" t="s">
        <v>109</v>
      </c>
      <c r="G108" s="109" t="s">
        <v>330</v>
      </c>
    </row>
    <row r="109" spans="1:7" ht="24" customHeight="1" outlineLevel="1" x14ac:dyDescent="0.2">
      <c r="A109" s="116">
        <v>45684</v>
      </c>
      <c r="B109" s="109" t="s">
        <v>331</v>
      </c>
      <c r="C109" s="119" t="s">
        <v>94</v>
      </c>
      <c r="D109" s="116" t="s">
        <v>333</v>
      </c>
      <c r="E109" s="109"/>
      <c r="F109" s="109" t="s">
        <v>109</v>
      </c>
      <c r="G109" s="109" t="s">
        <v>332</v>
      </c>
    </row>
    <row r="110" spans="1:7" ht="24" customHeight="1" outlineLevel="1" x14ac:dyDescent="0.2">
      <c r="A110" s="116">
        <v>45684</v>
      </c>
      <c r="B110" s="116" t="s">
        <v>303</v>
      </c>
      <c r="C110" s="119" t="s">
        <v>94</v>
      </c>
      <c r="D110" s="116" t="s">
        <v>315</v>
      </c>
      <c r="E110" s="109"/>
      <c r="F110" s="109" t="s">
        <v>109</v>
      </c>
      <c r="G110" s="109" t="s">
        <v>312</v>
      </c>
    </row>
    <row r="111" spans="1:7" ht="24" customHeight="1" outlineLevel="1" x14ac:dyDescent="0.2">
      <c r="A111" s="116">
        <v>45684</v>
      </c>
      <c r="B111" s="116" t="s">
        <v>301</v>
      </c>
      <c r="C111" s="119" t="s">
        <v>94</v>
      </c>
      <c r="D111" s="116" t="s">
        <v>316</v>
      </c>
      <c r="E111" s="109"/>
      <c r="F111" s="109" t="s">
        <v>109</v>
      </c>
      <c r="G111" s="109" t="s">
        <v>310</v>
      </c>
    </row>
    <row r="112" spans="1:7" ht="24" customHeight="1" outlineLevel="1" x14ac:dyDescent="0.2">
      <c r="A112" s="116">
        <v>45686</v>
      </c>
      <c r="B112" s="116" t="s">
        <v>304</v>
      </c>
      <c r="C112" s="119" t="s">
        <v>94</v>
      </c>
      <c r="D112" s="116" t="s">
        <v>317</v>
      </c>
      <c r="E112" s="109"/>
      <c r="F112" s="109" t="s">
        <v>109</v>
      </c>
      <c r="G112" s="109" t="s">
        <v>309</v>
      </c>
    </row>
    <row r="113" spans="1:7" ht="24" customHeight="1" outlineLevel="1" x14ac:dyDescent="0.2">
      <c r="A113" s="116">
        <v>45686</v>
      </c>
      <c r="B113" s="109" t="s">
        <v>334</v>
      </c>
      <c r="C113" s="119" t="s">
        <v>94</v>
      </c>
      <c r="D113" s="116" t="s">
        <v>335</v>
      </c>
      <c r="E113" s="109"/>
      <c r="F113" s="109" t="s">
        <v>109</v>
      </c>
      <c r="G113" s="109" t="s">
        <v>336</v>
      </c>
    </row>
    <row r="114" spans="1:7" ht="24" customHeight="1" outlineLevel="1" x14ac:dyDescent="0.2">
      <c r="A114" s="116">
        <v>45686</v>
      </c>
      <c r="B114" s="116" t="s">
        <v>305</v>
      </c>
      <c r="C114" s="119" t="s">
        <v>94</v>
      </c>
      <c r="D114" s="116" t="s">
        <v>318</v>
      </c>
      <c r="E114" s="109"/>
      <c r="F114" s="109" t="s">
        <v>109</v>
      </c>
      <c r="G114" s="109" t="s">
        <v>308</v>
      </c>
    </row>
    <row r="115" spans="1:7" ht="24" customHeight="1" outlineLevel="1" x14ac:dyDescent="0.2">
      <c r="A115" s="116">
        <v>45686</v>
      </c>
      <c r="B115" s="116" t="s">
        <v>337</v>
      </c>
      <c r="C115" s="119" t="s">
        <v>94</v>
      </c>
      <c r="D115" s="116" t="s">
        <v>338</v>
      </c>
      <c r="E115" s="109"/>
      <c r="F115" s="109" t="s">
        <v>109</v>
      </c>
      <c r="G115" s="109" t="s">
        <v>339</v>
      </c>
    </row>
    <row r="116" spans="1:7" ht="24" customHeight="1" outlineLevel="1" x14ac:dyDescent="0.2">
      <c r="A116" s="116">
        <v>45686</v>
      </c>
      <c r="B116" s="116" t="s">
        <v>340</v>
      </c>
      <c r="C116" s="119" t="s">
        <v>94</v>
      </c>
      <c r="D116" s="116" t="s">
        <v>341</v>
      </c>
      <c r="E116" s="193"/>
      <c r="F116" s="109" t="s">
        <v>109</v>
      </c>
      <c r="G116" s="109" t="s">
        <v>342</v>
      </c>
    </row>
    <row r="117" spans="1:7" ht="24" customHeight="1" outlineLevel="1" x14ac:dyDescent="0.2">
      <c r="A117" s="116">
        <v>45686</v>
      </c>
      <c r="B117" s="116" t="s">
        <v>343</v>
      </c>
      <c r="C117" s="119" t="s">
        <v>94</v>
      </c>
      <c r="D117" s="116" t="s">
        <v>345</v>
      </c>
      <c r="E117" s="109"/>
      <c r="F117" s="109" t="s">
        <v>109</v>
      </c>
      <c r="G117" s="109" t="s">
        <v>344</v>
      </c>
    </row>
    <row r="118" spans="1:7" ht="24" customHeight="1" outlineLevel="1" x14ac:dyDescent="0.2">
      <c r="A118" s="195">
        <v>45686</v>
      </c>
      <c r="B118" s="195" t="s">
        <v>346</v>
      </c>
      <c r="C118" s="196" t="s">
        <v>94</v>
      </c>
      <c r="D118" s="197" t="s">
        <v>347</v>
      </c>
      <c r="E118" s="194"/>
      <c r="F118" s="198" t="s">
        <v>109</v>
      </c>
      <c r="G118" s="194" t="s">
        <v>348</v>
      </c>
    </row>
    <row r="119" spans="1:7" ht="24" customHeight="1" outlineLevel="1" x14ac:dyDescent="0.2">
      <c r="A119" s="161">
        <v>45686</v>
      </c>
      <c r="B119" s="162" t="s">
        <v>306</v>
      </c>
      <c r="C119" s="163" t="s">
        <v>94</v>
      </c>
      <c r="D119" s="164" t="s">
        <v>319</v>
      </c>
      <c r="E119" s="165"/>
      <c r="F119" s="166" t="s">
        <v>109</v>
      </c>
      <c r="G119" s="166" t="s">
        <v>307</v>
      </c>
    </row>
    <row r="120" spans="1:7" ht="24" customHeight="1" outlineLevel="1" x14ac:dyDescent="0.2">
      <c r="A120" s="158">
        <v>45686</v>
      </c>
      <c r="B120" s="114" t="s">
        <v>349</v>
      </c>
      <c r="C120" s="159" t="s">
        <v>94</v>
      </c>
      <c r="D120" s="109" t="s">
        <v>350</v>
      </c>
      <c r="E120" s="152"/>
      <c r="F120" s="55" t="s">
        <v>109</v>
      </c>
      <c r="G120" s="55" t="s">
        <v>351</v>
      </c>
    </row>
    <row r="121" spans="1:7" ht="24" customHeight="1" outlineLevel="1" x14ac:dyDescent="0.2">
      <c r="A121" s="116">
        <v>45686</v>
      </c>
      <c r="B121" s="116" t="s">
        <v>352</v>
      </c>
      <c r="C121" s="159" t="s">
        <v>94</v>
      </c>
      <c r="D121" s="109" t="s">
        <v>353</v>
      </c>
      <c r="E121" s="109"/>
      <c r="F121" s="55" t="s">
        <v>109</v>
      </c>
      <c r="G121" s="109" t="s">
        <v>354</v>
      </c>
    </row>
    <row r="122" spans="1:7" ht="24" customHeight="1" outlineLevel="1" x14ac:dyDescent="0.2">
      <c r="A122" s="158">
        <v>45686</v>
      </c>
      <c r="B122" s="114" t="s">
        <v>355</v>
      </c>
      <c r="C122" s="159" t="s">
        <v>94</v>
      </c>
      <c r="D122" s="109" t="s">
        <v>356</v>
      </c>
      <c r="E122" s="152"/>
      <c r="F122" s="55" t="s">
        <v>109</v>
      </c>
      <c r="G122" s="55" t="s">
        <v>357</v>
      </c>
    </row>
    <row r="123" spans="1:7" ht="24" customHeight="1" outlineLevel="1" x14ac:dyDescent="0.2">
      <c r="A123" s="116">
        <v>45686</v>
      </c>
      <c r="B123" s="116" t="s">
        <v>358</v>
      </c>
      <c r="C123" s="159" t="s">
        <v>94</v>
      </c>
      <c r="D123" s="109" t="s">
        <v>359</v>
      </c>
      <c r="E123" s="109"/>
      <c r="F123" s="55" t="s">
        <v>109</v>
      </c>
      <c r="G123" s="109" t="s">
        <v>360</v>
      </c>
    </row>
    <row r="124" spans="1:7" ht="24" customHeight="1" outlineLevel="1" x14ac:dyDescent="0.2">
      <c r="A124" s="116">
        <v>45687</v>
      </c>
      <c r="B124" s="116" t="s">
        <v>363</v>
      </c>
      <c r="C124" s="159" t="s">
        <v>94</v>
      </c>
      <c r="D124" s="173" t="s">
        <v>364</v>
      </c>
      <c r="E124" s="109"/>
      <c r="F124" s="55" t="s">
        <v>109</v>
      </c>
      <c r="G124" s="109" t="s">
        <v>365</v>
      </c>
    </row>
    <row r="125" spans="1:7" ht="24" customHeight="1" outlineLevel="1" x14ac:dyDescent="0.2">
      <c r="A125" s="114">
        <v>45688</v>
      </c>
      <c r="B125" s="116" t="s">
        <v>384</v>
      </c>
      <c r="C125" s="159" t="s">
        <v>94</v>
      </c>
      <c r="D125" s="173" t="s">
        <v>383</v>
      </c>
      <c r="E125" s="109"/>
      <c r="F125" s="55" t="s">
        <v>109</v>
      </c>
      <c r="G125" s="109" t="s">
        <v>385</v>
      </c>
    </row>
    <row r="126" spans="1:7" ht="24" customHeight="1" outlineLevel="1" x14ac:dyDescent="0.2">
      <c r="A126" s="114">
        <v>45688</v>
      </c>
      <c r="B126" s="116" t="s">
        <v>386</v>
      </c>
      <c r="C126" s="159" t="s">
        <v>94</v>
      </c>
      <c r="D126" s="173" t="s">
        <v>388</v>
      </c>
      <c r="E126" s="109"/>
      <c r="F126" s="55" t="s">
        <v>109</v>
      </c>
      <c r="G126" s="109" t="s">
        <v>387</v>
      </c>
    </row>
    <row r="127" spans="1:7" ht="24" customHeight="1" outlineLevel="1" x14ac:dyDescent="0.2">
      <c r="A127" s="116">
        <v>45687</v>
      </c>
      <c r="B127" s="116" t="s">
        <v>366</v>
      </c>
      <c r="C127" s="159" t="s">
        <v>94</v>
      </c>
      <c r="D127" s="173" t="s">
        <v>367</v>
      </c>
      <c r="E127" s="109"/>
      <c r="F127" s="55" t="s">
        <v>109</v>
      </c>
      <c r="G127" s="109" t="s">
        <v>368</v>
      </c>
    </row>
    <row r="128" spans="1:7" ht="24" customHeight="1" outlineLevel="1" x14ac:dyDescent="0.2">
      <c r="A128" s="116">
        <v>45687</v>
      </c>
      <c r="B128" s="116" t="s">
        <v>369</v>
      </c>
      <c r="C128" s="159" t="s">
        <v>94</v>
      </c>
      <c r="D128" s="173" t="s">
        <v>370</v>
      </c>
      <c r="E128" s="109"/>
      <c r="F128" s="55" t="s">
        <v>109</v>
      </c>
      <c r="G128" s="109" t="s">
        <v>371</v>
      </c>
    </row>
    <row r="129" spans="1:15" ht="24" customHeight="1" outlineLevel="1" x14ac:dyDescent="0.2">
      <c r="A129" s="116">
        <v>45687</v>
      </c>
      <c r="B129" s="116" t="s">
        <v>372</v>
      </c>
      <c r="C129" s="159" t="s">
        <v>94</v>
      </c>
      <c r="D129" s="173" t="s">
        <v>374</v>
      </c>
      <c r="E129" s="109"/>
      <c r="F129" s="55" t="s">
        <v>109</v>
      </c>
      <c r="G129" s="109" t="s">
        <v>373</v>
      </c>
    </row>
    <row r="130" spans="1:15" ht="24" customHeight="1" outlineLevel="1" x14ac:dyDescent="0.2">
      <c r="A130" s="158">
        <v>45687</v>
      </c>
      <c r="B130" s="116" t="s">
        <v>375</v>
      </c>
      <c r="C130" s="159" t="s">
        <v>94</v>
      </c>
      <c r="D130" s="173" t="s">
        <v>377</v>
      </c>
      <c r="E130" s="109"/>
      <c r="F130" s="55" t="s">
        <v>109</v>
      </c>
      <c r="G130" s="109" t="s">
        <v>376</v>
      </c>
    </row>
    <row r="131" spans="1:15" ht="24" customHeight="1" outlineLevel="1" x14ac:dyDescent="0.2">
      <c r="A131" s="114">
        <v>45687</v>
      </c>
      <c r="B131" s="116" t="s">
        <v>380</v>
      </c>
      <c r="C131" s="159" t="s">
        <v>94</v>
      </c>
      <c r="D131" s="173" t="s">
        <v>378</v>
      </c>
      <c r="E131" s="109"/>
      <c r="F131" s="55" t="s">
        <v>109</v>
      </c>
      <c r="G131" s="109" t="s">
        <v>379</v>
      </c>
    </row>
    <row r="132" spans="1:15" s="104" customFormat="1" ht="15.75" x14ac:dyDescent="0.25">
      <c r="A132" s="1" t="s">
        <v>84</v>
      </c>
      <c r="B132" s="2"/>
      <c r="C132" s="2"/>
      <c r="D132" s="2"/>
      <c r="E132" s="2"/>
      <c r="F132" s="2"/>
      <c r="G132" s="2"/>
    </row>
    <row r="133" spans="1:15" ht="15" x14ac:dyDescent="0.25">
      <c r="A133" s="386" t="s">
        <v>85</v>
      </c>
      <c r="B133" s="386"/>
      <c r="C133" s="386"/>
      <c r="D133" s="386"/>
    </row>
    <row r="134" spans="1:15" s="17" customFormat="1" ht="25.5" outlineLevel="1" x14ac:dyDescent="0.2">
      <c r="A134" s="120" t="s">
        <v>81</v>
      </c>
      <c r="B134" s="120" t="s">
        <v>86</v>
      </c>
      <c r="C134" s="120" t="s">
        <v>87</v>
      </c>
      <c r="D134" s="120" t="s">
        <v>88</v>
      </c>
      <c r="E134" s="120" t="s">
        <v>89</v>
      </c>
      <c r="F134" s="120" t="s">
        <v>4</v>
      </c>
      <c r="G134" s="120" t="s">
        <v>90</v>
      </c>
    </row>
    <row r="135" spans="1:15" ht="60" customHeight="1" outlineLevel="1" x14ac:dyDescent="0.2">
      <c r="A135" s="94"/>
      <c r="B135" s="94" t="s">
        <v>179</v>
      </c>
      <c r="C135" s="181" t="s">
        <v>91</v>
      </c>
      <c r="D135" s="72" t="s">
        <v>394</v>
      </c>
      <c r="E135" s="132" t="s">
        <v>382</v>
      </c>
      <c r="F135" s="74" t="s">
        <v>94</v>
      </c>
      <c r="G135" s="72">
        <v>0</v>
      </c>
    </row>
    <row r="136" spans="1:15" ht="60" customHeight="1" outlineLevel="1" x14ac:dyDescent="0.2">
      <c r="A136" s="130"/>
      <c r="B136" s="148" t="s">
        <v>99</v>
      </c>
      <c r="C136" s="181" t="s">
        <v>160</v>
      </c>
      <c r="D136" s="150" t="s">
        <v>392</v>
      </c>
      <c r="E136" s="121" t="s">
        <v>174</v>
      </c>
      <c r="F136" s="74" t="s">
        <v>94</v>
      </c>
      <c r="G136" s="131">
        <f>5000*0.59</f>
        <v>2950</v>
      </c>
    </row>
    <row r="137" spans="1:15" ht="60" customHeight="1" outlineLevel="1" x14ac:dyDescent="0.2">
      <c r="A137" s="94"/>
      <c r="B137" s="94" t="s">
        <v>264</v>
      </c>
      <c r="C137" s="181" t="s">
        <v>160</v>
      </c>
      <c r="D137" s="94" t="s">
        <v>265</v>
      </c>
      <c r="E137" s="132" t="s">
        <v>381</v>
      </c>
      <c r="F137" s="74" t="s">
        <v>94</v>
      </c>
      <c r="G137" s="9">
        <f>10100*0.7</f>
        <v>7070</v>
      </c>
    </row>
    <row r="138" spans="1:15" x14ac:dyDescent="0.2">
      <c r="B138" s="122"/>
      <c r="C138" s="123"/>
      <c r="F138" s="122"/>
    </row>
    <row r="139" spans="1:15" x14ac:dyDescent="0.2">
      <c r="A139" s="122"/>
      <c r="B139" s="122"/>
      <c r="C139" s="123"/>
      <c r="F139" s="122"/>
    </row>
    <row r="140" spans="1:15" ht="15" x14ac:dyDescent="0.25">
      <c r="A140" s="386" t="s">
        <v>92</v>
      </c>
      <c r="B140" s="386"/>
      <c r="C140" s="386"/>
      <c r="D140" s="386"/>
    </row>
    <row r="141" spans="1:15" s="124" customFormat="1" ht="25.5" outlineLevel="1" x14ac:dyDescent="0.2">
      <c r="A141" s="120" t="s">
        <v>81</v>
      </c>
      <c r="B141" s="120" t="s">
        <v>86</v>
      </c>
      <c r="C141" s="120" t="s">
        <v>87</v>
      </c>
      <c r="D141" s="120" t="s">
        <v>88</v>
      </c>
      <c r="E141" s="120" t="s">
        <v>89</v>
      </c>
      <c r="F141" s="120" t="s">
        <v>4</v>
      </c>
      <c r="G141" s="120" t="s">
        <v>90</v>
      </c>
      <c r="H141" s="2"/>
      <c r="I141" s="2"/>
      <c r="J141" s="2"/>
      <c r="K141" s="2"/>
      <c r="L141" s="2"/>
      <c r="M141" s="2"/>
      <c r="N141" s="2"/>
      <c r="O141" s="2"/>
    </row>
    <row r="142" spans="1:15" ht="60" customHeight="1" outlineLevel="1" x14ac:dyDescent="0.25">
      <c r="A142" s="94"/>
      <c r="B142" s="94"/>
      <c r="C142" s="125"/>
      <c r="D142"/>
      <c r="E142" s="121"/>
      <c r="F142" s="74" t="s">
        <v>94</v>
      </c>
      <c r="G142" s="9"/>
    </row>
    <row r="143" spans="1:15" ht="60" customHeight="1" outlineLevel="1" x14ac:dyDescent="0.25">
      <c r="A143" s="94"/>
      <c r="B143" s="94"/>
      <c r="C143" s="125"/>
      <c r="D143"/>
      <c r="E143" s="121"/>
      <c r="F143" s="74" t="s">
        <v>94</v>
      </c>
      <c r="G143" s="126"/>
    </row>
  </sheetData>
  <mergeCells count="14">
    <mergeCell ref="A133:D133"/>
    <mergeCell ref="A140:D140"/>
    <mergeCell ref="A54:D54"/>
    <mergeCell ref="A60:D60"/>
    <mergeCell ref="A69:D69"/>
    <mergeCell ref="A76:D76"/>
    <mergeCell ref="A87:D87"/>
    <mergeCell ref="A94:D94"/>
    <mergeCell ref="A44:D44"/>
    <mergeCell ref="A5:D5"/>
    <mergeCell ref="A10:D10"/>
    <mergeCell ref="A15:D15"/>
    <mergeCell ref="A20:D20"/>
    <mergeCell ref="A38:D38"/>
  </mergeCells>
  <conditionalFormatting sqref="G143 G137">
    <cfRule type="cellIs" dxfId="638" priority="19" operator="equal">
      <formula>"ДА"</formula>
    </cfRule>
    <cfRule type="cellIs" dxfId="637" priority="20" operator="equal">
      <formula>"НЕТ"</formula>
    </cfRule>
    <cfRule type="cellIs" dxfId="636" priority="21" operator="equal">
      <formula>"Нет"</formula>
    </cfRule>
    <cfRule type="cellIs" dxfId="635" priority="22" operator="equal">
      <formula>"нет"</formula>
    </cfRule>
    <cfRule type="cellIs" dxfId="634" priority="23" operator="equal">
      <formula>"ДА"</formula>
    </cfRule>
    <cfRule type="containsText" dxfId="633" priority="24" operator="containsText" text="Да">
      <formula>NOT(ISERROR(SEARCH("Да",G137)))</formula>
    </cfRule>
  </conditionalFormatting>
  <conditionalFormatting sqref="E7 E12">
    <cfRule type="cellIs" dxfId="632" priority="31" operator="lessThan">
      <formula>0</formula>
    </cfRule>
    <cfRule type="cellIs" dxfId="631" priority="32" operator="greaterThan">
      <formula>0</formula>
    </cfRule>
  </conditionalFormatting>
  <conditionalFormatting sqref="D7 D12 E17">
    <cfRule type="cellIs" dxfId="630" priority="29" operator="lessThan">
      <formula>0</formula>
    </cfRule>
    <cfRule type="cellIs" dxfId="629" priority="30" operator="greaterThan">
      <formula>0</formula>
    </cfRule>
  </conditionalFormatting>
  <conditionalFormatting sqref="H62">
    <cfRule type="cellIs" dxfId="628" priority="27" operator="lessThan">
      <formula>1</formula>
    </cfRule>
    <cfRule type="cellIs" dxfId="627" priority="28" operator="greaterThan">
      <formula>1</formula>
    </cfRule>
  </conditionalFormatting>
  <conditionalFormatting sqref="H65">
    <cfRule type="cellIs" dxfId="626" priority="25" operator="lessThan">
      <formula>1</formula>
    </cfRule>
    <cfRule type="cellIs" dxfId="625" priority="26" operator="greaterThan">
      <formula>1</formula>
    </cfRule>
  </conditionalFormatting>
  <conditionalFormatting sqref="G142">
    <cfRule type="cellIs" dxfId="624" priority="13" operator="equal">
      <formula>"ДА"</formula>
    </cfRule>
    <cfRule type="cellIs" dxfId="623" priority="14" operator="equal">
      <formula>"НЕТ"</formula>
    </cfRule>
    <cfRule type="cellIs" dxfId="622" priority="15" operator="equal">
      <formula>"Нет"</formula>
    </cfRule>
    <cfRule type="cellIs" dxfId="621" priority="16" operator="equal">
      <formula>"нет"</formula>
    </cfRule>
    <cfRule type="cellIs" dxfId="620" priority="17" operator="equal">
      <formula>"ДА"</formula>
    </cfRule>
    <cfRule type="containsText" dxfId="619" priority="18" operator="containsText" text="Да">
      <formula>NOT(ISERROR(SEARCH("Да",G142)))</formula>
    </cfRule>
  </conditionalFormatting>
  <conditionalFormatting sqref="G135:G136">
    <cfRule type="cellIs" dxfId="618" priority="7" operator="equal">
      <formula>"ДА"</formula>
    </cfRule>
    <cfRule type="cellIs" dxfId="617" priority="8" operator="equal">
      <formula>"НЕТ"</formula>
    </cfRule>
    <cfRule type="cellIs" dxfId="616" priority="9" operator="equal">
      <formula>"Нет"</formula>
    </cfRule>
    <cfRule type="cellIs" dxfId="615" priority="10" operator="equal">
      <formula>"нет"</formula>
    </cfRule>
    <cfRule type="cellIs" dxfId="614" priority="11" operator="equal">
      <formula>"ДА"</formula>
    </cfRule>
    <cfRule type="containsText" dxfId="613" priority="12" operator="containsText" text="Да">
      <formula>NOT(ISERROR(SEARCH("Да",G135)))</formula>
    </cfRule>
  </conditionalFormatting>
  <conditionalFormatting sqref="C135:C137">
    <cfRule type="cellIs" dxfId="612" priority="1" operator="equal">
      <formula>"ДА"</formula>
    </cfRule>
    <cfRule type="cellIs" dxfId="611" priority="2" operator="equal">
      <formula>"НЕТ"</formula>
    </cfRule>
    <cfRule type="cellIs" dxfId="610" priority="3" operator="equal">
      <formula>"Нет"</formula>
    </cfRule>
    <cfRule type="cellIs" dxfId="609" priority="4" operator="equal">
      <formula>"нет"</formula>
    </cfRule>
    <cfRule type="cellIs" dxfId="608" priority="5" operator="equal">
      <formula>"ДА"</formula>
    </cfRule>
    <cfRule type="containsText" dxfId="607" priority="6" operator="containsText" text="Да">
      <formula>NOT(ISERROR(SEARCH("Да",C135)))</formula>
    </cfRule>
  </conditionalFormatting>
  <pageMargins left="0.7" right="0.7" top="0.75" bottom="0.75" header="0.3" footer="0.3"/>
  <pageSetup paperSize="9" orientation="portrait" r:id="rId1"/>
  <legacy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7C011-44BD-4769-9A30-30ED938034D2}">
  <dimension ref="A1:O195"/>
  <sheetViews>
    <sheetView topLeftCell="A10" zoomScale="85" zoomScaleNormal="85" workbookViewId="0">
      <selection activeCell="D29" sqref="D29"/>
    </sheetView>
  </sheetViews>
  <sheetFormatPr defaultColWidth="9.140625" defaultRowHeight="12.75" outlineLevelRow="1" x14ac:dyDescent="0.2"/>
  <cols>
    <col min="1" max="1" width="30.28515625" style="2" customWidth="1"/>
    <col min="2" max="2" width="28.85546875" style="2" customWidth="1"/>
    <col min="3" max="3" width="31.5703125" style="2" bestFit="1" customWidth="1"/>
    <col min="4" max="4" width="30.5703125" style="2" customWidth="1"/>
    <col min="5" max="5" width="34.85546875" style="2" customWidth="1"/>
    <col min="6" max="6" width="27.140625" style="2" customWidth="1"/>
    <col min="7" max="7" width="27.42578125" style="2" customWidth="1"/>
    <col min="8" max="8" width="36" style="2" customWidth="1"/>
    <col min="9" max="16384" width="9.140625" style="2"/>
  </cols>
  <sheetData>
    <row r="1" spans="1:7" ht="24.75" customHeight="1" x14ac:dyDescent="0.25">
      <c r="A1" s="134" t="s">
        <v>94</v>
      </c>
    </row>
    <row r="2" spans="1:7" ht="15.75" x14ac:dyDescent="0.25">
      <c r="A2" s="134" t="s">
        <v>629</v>
      </c>
    </row>
    <row r="3" spans="1:7" x14ac:dyDescent="0.2">
      <c r="A3" s="3"/>
    </row>
    <row r="4" spans="1:7" ht="15.75" x14ac:dyDescent="0.25">
      <c r="A4" s="1" t="s">
        <v>0</v>
      </c>
      <c r="B4" s="2" t="s">
        <v>1</v>
      </c>
      <c r="C4" s="2" t="s">
        <v>2</v>
      </c>
    </row>
    <row r="5" spans="1:7" ht="15" x14ac:dyDescent="0.25">
      <c r="A5" s="386" t="s">
        <v>3</v>
      </c>
      <c r="B5" s="386"/>
      <c r="C5" s="386"/>
      <c r="D5" s="386"/>
      <c r="F5" s="4"/>
    </row>
    <row r="6" spans="1:7" s="6" customFormat="1" outlineLevel="1" x14ac:dyDescent="0.2">
      <c r="A6" s="5" t="s">
        <v>4</v>
      </c>
      <c r="B6" s="5" t="s">
        <v>5</v>
      </c>
      <c r="C6" s="5" t="s">
        <v>6</v>
      </c>
      <c r="D6" s="5" t="s">
        <v>7</v>
      </c>
      <c r="E6" s="5" t="s">
        <v>8</v>
      </c>
      <c r="F6" s="5" t="s">
        <v>10</v>
      </c>
      <c r="G6" s="186"/>
    </row>
    <row r="7" spans="1:7" outlineLevel="1" x14ac:dyDescent="0.2">
      <c r="A7" s="7" t="s">
        <v>94</v>
      </c>
      <c r="B7" s="8">
        <v>30000</v>
      </c>
      <c r="C7" s="9">
        <v>27427.7</v>
      </c>
      <c r="D7" s="10">
        <f>Таблица11029163037445158657223303744515865727986931009223548627690104107127139151163183152947637995111127143159175183450668298114130146545561577589605619635651667683700717163247[Факт, руб.]/Таблица11029163037445158657223303744515865727986931009223548627690104107127139151163183152947637995111127143159175183450668298114130146545561577589605619635651667683700717163247[План, руб.]-100%</f>
        <v>-8.5743333333333283E-2</v>
      </c>
      <c r="E7" s="11">
        <f>Таблица11029163037445158657223303744515865727986931009223548627690104107127139151163183152947637995111127143159175183450668298114130146545561577589605619635651667683700717163247[Факт, руб.]-Таблица11029163037445158657223303744515865727986931009223548627690104107127139151163183152947637995111127143159175183450668298114130146545561577589605619635651667683700717163247[План, руб.]</f>
        <v>-2572.2999999999993</v>
      </c>
      <c r="F7" s="9">
        <f>B31</f>
        <v>7380</v>
      </c>
      <c r="G7" s="185"/>
    </row>
    <row r="8" spans="1:7" x14ac:dyDescent="0.2">
      <c r="A8" s="12"/>
      <c r="B8" s="13"/>
      <c r="C8" s="13"/>
      <c r="D8" s="14"/>
      <c r="F8" s="15"/>
      <c r="G8" s="16"/>
    </row>
    <row r="9" spans="1:7" ht="15" customHeight="1" x14ac:dyDescent="0.2">
      <c r="A9" s="12"/>
      <c r="B9" s="13"/>
      <c r="C9" s="13"/>
      <c r="D9" s="14"/>
      <c r="F9" s="17"/>
    </row>
    <row r="10" spans="1:7" ht="15" x14ac:dyDescent="0.25">
      <c r="A10" s="386" t="s">
        <v>11</v>
      </c>
      <c r="B10" s="386"/>
      <c r="C10" s="386"/>
      <c r="D10" s="386"/>
      <c r="F10" s="17"/>
    </row>
    <row r="11" spans="1:7" s="6" customFormat="1" outlineLevel="1" x14ac:dyDescent="0.2">
      <c r="A11" s="18" t="s">
        <v>4</v>
      </c>
      <c r="B11" s="19" t="s">
        <v>12</v>
      </c>
      <c r="C11" s="19" t="s">
        <v>13</v>
      </c>
      <c r="D11" s="19" t="s">
        <v>7</v>
      </c>
      <c r="E11" s="19" t="s">
        <v>8</v>
      </c>
      <c r="F11" s="20"/>
    </row>
    <row r="12" spans="1:7" outlineLevel="1" x14ac:dyDescent="0.2">
      <c r="A12" s="7" t="s">
        <v>94</v>
      </c>
      <c r="B12" s="8">
        <f>SUM(C22:C32)</f>
        <v>75000</v>
      </c>
      <c r="C12" s="8">
        <f>B34</f>
        <v>66131.09</v>
      </c>
      <c r="D12" s="21">
        <f>C12/B12-100%</f>
        <v>-0.1182521333333334</v>
      </c>
      <c r="E12" s="8">
        <f>C12-B12</f>
        <v>-8868.9100000000035</v>
      </c>
      <c r="F12" s="17"/>
      <c r="G12" s="22"/>
    </row>
    <row r="13" spans="1:7" x14ac:dyDescent="0.2">
      <c r="A13" s="12"/>
      <c r="B13" s="13"/>
      <c r="C13" s="13"/>
      <c r="D13" s="14"/>
      <c r="F13" s="17"/>
    </row>
    <row r="14" spans="1:7" x14ac:dyDescent="0.2">
      <c r="A14" s="13"/>
      <c r="B14" s="13"/>
      <c r="C14" s="13"/>
      <c r="D14" s="14"/>
      <c r="F14" s="17"/>
      <c r="G14" s="22"/>
    </row>
    <row r="15" spans="1:7" ht="15" x14ac:dyDescent="0.25">
      <c r="A15" s="386" t="s">
        <v>14</v>
      </c>
      <c r="B15" s="386"/>
      <c r="C15" s="386"/>
      <c r="D15" s="386"/>
      <c r="F15" s="17"/>
    </row>
    <row r="16" spans="1:7" s="6" customFormat="1" outlineLevel="1" x14ac:dyDescent="0.2">
      <c r="A16" s="5" t="s">
        <v>4</v>
      </c>
      <c r="B16" s="5" t="s">
        <v>15</v>
      </c>
      <c r="C16" s="5" t="s">
        <v>16</v>
      </c>
      <c r="D16" s="5" t="s">
        <v>93</v>
      </c>
      <c r="E16" s="5" t="s">
        <v>17</v>
      </c>
      <c r="F16" s="23"/>
    </row>
    <row r="17" spans="1:5" outlineLevel="1" x14ac:dyDescent="0.2">
      <c r="A17" s="7" t="s">
        <v>94</v>
      </c>
      <c r="B17" s="8">
        <v>0</v>
      </c>
      <c r="C17" s="24">
        <v>0</v>
      </c>
      <c r="D17" s="24">
        <f>B34</f>
        <v>66131.09</v>
      </c>
      <c r="E17" s="21" t="e">
        <f>Таблица211301731384552596673243138455259667380879410110233649637791105109128140152164184163248648096112128144160176193551678399115131147546562578590606620636652668684701718173348[Профит ФГ 24-25]/Таблица211301731384552596673243138455259667380879410110233649637791105109128140152164184163248648096112128144160176193551678399115131147546562578590606620636652668684701718173348[Профит ФГ 23-24]</f>
        <v>#DIV/0!</v>
      </c>
    </row>
    <row r="20" spans="1:5" ht="15" x14ac:dyDescent="0.25">
      <c r="A20" s="386" t="s">
        <v>18</v>
      </c>
      <c r="B20" s="386"/>
      <c r="C20" s="386"/>
      <c r="D20" s="386"/>
    </row>
    <row r="21" spans="1:5" outlineLevel="1" x14ac:dyDescent="0.2">
      <c r="A21" s="25" t="s">
        <v>19</v>
      </c>
      <c r="B21" s="26" t="s">
        <v>20</v>
      </c>
      <c r="C21" s="26" t="s">
        <v>21</v>
      </c>
      <c r="D21" s="25" t="s">
        <v>22</v>
      </c>
    </row>
    <row r="22" spans="1:5" outlineLevel="1" x14ac:dyDescent="0.2">
      <c r="A22" s="27" t="s">
        <v>23</v>
      </c>
      <c r="B22" s="28">
        <v>0</v>
      </c>
      <c r="C22" s="31">
        <v>0</v>
      </c>
      <c r="D22" s="29">
        <v>0</v>
      </c>
    </row>
    <row r="23" spans="1:5" outlineLevel="1" x14ac:dyDescent="0.2">
      <c r="A23" s="30" t="s">
        <v>25</v>
      </c>
      <c r="B23" s="31">
        <v>0</v>
      </c>
      <c r="C23" s="31">
        <v>0</v>
      </c>
      <c r="D23" s="32">
        <v>0</v>
      </c>
    </row>
    <row r="24" spans="1:5" outlineLevel="1" x14ac:dyDescent="0.2">
      <c r="A24" s="27" t="s">
        <v>26</v>
      </c>
      <c r="B24" s="31">
        <v>0</v>
      </c>
      <c r="C24" s="31">
        <v>0</v>
      </c>
      <c r="D24" s="29">
        <v>0</v>
      </c>
    </row>
    <row r="25" spans="1:5" outlineLevel="1" x14ac:dyDescent="0.2">
      <c r="A25" s="30" t="s">
        <v>27</v>
      </c>
      <c r="B25" s="31">
        <v>0</v>
      </c>
      <c r="C25" s="31">
        <v>0</v>
      </c>
      <c r="D25" s="32">
        <v>0</v>
      </c>
    </row>
    <row r="26" spans="1:5" outlineLevel="1" x14ac:dyDescent="0.2">
      <c r="A26" s="27" t="s">
        <v>28</v>
      </c>
      <c r="B26" s="31">
        <v>0</v>
      </c>
      <c r="C26" s="31">
        <v>0</v>
      </c>
      <c r="D26" s="29">
        <v>0</v>
      </c>
    </row>
    <row r="27" spans="1:5" outlineLevel="1" x14ac:dyDescent="0.2">
      <c r="A27" s="30" t="s">
        <v>29</v>
      </c>
      <c r="B27" s="31">
        <v>0</v>
      </c>
      <c r="C27" s="31">
        <v>0</v>
      </c>
      <c r="D27" s="32">
        <v>0</v>
      </c>
    </row>
    <row r="28" spans="1:5" outlineLevel="1" x14ac:dyDescent="0.2">
      <c r="A28" s="27" t="s">
        <v>30</v>
      </c>
      <c r="B28" s="31">
        <v>0</v>
      </c>
      <c r="C28" s="31">
        <v>0</v>
      </c>
      <c r="D28" s="29">
        <v>0</v>
      </c>
    </row>
    <row r="29" spans="1:5" outlineLevel="1" x14ac:dyDescent="0.2">
      <c r="A29" s="30" t="s">
        <v>31</v>
      </c>
      <c r="B29" s="135">
        <v>18158.8</v>
      </c>
      <c r="C29" s="31">
        <v>10000</v>
      </c>
      <c r="D29" s="32">
        <f>B29/C29</f>
        <v>1.8158799999999999</v>
      </c>
    </row>
    <row r="30" spans="1:5" outlineLevel="1" x14ac:dyDescent="0.2">
      <c r="A30" s="27" t="s">
        <v>32</v>
      </c>
      <c r="B30" s="31">
        <v>13165</v>
      </c>
      <c r="C30" s="31">
        <v>20000</v>
      </c>
      <c r="D30" s="32">
        <f>B30/C30</f>
        <v>0.65825</v>
      </c>
    </row>
    <row r="31" spans="1:5" outlineLevel="1" x14ac:dyDescent="0.2">
      <c r="A31" s="30" t="s">
        <v>33</v>
      </c>
      <c r="B31" s="31">
        <v>7380</v>
      </c>
      <c r="C31" s="31">
        <v>15000</v>
      </c>
      <c r="D31" s="32">
        <f>B31/C31</f>
        <v>0.49199999999999999</v>
      </c>
    </row>
    <row r="32" spans="1:5" outlineLevel="1" x14ac:dyDescent="0.2">
      <c r="A32" s="27" t="s">
        <v>34</v>
      </c>
      <c r="B32" s="28">
        <v>27427.29</v>
      </c>
      <c r="C32" s="28">
        <v>30000</v>
      </c>
      <c r="D32" s="32">
        <f t="shared" ref="D32:D33" si="0">B32/C32</f>
        <v>0.91424300000000003</v>
      </c>
    </row>
    <row r="33" spans="1:8" outlineLevel="1" x14ac:dyDescent="0.2">
      <c r="A33" s="33" t="s">
        <v>35</v>
      </c>
      <c r="B33" s="34"/>
      <c r="C33" s="34">
        <v>50000</v>
      </c>
      <c r="D33" s="32">
        <f t="shared" si="0"/>
        <v>0</v>
      </c>
      <c r="H33" s="35"/>
    </row>
    <row r="34" spans="1:8" ht="15" outlineLevel="1" x14ac:dyDescent="0.25">
      <c r="A34" s="36" t="s">
        <v>36</v>
      </c>
      <c r="B34" s="37">
        <f>SUM(B22:B33)</f>
        <v>66131.09</v>
      </c>
      <c r="C34" s="38">
        <f>SUM(C22:C33)</f>
        <v>125000</v>
      </c>
      <c r="D34" s="39"/>
    </row>
    <row r="35" spans="1:8" outlineLevel="1" x14ac:dyDescent="0.2">
      <c r="A35" s="41" t="s">
        <v>37</v>
      </c>
      <c r="B35" s="42">
        <f>AVERAGE(B29:B33)</f>
        <v>16532.772499999999</v>
      </c>
      <c r="C35" s="42">
        <f>AVERAGE(C29:C33)</f>
        <v>25000</v>
      </c>
      <c r="D35" s="43">
        <f>B35/C35</f>
        <v>0.66131089999999992</v>
      </c>
    </row>
    <row r="38" spans="1:8" ht="15" x14ac:dyDescent="0.25">
      <c r="A38" s="386" t="s">
        <v>38</v>
      </c>
      <c r="B38" s="386"/>
      <c r="C38" s="386"/>
      <c r="D38" s="386"/>
    </row>
    <row r="39" spans="1:8" s="45" customFormat="1" outlineLevel="1" x14ac:dyDescent="0.2">
      <c r="A39" s="44" t="s">
        <v>39</v>
      </c>
      <c r="B39" s="44" t="s">
        <v>40</v>
      </c>
      <c r="C39" s="44" t="s">
        <v>41</v>
      </c>
      <c r="D39" s="44" t="s">
        <v>42</v>
      </c>
      <c r="E39" s="44" t="s">
        <v>43</v>
      </c>
      <c r="F39" s="2"/>
    </row>
    <row r="40" spans="1:8" outlineLevel="1" x14ac:dyDescent="0.2">
      <c r="A40" s="8">
        <f>B32</f>
        <v>27427.29</v>
      </c>
      <c r="B40" s="46">
        <f>50000</f>
        <v>50000</v>
      </c>
      <c r="C40" s="136">
        <f>A40*0.06</f>
        <v>1645.6374000000001</v>
      </c>
      <c r="D40" s="47">
        <f>SUM(G185:G188)</f>
        <v>34540</v>
      </c>
      <c r="E40" s="48">
        <v>0</v>
      </c>
    </row>
    <row r="41" spans="1:8" outlineLevel="1" x14ac:dyDescent="0.2">
      <c r="A41" s="49" t="s">
        <v>44</v>
      </c>
      <c r="B41" s="137">
        <f>Таблица29445975911071231391551711873046627894110126142158556572588602616630646662678694711728284358[Оклад]+Таблица29445975911071231391551711873046627894110126142158556572588602616630646662678694711728284358[Премия]+Таблица29445975911071231391551711873046627894110126142158556572588602616630646662678694711728284358[Штрафы]+Таблица29445975911071231391551711873046627894110126142158556572588602616630646662678694711728284358[Доплата за Задачи]</f>
        <v>86185.637400000007</v>
      </c>
      <c r="C41" s="50"/>
    </row>
    <row r="42" spans="1:8" x14ac:dyDescent="0.2">
      <c r="A42" s="40"/>
      <c r="B42" s="40"/>
    </row>
    <row r="43" spans="1:8" x14ac:dyDescent="0.2">
      <c r="A43" s="51"/>
      <c r="B43" s="51"/>
      <c r="C43" s="51"/>
      <c r="D43" s="52"/>
      <c r="E43" s="51"/>
      <c r="F43" s="53"/>
      <c r="H43" s="22"/>
    </row>
    <row r="44" spans="1:8" ht="15" x14ac:dyDescent="0.25">
      <c r="A44" s="386" t="s">
        <v>45</v>
      </c>
      <c r="B44" s="386"/>
      <c r="C44" s="386"/>
      <c r="D44" s="386"/>
      <c r="E44" s="53"/>
      <c r="F44" s="53"/>
      <c r="H44" s="22"/>
    </row>
    <row r="45" spans="1:8" outlineLevel="1" x14ac:dyDescent="0.2">
      <c r="A45" s="5" t="s">
        <v>46</v>
      </c>
      <c r="B45" s="5" t="s">
        <v>47</v>
      </c>
      <c r="C45" s="5" t="s">
        <v>48</v>
      </c>
      <c r="D45" s="54" t="s">
        <v>49</v>
      </c>
      <c r="E45" s="51"/>
      <c r="G45" s="40"/>
    </row>
    <row r="46" spans="1:8" ht="24.95" customHeight="1" outlineLevel="1" x14ac:dyDescent="0.2">
      <c r="A46" s="55" t="s">
        <v>24</v>
      </c>
      <c r="B46" s="56"/>
      <c r="C46" s="56"/>
      <c r="D46" s="57"/>
      <c r="E46" s="51"/>
      <c r="G46" s="40"/>
    </row>
    <row r="47" spans="1:8" ht="24.95" customHeight="1" outlineLevel="1" x14ac:dyDescent="0.2">
      <c r="A47" s="55" t="s">
        <v>24</v>
      </c>
      <c r="B47" s="58"/>
      <c r="C47" s="58"/>
      <c r="D47" s="57"/>
      <c r="E47" s="51"/>
      <c r="G47" s="40"/>
    </row>
    <row r="48" spans="1:8" ht="24.95" customHeight="1" outlineLevel="1" x14ac:dyDescent="0.2">
      <c r="A48" s="59" t="s">
        <v>24</v>
      </c>
      <c r="B48" s="58"/>
      <c r="C48" s="58"/>
      <c r="D48" s="57"/>
      <c r="E48" s="51"/>
      <c r="G48" s="40"/>
    </row>
    <row r="49" spans="1:8" ht="24.95" customHeight="1" outlineLevel="1" x14ac:dyDescent="0.2">
      <c r="A49" s="55" t="s">
        <v>24</v>
      </c>
      <c r="B49" s="60"/>
      <c r="C49" s="60"/>
      <c r="D49" s="61"/>
      <c r="E49" s="51"/>
      <c r="G49" s="62"/>
      <c r="H49" s="6"/>
    </row>
    <row r="50" spans="1:8" outlineLevel="1" x14ac:dyDescent="0.2">
      <c r="A50" s="63"/>
      <c r="B50" s="64" t="s">
        <v>50</v>
      </c>
      <c r="C50" s="65">
        <f>SUM(Таблица546243318323946536067742532394653606774818895102112437506478921061101291411531651851733496581971131291451611772036526884100116132148547563579593607621637653669685702719193449[Общая сумма долга])</f>
        <v>0</v>
      </c>
      <c r="D50" s="66">
        <v>0</v>
      </c>
      <c r="E50" s="67" t="s">
        <v>51</v>
      </c>
      <c r="F50" s="51"/>
      <c r="G50" s="51"/>
      <c r="H50" s="51"/>
    </row>
    <row r="51" spans="1:8" outlineLevel="1" x14ac:dyDescent="0.2">
      <c r="A51" s="63"/>
      <c r="B51" s="64"/>
      <c r="C51" s="65"/>
      <c r="D51" s="51"/>
      <c r="E51" s="51"/>
      <c r="F51" s="51"/>
      <c r="G51" s="51"/>
      <c r="H51" s="51"/>
    </row>
    <row r="52" spans="1:8" x14ac:dyDescent="0.2">
      <c r="A52" s="63"/>
      <c r="B52" s="51"/>
      <c r="C52" s="51"/>
      <c r="D52" s="52"/>
      <c r="E52" s="51"/>
      <c r="F52" s="53"/>
      <c r="G52" s="51"/>
      <c r="H52" s="68"/>
    </row>
    <row r="53" spans="1:8" x14ac:dyDescent="0.2">
      <c r="A53" s="63"/>
      <c r="B53" s="51"/>
      <c r="C53" s="51"/>
      <c r="D53" s="52"/>
      <c r="E53" s="51"/>
      <c r="F53" s="53"/>
      <c r="G53" s="51"/>
      <c r="H53" s="68"/>
    </row>
    <row r="54" spans="1:8" ht="15" x14ac:dyDescent="0.25">
      <c r="A54" s="386" t="s">
        <v>52</v>
      </c>
      <c r="B54" s="386"/>
      <c r="C54" s="386"/>
      <c r="D54" s="386"/>
      <c r="E54" s="53"/>
      <c r="F54" s="53"/>
      <c r="G54" s="51"/>
    </row>
    <row r="55" spans="1:8" s="6" customFormat="1" outlineLevel="1" x14ac:dyDescent="0.2">
      <c r="A55" s="18" t="s">
        <v>53</v>
      </c>
      <c r="B55" s="19" t="s">
        <v>54</v>
      </c>
      <c r="C55" s="19" t="s">
        <v>55</v>
      </c>
      <c r="D55" s="69" t="s">
        <v>56</v>
      </c>
      <c r="E55" s="69" t="s">
        <v>4</v>
      </c>
      <c r="F55" s="70" t="s">
        <v>57</v>
      </c>
    </row>
    <row r="56" spans="1:8" ht="24.95" customHeight="1" outlineLevel="1" x14ac:dyDescent="0.2">
      <c r="A56" s="207" t="s">
        <v>271</v>
      </c>
      <c r="B56" s="72">
        <v>190081.73</v>
      </c>
      <c r="C56" s="72">
        <v>12324.1</v>
      </c>
      <c r="D56" s="73">
        <v>6.9000000000000006E-2</v>
      </c>
      <c r="E56" s="151" t="s">
        <v>94</v>
      </c>
      <c r="F56" s="207" t="s">
        <v>576</v>
      </c>
    </row>
    <row r="57" spans="1:8" ht="24.95" customHeight="1" outlineLevel="1" x14ac:dyDescent="0.2">
      <c r="A57" s="55" t="s">
        <v>565</v>
      </c>
      <c r="B57" s="72">
        <v>102142.08</v>
      </c>
      <c r="C57" s="72">
        <v>9552.67</v>
      </c>
      <c r="D57" s="73">
        <v>0.10299999999999999</v>
      </c>
      <c r="E57" s="151" t="s">
        <v>94</v>
      </c>
      <c r="F57" s="94" t="s">
        <v>575</v>
      </c>
    </row>
    <row r="58" spans="1:8" outlineLevel="1" x14ac:dyDescent="0.2">
      <c r="A58" s="76"/>
      <c r="B58" s="77">
        <f>SUM(Таблица16334659738710111512213414615817019022385470861021181341501661822541577389105121137153551567583597611625641657673689706723233853[Оборот])</f>
        <v>292223.81</v>
      </c>
      <c r="C58" s="77">
        <f>SUM(C56:C57)</f>
        <v>21876.77</v>
      </c>
      <c r="D58" s="78">
        <f>Таблица16334659738710111512213414615817019022385470861021181341501661822541577389105121137153551567583597611625641657673689706723233853[[#Totals],[Профит ]]/Таблица16334659738710111512213414615817019022385470861021181341501661822541577389105121137153551567583597611625641657673689706723233853[[#Totals],[Оборот]]</f>
        <v>7.4863064717416425E-2</v>
      </c>
      <c r="E58" s="77"/>
      <c r="F58" s="7"/>
      <c r="G58" s="51"/>
    </row>
    <row r="59" spans="1:8" x14ac:dyDescent="0.2">
      <c r="A59" s="51"/>
      <c r="B59" s="51"/>
      <c r="C59" s="51"/>
      <c r="D59" s="52"/>
      <c r="E59" s="51"/>
      <c r="F59" s="53"/>
      <c r="G59" s="51"/>
    </row>
    <row r="60" spans="1:8" ht="15" x14ac:dyDescent="0.25">
      <c r="A60" s="386" t="s">
        <v>58</v>
      </c>
      <c r="B60" s="386"/>
      <c r="C60" s="386"/>
      <c r="D60" s="386"/>
      <c r="E60" s="79"/>
      <c r="F60" s="79"/>
    </row>
    <row r="61" spans="1:8" ht="15" customHeight="1" outlineLevel="1" x14ac:dyDescent="0.2">
      <c r="A61" s="80">
        <v>45717</v>
      </c>
      <c r="B61" s="81" t="s">
        <v>21</v>
      </c>
      <c r="C61" s="81" t="s">
        <v>59</v>
      </c>
      <c r="D61" s="81" t="s">
        <v>60</v>
      </c>
      <c r="E61" s="81" t="s">
        <v>61</v>
      </c>
      <c r="F61" s="81" t="s">
        <v>62</v>
      </c>
      <c r="G61" s="81" t="s">
        <v>63</v>
      </c>
      <c r="H61" s="81" t="s">
        <v>64</v>
      </c>
    </row>
    <row r="62" spans="1:8" outlineLevel="1" x14ac:dyDescent="0.2">
      <c r="A62" s="82"/>
      <c r="B62" s="83">
        <v>50000</v>
      </c>
      <c r="C62" s="84">
        <v>0</v>
      </c>
      <c r="D62" s="84">
        <v>25000</v>
      </c>
      <c r="E62" s="84">
        <v>103000</v>
      </c>
      <c r="F62" s="83">
        <v>23000</v>
      </c>
      <c r="G62" s="84">
        <f>C62+D62+E62*0.5+F62*0.05</f>
        <v>77650</v>
      </c>
      <c r="H62" s="85">
        <f>Таблица9132738193340475461687582899682891101171241311381451521591661731801871945121926334047546168758289961031101171241311381451521591661741821902052131241361481601721922440627894110126142158174190334965819711312914516155957559160361763164766367969571759[[#This Row],[Столбец6]]/Таблица9132738193340475461687582899682891101171241311381451521591661731801871945121926334047546168758289961031101171241311381451521591661741821902052131241361481601721922440627894110126142158174190334965819711312914516155957559160361763164766367969571759[[#This Row],[Столбец1]]</f>
        <v>1.5529999999999999</v>
      </c>
    </row>
    <row r="63" spans="1:8" outlineLevel="1" x14ac:dyDescent="0.2">
      <c r="A63" s="40"/>
      <c r="B63" s="40"/>
      <c r="C63" s="40"/>
      <c r="D63" s="40"/>
      <c r="E63" s="40"/>
      <c r="F63" s="40"/>
      <c r="G63" s="40"/>
      <c r="H63" s="86"/>
    </row>
    <row r="64" spans="1:8" outlineLevel="1" x14ac:dyDescent="0.2">
      <c r="A64" s="80">
        <v>45748</v>
      </c>
      <c r="B64" s="81" t="s">
        <v>21</v>
      </c>
      <c r="C64" s="81" t="s">
        <v>59</v>
      </c>
      <c r="D64" s="81" t="s">
        <v>60</v>
      </c>
      <c r="E64" s="81" t="s">
        <v>61</v>
      </c>
      <c r="F64" s="81" t="s">
        <v>62</v>
      </c>
      <c r="G64" s="81" t="s">
        <v>63</v>
      </c>
      <c r="H64" s="81" t="s">
        <v>64</v>
      </c>
    </row>
    <row r="65" spans="1:8" ht="15" customHeight="1" outlineLevel="1" x14ac:dyDescent="0.2">
      <c r="A65" s="87"/>
      <c r="B65" s="84">
        <v>50000</v>
      </c>
      <c r="C65" s="24">
        <v>0</v>
      </c>
      <c r="D65" s="24">
        <v>0</v>
      </c>
      <c r="E65" s="84">
        <v>0</v>
      </c>
      <c r="F65" s="84">
        <v>0</v>
      </c>
      <c r="G65" s="83">
        <f>D65+C65+E65*0.5+F65*0.05</f>
        <v>0</v>
      </c>
      <c r="H65" s="85">
        <f>Таблица9132738193340475461687582899682891101171241311381451521591661731801871945121926334047546168758289961031101171241311381451521591661741821902052131191251371491611731932541567288104120136152168184274359759110712313915555356958559961362764365967569755[[#This Row],[Столбец6]]/Таблица9132738193340475461687582899682891101171241311381451521591661731801871945121926334047546168758289961031101171241311381451521591661741821902052131191251371491611731932541567288104120136152168184274359759110712313915555356958559961362764365967569755[[#This Row],[Столбец1]]</f>
        <v>0</v>
      </c>
    </row>
    <row r="66" spans="1:8" x14ac:dyDescent="0.2">
      <c r="A66" s="63"/>
      <c r="B66" s="51"/>
      <c r="C66" s="51"/>
      <c r="D66" s="52"/>
      <c r="E66" s="51"/>
    </row>
    <row r="67" spans="1:8" x14ac:dyDescent="0.2">
      <c r="A67" s="51"/>
      <c r="B67" s="51"/>
      <c r="C67" s="51"/>
      <c r="D67" s="52"/>
      <c r="E67" s="51"/>
    </row>
    <row r="68" spans="1:8" ht="15.75" x14ac:dyDescent="0.25">
      <c r="A68" s="88" t="s">
        <v>65</v>
      </c>
      <c r="B68" s="89"/>
    </row>
    <row r="69" spans="1:8" ht="15" x14ac:dyDescent="0.25">
      <c r="A69" s="387" t="s">
        <v>66</v>
      </c>
      <c r="B69" s="387"/>
      <c r="C69" s="387"/>
      <c r="D69" s="387"/>
      <c r="E69" s="90"/>
      <c r="F69" s="90"/>
      <c r="G69" s="13">
        <f>SUM(Таблица4211720344148556269768390978390111118125132139146153160167174181188195613202734414855626976839097104111118125132139146153160167175183198206214123135147159171191233955718710311913515116718326425874901061221381545525685845986126266426586746907077254[Сумма, тыс. руб.])*1000</f>
        <v>1430000</v>
      </c>
    </row>
    <row r="70" spans="1:8" outlineLevel="1" x14ac:dyDescent="0.2">
      <c r="A70" s="91" t="s">
        <v>67</v>
      </c>
      <c r="B70" s="91" t="s">
        <v>53</v>
      </c>
      <c r="C70" s="91" t="s">
        <v>4</v>
      </c>
      <c r="D70" s="91" t="s">
        <v>68</v>
      </c>
      <c r="E70" s="91" t="s">
        <v>69</v>
      </c>
      <c r="F70" s="91" t="s">
        <v>70</v>
      </c>
      <c r="G70" s="91" t="s">
        <v>71</v>
      </c>
      <c r="H70" s="91" t="s">
        <v>72</v>
      </c>
    </row>
    <row r="71" spans="1:8" ht="24.95" customHeight="1" outlineLevel="1" x14ac:dyDescent="0.2">
      <c r="A71" s="55" t="s">
        <v>568</v>
      </c>
      <c r="B71" s="55" t="s">
        <v>563</v>
      </c>
      <c r="C71" s="151" t="s">
        <v>94</v>
      </c>
      <c r="D71" s="152" t="s">
        <v>73</v>
      </c>
      <c r="E71" s="94" t="s">
        <v>577</v>
      </c>
      <c r="F71" s="153">
        <v>45717</v>
      </c>
      <c r="G71" s="102">
        <v>705</v>
      </c>
      <c r="H71" s="94" t="s">
        <v>168</v>
      </c>
    </row>
    <row r="72" spans="1:8" ht="24.95" customHeight="1" outlineLevel="1" x14ac:dyDescent="0.2">
      <c r="A72" s="55" t="s">
        <v>637</v>
      </c>
      <c r="B72" s="109" t="s">
        <v>638</v>
      </c>
      <c r="C72" s="151" t="s">
        <v>94</v>
      </c>
      <c r="D72" s="55" t="s">
        <v>73</v>
      </c>
      <c r="E72" s="55" t="s">
        <v>639</v>
      </c>
      <c r="F72" s="153">
        <v>45717</v>
      </c>
      <c r="G72" s="208">
        <v>294</v>
      </c>
      <c r="H72" s="173" t="s">
        <v>168</v>
      </c>
    </row>
    <row r="73" spans="1:8" ht="24.95" customHeight="1" outlineLevel="1" x14ac:dyDescent="0.2">
      <c r="A73" s="55" t="s">
        <v>570</v>
      </c>
      <c r="B73" s="206" t="s">
        <v>564</v>
      </c>
      <c r="C73" s="151" t="s">
        <v>94</v>
      </c>
      <c r="D73" s="55" t="s">
        <v>573</v>
      </c>
      <c r="E73" s="55" t="s">
        <v>574</v>
      </c>
      <c r="F73" s="153">
        <v>45717</v>
      </c>
      <c r="G73" s="208">
        <v>258</v>
      </c>
      <c r="H73" s="94" t="s">
        <v>168</v>
      </c>
    </row>
    <row r="74" spans="1:8" ht="24.95" customHeight="1" outlineLevel="1" x14ac:dyDescent="0.2">
      <c r="A74" s="55" t="s">
        <v>567</v>
      </c>
      <c r="B74" s="109" t="s">
        <v>562</v>
      </c>
      <c r="C74" s="151" t="s">
        <v>94</v>
      </c>
      <c r="D74" s="109" t="s">
        <v>572</v>
      </c>
      <c r="E74" s="109" t="s">
        <v>572</v>
      </c>
      <c r="F74" s="153">
        <v>45717</v>
      </c>
      <c r="G74" s="154">
        <v>173</v>
      </c>
      <c r="H74" s="173" t="s">
        <v>168</v>
      </c>
    </row>
    <row r="75" spans="1:8" x14ac:dyDescent="0.2">
      <c r="A75" s="104"/>
      <c r="B75" s="104"/>
      <c r="C75" s="105"/>
      <c r="D75" s="106"/>
      <c r="E75" s="106"/>
      <c r="F75" s="107"/>
      <c r="G75" s="108"/>
      <c r="H75" s="106"/>
    </row>
    <row r="76" spans="1:8" x14ac:dyDescent="0.2">
      <c r="A76" s="104"/>
      <c r="B76" s="104"/>
      <c r="C76" s="105"/>
      <c r="D76" s="106"/>
      <c r="E76" s="106"/>
      <c r="F76" s="107"/>
      <c r="G76" s="108"/>
      <c r="H76" s="106"/>
    </row>
    <row r="77" spans="1:8" ht="15" x14ac:dyDescent="0.25">
      <c r="A77" s="387" t="s">
        <v>74</v>
      </c>
      <c r="B77" s="387"/>
      <c r="C77" s="387"/>
      <c r="D77" s="387"/>
      <c r="G77" s="13">
        <f>SUM(Таблица12513815016217419426425773891051211371531691852844607692108124140156554570586600614628644660676692709726264156[Сумма])*1000</f>
        <v>1642000</v>
      </c>
    </row>
    <row r="78" spans="1:8" outlineLevel="1" x14ac:dyDescent="0.2">
      <c r="A78" s="91" t="s">
        <v>67</v>
      </c>
      <c r="B78" s="91" t="s">
        <v>53</v>
      </c>
      <c r="C78" s="91" t="s">
        <v>4</v>
      </c>
      <c r="D78" s="91" t="s">
        <v>68</v>
      </c>
      <c r="E78" s="91" t="s">
        <v>69</v>
      </c>
      <c r="F78" s="91" t="s">
        <v>70</v>
      </c>
      <c r="G78" s="91" t="s">
        <v>75</v>
      </c>
      <c r="H78" s="91" t="s">
        <v>72</v>
      </c>
    </row>
    <row r="79" spans="1:8" ht="24.95" customHeight="1" outlineLevel="1" x14ac:dyDescent="0.2">
      <c r="A79" s="55" t="s">
        <v>568</v>
      </c>
      <c r="B79" s="55" t="s">
        <v>563</v>
      </c>
      <c r="C79" s="151" t="s">
        <v>94</v>
      </c>
      <c r="D79" s="152" t="s">
        <v>73</v>
      </c>
      <c r="E79" s="94" t="s">
        <v>577</v>
      </c>
      <c r="F79" s="153">
        <v>45717</v>
      </c>
      <c r="G79" s="102">
        <v>705</v>
      </c>
      <c r="H79" s="94" t="s">
        <v>168</v>
      </c>
    </row>
    <row r="80" spans="1:8" ht="24.95" customHeight="1" outlineLevel="1" x14ac:dyDescent="0.2">
      <c r="A80" s="55" t="s">
        <v>637</v>
      </c>
      <c r="B80" s="109" t="s">
        <v>638</v>
      </c>
      <c r="C80" s="151" t="s">
        <v>94</v>
      </c>
      <c r="D80" s="55" t="s">
        <v>73</v>
      </c>
      <c r="E80" s="55" t="s">
        <v>639</v>
      </c>
      <c r="F80" s="153">
        <v>45717</v>
      </c>
      <c r="G80" s="208">
        <v>294</v>
      </c>
      <c r="H80" s="173" t="s">
        <v>168</v>
      </c>
    </row>
    <row r="81" spans="1:8" ht="24.95" customHeight="1" outlineLevel="1" x14ac:dyDescent="0.2">
      <c r="A81" s="55" t="s">
        <v>570</v>
      </c>
      <c r="B81" s="206" t="s">
        <v>564</v>
      </c>
      <c r="C81" s="151" t="s">
        <v>94</v>
      </c>
      <c r="D81" s="55" t="s">
        <v>573</v>
      </c>
      <c r="E81" s="55" t="s">
        <v>574</v>
      </c>
      <c r="F81" s="153">
        <v>45717</v>
      </c>
      <c r="G81" s="208">
        <v>258</v>
      </c>
      <c r="H81" s="94" t="s">
        <v>168</v>
      </c>
    </row>
    <row r="82" spans="1:8" ht="24.95" customHeight="1" outlineLevel="1" x14ac:dyDescent="0.2">
      <c r="A82" s="55" t="s">
        <v>567</v>
      </c>
      <c r="B82" s="109" t="s">
        <v>562</v>
      </c>
      <c r="C82" s="151" t="s">
        <v>94</v>
      </c>
      <c r="D82" s="109" t="s">
        <v>572</v>
      </c>
      <c r="E82" s="109" t="s">
        <v>572</v>
      </c>
      <c r="F82" s="153">
        <v>45717</v>
      </c>
      <c r="G82" s="154">
        <v>173</v>
      </c>
      <c r="H82" s="173" t="s">
        <v>168</v>
      </c>
    </row>
    <row r="83" spans="1:8" ht="24.95" customHeight="1" outlineLevel="1" x14ac:dyDescent="0.2">
      <c r="A83" s="55" t="s">
        <v>569</v>
      </c>
      <c r="B83" s="109" t="s">
        <v>566</v>
      </c>
      <c r="C83" s="151" t="s">
        <v>94</v>
      </c>
      <c r="D83" s="152" t="s">
        <v>73</v>
      </c>
      <c r="E83" s="109" t="s">
        <v>180</v>
      </c>
      <c r="F83" s="153">
        <v>45689</v>
      </c>
      <c r="G83" s="154">
        <v>110</v>
      </c>
      <c r="H83" s="173" t="s">
        <v>284</v>
      </c>
    </row>
    <row r="84" spans="1:8" ht="24.95" customHeight="1" outlineLevel="1" x14ac:dyDescent="0.2">
      <c r="A84" s="55" t="s">
        <v>571</v>
      </c>
      <c r="B84" s="55" t="s">
        <v>565</v>
      </c>
      <c r="C84" s="151" t="s">
        <v>94</v>
      </c>
      <c r="D84" s="152" t="s">
        <v>73</v>
      </c>
      <c r="E84" s="94" t="s">
        <v>575</v>
      </c>
      <c r="F84" s="153">
        <v>45689</v>
      </c>
      <c r="G84" s="102">
        <v>102</v>
      </c>
      <c r="H84" s="94" t="s">
        <v>107</v>
      </c>
    </row>
    <row r="85" spans="1:8" ht="15" customHeight="1" x14ac:dyDescent="0.2"/>
    <row r="86" spans="1:8" ht="15" customHeight="1" x14ac:dyDescent="0.2"/>
    <row r="87" spans="1:8" ht="15.75" x14ac:dyDescent="0.25">
      <c r="A87" s="1" t="s">
        <v>76</v>
      </c>
    </row>
    <row r="88" spans="1:8" ht="15" x14ac:dyDescent="0.25">
      <c r="A88" s="386" t="s">
        <v>77</v>
      </c>
      <c r="B88" s="386"/>
      <c r="C88" s="386"/>
      <c r="D88" s="386"/>
      <c r="E88" s="110"/>
      <c r="F88" s="111"/>
    </row>
    <row r="89" spans="1:8" s="104" customFormat="1" outlineLevel="1" x14ac:dyDescent="0.25">
      <c r="A89" s="112" t="s">
        <v>78</v>
      </c>
      <c r="B89" s="112" t="s">
        <v>53</v>
      </c>
      <c r="C89" s="91" t="s">
        <v>4</v>
      </c>
      <c r="D89" s="112" t="s">
        <v>79</v>
      </c>
      <c r="E89" s="91" t="s">
        <v>80</v>
      </c>
      <c r="F89" s="112" t="s">
        <v>81</v>
      </c>
      <c r="G89" s="112" t="s">
        <v>82</v>
      </c>
    </row>
    <row r="90" spans="1:8" ht="24.95" customHeight="1" outlineLevel="1" x14ac:dyDescent="0.2">
      <c r="A90" s="113">
        <v>45714</v>
      </c>
      <c r="B90" s="55" t="s">
        <v>561</v>
      </c>
      <c r="C90" s="93" t="s">
        <v>94</v>
      </c>
      <c r="D90" s="113" t="s">
        <v>578</v>
      </c>
      <c r="E90" s="55" t="s">
        <v>567</v>
      </c>
      <c r="F90" s="109" t="s">
        <v>579</v>
      </c>
      <c r="G90" s="94" t="s">
        <v>580</v>
      </c>
    </row>
    <row r="91" spans="1:8" x14ac:dyDescent="0.2">
      <c r="B91" s="118"/>
    </row>
    <row r="92" spans="1:8" x14ac:dyDescent="0.2">
      <c r="A92" s="118"/>
      <c r="B92" s="118"/>
    </row>
    <row r="93" spans="1:8" ht="15" x14ac:dyDescent="0.25">
      <c r="A93" s="387" t="s">
        <v>83</v>
      </c>
      <c r="B93" s="387"/>
      <c r="C93" s="387"/>
      <c r="D93" s="387"/>
      <c r="E93" s="212"/>
    </row>
    <row r="94" spans="1:8" s="104" customFormat="1" ht="12" customHeight="1" outlineLevel="1" x14ac:dyDescent="0.25">
      <c r="A94" s="112" t="s">
        <v>78</v>
      </c>
      <c r="B94" s="112" t="s">
        <v>53</v>
      </c>
      <c r="C94" s="91" t="s">
        <v>4</v>
      </c>
      <c r="D94" s="112" t="s">
        <v>79</v>
      </c>
      <c r="E94" s="91" t="s">
        <v>80</v>
      </c>
      <c r="F94" s="112" t="s">
        <v>81</v>
      </c>
      <c r="G94" s="112" t="s">
        <v>82</v>
      </c>
    </row>
    <row r="95" spans="1:8" ht="24" customHeight="1" outlineLevel="1" x14ac:dyDescent="0.2">
      <c r="A95" s="204"/>
      <c r="B95" s="204"/>
      <c r="C95" s="205"/>
      <c r="D95" s="129" t="s">
        <v>108</v>
      </c>
      <c r="E95" s="203"/>
      <c r="F95" s="203"/>
      <c r="G95" s="203"/>
    </row>
    <row r="96" spans="1:8" ht="24" customHeight="1" outlineLevel="1" x14ac:dyDescent="0.2">
      <c r="A96" s="116">
        <v>45695</v>
      </c>
      <c r="B96" s="116" t="s">
        <v>642</v>
      </c>
      <c r="C96" s="119" t="s">
        <v>94</v>
      </c>
      <c r="D96" s="116" t="s">
        <v>643</v>
      </c>
      <c r="E96" s="109"/>
      <c r="F96" s="55" t="s">
        <v>109</v>
      </c>
      <c r="G96" s="109" t="s">
        <v>644</v>
      </c>
    </row>
    <row r="97" spans="1:7" ht="24" customHeight="1" outlineLevel="1" x14ac:dyDescent="0.2">
      <c r="A97" s="116">
        <v>45695</v>
      </c>
      <c r="B97" s="116" t="s">
        <v>645</v>
      </c>
      <c r="C97" s="119" t="s">
        <v>94</v>
      </c>
      <c r="D97" s="116" t="s">
        <v>646</v>
      </c>
      <c r="E97" s="109"/>
      <c r="F97" s="55" t="s">
        <v>109</v>
      </c>
      <c r="G97" s="109" t="s">
        <v>647</v>
      </c>
    </row>
    <row r="98" spans="1:7" ht="24" customHeight="1" outlineLevel="1" x14ac:dyDescent="0.2">
      <c r="A98" s="116">
        <v>45691</v>
      </c>
      <c r="B98" s="116" t="s">
        <v>648</v>
      </c>
      <c r="C98" s="119" t="s">
        <v>94</v>
      </c>
      <c r="D98" s="116" t="s">
        <v>649</v>
      </c>
      <c r="E98" s="109"/>
      <c r="F98" s="55" t="s">
        <v>109</v>
      </c>
      <c r="G98" s="109" t="s">
        <v>650</v>
      </c>
    </row>
    <row r="99" spans="1:7" ht="24" customHeight="1" outlineLevel="1" x14ac:dyDescent="0.2">
      <c r="A99" s="116">
        <v>45691</v>
      </c>
      <c r="B99" s="116" t="s">
        <v>651</v>
      </c>
      <c r="C99" s="119" t="s">
        <v>94</v>
      </c>
      <c r="D99" s="116" t="s">
        <v>652</v>
      </c>
      <c r="E99" s="109"/>
      <c r="F99" s="55" t="s">
        <v>109</v>
      </c>
      <c r="G99" s="109" t="s">
        <v>653</v>
      </c>
    </row>
    <row r="100" spans="1:7" ht="24" customHeight="1" outlineLevel="1" x14ac:dyDescent="0.2">
      <c r="A100" s="116">
        <v>45691</v>
      </c>
      <c r="B100" s="116" t="s">
        <v>654</v>
      </c>
      <c r="C100" s="119" t="s">
        <v>94</v>
      </c>
      <c r="D100" s="116" t="s">
        <v>655</v>
      </c>
      <c r="E100" s="109"/>
      <c r="F100" s="55" t="s">
        <v>109</v>
      </c>
      <c r="G100" s="109" t="s">
        <v>656</v>
      </c>
    </row>
    <row r="101" spans="1:7" ht="24" customHeight="1" outlineLevel="1" x14ac:dyDescent="0.2">
      <c r="A101" s="116">
        <v>45691</v>
      </c>
      <c r="B101" s="116" t="s">
        <v>657</v>
      </c>
      <c r="C101" s="119" t="s">
        <v>94</v>
      </c>
      <c r="D101" s="116" t="s">
        <v>658</v>
      </c>
      <c r="E101" s="109"/>
      <c r="F101" s="55" t="s">
        <v>109</v>
      </c>
      <c r="G101" s="109" t="s">
        <v>659</v>
      </c>
    </row>
    <row r="102" spans="1:7" ht="24" customHeight="1" outlineLevel="1" x14ac:dyDescent="0.2">
      <c r="A102" s="116">
        <v>45691</v>
      </c>
      <c r="B102" s="116" t="s">
        <v>660</v>
      </c>
      <c r="C102" s="119" t="s">
        <v>94</v>
      </c>
      <c r="D102" s="116" t="s">
        <v>190</v>
      </c>
      <c r="E102" s="109"/>
      <c r="F102" s="55" t="s">
        <v>109</v>
      </c>
      <c r="G102" s="109" t="s">
        <v>661</v>
      </c>
    </row>
    <row r="103" spans="1:7" ht="24" customHeight="1" outlineLevel="1" x14ac:dyDescent="0.2">
      <c r="A103" s="116">
        <v>45692</v>
      </c>
      <c r="B103" s="203" t="s">
        <v>399</v>
      </c>
      <c r="C103" s="159" t="s">
        <v>94</v>
      </c>
      <c r="D103" s="116" t="s">
        <v>515</v>
      </c>
      <c r="E103" s="203"/>
      <c r="F103" s="55" t="s">
        <v>109</v>
      </c>
      <c r="G103" s="203" t="s">
        <v>457</v>
      </c>
    </row>
    <row r="104" spans="1:7" ht="24" customHeight="1" outlineLevel="1" x14ac:dyDescent="0.2">
      <c r="A104" s="116">
        <v>45692</v>
      </c>
      <c r="B104" s="203" t="s">
        <v>400</v>
      </c>
      <c r="C104" s="159" t="s">
        <v>94</v>
      </c>
      <c r="D104" s="116" t="s">
        <v>559</v>
      </c>
      <c r="E104" s="203"/>
      <c r="F104" s="55" t="s">
        <v>109</v>
      </c>
      <c r="G104" s="203" t="s">
        <v>458</v>
      </c>
    </row>
    <row r="105" spans="1:7" ht="24" customHeight="1" outlineLevel="1" x14ac:dyDescent="0.2">
      <c r="A105" s="116">
        <v>45692</v>
      </c>
      <c r="B105" s="203" t="s">
        <v>401</v>
      </c>
      <c r="C105" s="159" t="s">
        <v>94</v>
      </c>
      <c r="D105" s="116" t="s">
        <v>560</v>
      </c>
      <c r="E105" s="203"/>
      <c r="F105" s="55" t="s">
        <v>109</v>
      </c>
      <c r="G105" s="203" t="s">
        <v>459</v>
      </c>
    </row>
    <row r="106" spans="1:7" ht="24" customHeight="1" outlineLevel="1" x14ac:dyDescent="0.2">
      <c r="A106" s="116">
        <v>45692</v>
      </c>
      <c r="B106" s="203" t="s">
        <v>402</v>
      </c>
      <c r="C106" s="159" t="s">
        <v>94</v>
      </c>
      <c r="D106" s="116" t="s">
        <v>558</v>
      </c>
      <c r="E106" s="203"/>
      <c r="F106" s="55" t="s">
        <v>109</v>
      </c>
      <c r="G106" s="203" t="s">
        <v>460</v>
      </c>
    </row>
    <row r="107" spans="1:7" ht="24" customHeight="1" outlineLevel="1" x14ac:dyDescent="0.2">
      <c r="A107" s="116">
        <v>45692</v>
      </c>
      <c r="B107" s="203" t="s">
        <v>403</v>
      </c>
      <c r="C107" s="159" t="s">
        <v>94</v>
      </c>
      <c r="D107" s="116" t="s">
        <v>145</v>
      </c>
      <c r="E107" s="203"/>
      <c r="F107" s="55" t="s">
        <v>109</v>
      </c>
      <c r="G107" s="203" t="s">
        <v>461</v>
      </c>
    </row>
    <row r="108" spans="1:7" ht="24" customHeight="1" outlineLevel="1" x14ac:dyDescent="0.2">
      <c r="A108" s="116">
        <v>45692</v>
      </c>
      <c r="B108" s="203" t="s">
        <v>404</v>
      </c>
      <c r="C108" s="159" t="s">
        <v>94</v>
      </c>
      <c r="D108" s="116" t="s">
        <v>119</v>
      </c>
      <c r="E108" s="203"/>
      <c r="F108" s="55" t="s">
        <v>109</v>
      </c>
      <c r="G108" s="203" t="s">
        <v>462</v>
      </c>
    </row>
    <row r="109" spans="1:7" ht="24" customHeight="1" outlineLevel="1" x14ac:dyDescent="0.2">
      <c r="A109" s="116">
        <v>45692</v>
      </c>
      <c r="B109" s="203" t="s">
        <v>405</v>
      </c>
      <c r="C109" s="159" t="s">
        <v>94</v>
      </c>
      <c r="D109" s="116" t="s">
        <v>557</v>
      </c>
      <c r="E109" s="203"/>
      <c r="F109" s="55" t="s">
        <v>109</v>
      </c>
      <c r="G109" s="203" t="s">
        <v>463</v>
      </c>
    </row>
    <row r="110" spans="1:7" ht="24" customHeight="1" outlineLevel="1" x14ac:dyDescent="0.2">
      <c r="A110" s="116">
        <v>45692</v>
      </c>
      <c r="B110" s="203" t="s">
        <v>406</v>
      </c>
      <c r="C110" s="159" t="s">
        <v>94</v>
      </c>
      <c r="D110" s="116" t="s">
        <v>556</v>
      </c>
      <c r="E110" s="203"/>
      <c r="F110" s="55" t="s">
        <v>109</v>
      </c>
      <c r="G110" s="203" t="s">
        <v>464</v>
      </c>
    </row>
    <row r="111" spans="1:7" ht="24" customHeight="1" outlineLevel="1" x14ac:dyDescent="0.2">
      <c r="A111" s="116">
        <v>45692</v>
      </c>
      <c r="B111" s="203" t="s">
        <v>407</v>
      </c>
      <c r="C111" s="159" t="s">
        <v>94</v>
      </c>
      <c r="D111" s="116" t="s">
        <v>555</v>
      </c>
      <c r="E111" s="203"/>
      <c r="F111" s="55" t="s">
        <v>109</v>
      </c>
      <c r="G111" s="203" t="s">
        <v>465</v>
      </c>
    </row>
    <row r="112" spans="1:7" ht="24" customHeight="1" outlineLevel="1" x14ac:dyDescent="0.2">
      <c r="A112" s="116">
        <v>45693</v>
      </c>
      <c r="B112" s="203" t="s">
        <v>408</v>
      </c>
      <c r="C112" s="159" t="s">
        <v>94</v>
      </c>
      <c r="D112" s="116" t="s">
        <v>554</v>
      </c>
      <c r="E112" s="203"/>
      <c r="F112" s="55" t="s">
        <v>109</v>
      </c>
      <c r="G112" s="203" t="s">
        <v>466</v>
      </c>
    </row>
    <row r="113" spans="1:7" ht="24" customHeight="1" outlineLevel="1" x14ac:dyDescent="0.2">
      <c r="A113" s="116">
        <v>45693</v>
      </c>
      <c r="B113" s="203" t="s">
        <v>409</v>
      </c>
      <c r="C113" s="159" t="s">
        <v>94</v>
      </c>
      <c r="D113" s="116" t="s">
        <v>153</v>
      </c>
      <c r="E113" s="203"/>
      <c r="F113" s="55" t="s">
        <v>109</v>
      </c>
      <c r="G113" s="203" t="s">
        <v>467</v>
      </c>
    </row>
    <row r="114" spans="1:7" ht="24" customHeight="1" outlineLevel="1" x14ac:dyDescent="0.2">
      <c r="A114" s="116">
        <v>45694</v>
      </c>
      <c r="B114" s="109" t="s">
        <v>410</v>
      </c>
      <c r="C114" s="159" t="s">
        <v>94</v>
      </c>
      <c r="D114" s="116" t="s">
        <v>553</v>
      </c>
      <c r="E114" s="109"/>
      <c r="F114" s="55" t="s">
        <v>109</v>
      </c>
      <c r="G114" s="109" t="s">
        <v>468</v>
      </c>
    </row>
    <row r="115" spans="1:7" ht="24" customHeight="1" outlineLevel="1" x14ac:dyDescent="0.2">
      <c r="A115" s="116">
        <v>45694</v>
      </c>
      <c r="B115" s="109" t="s">
        <v>411</v>
      </c>
      <c r="C115" s="119" t="s">
        <v>94</v>
      </c>
      <c r="D115" s="116" t="s">
        <v>552</v>
      </c>
      <c r="E115" s="109"/>
      <c r="F115" s="55" t="s">
        <v>109</v>
      </c>
      <c r="G115" s="109" t="s">
        <v>469</v>
      </c>
    </row>
    <row r="116" spans="1:7" ht="24" customHeight="1" outlineLevel="1" x14ac:dyDescent="0.2">
      <c r="A116" s="116">
        <v>45693</v>
      </c>
      <c r="B116" s="109" t="s">
        <v>412</v>
      </c>
      <c r="C116" s="159" t="s">
        <v>94</v>
      </c>
      <c r="D116" s="116" t="s">
        <v>551</v>
      </c>
      <c r="E116" s="109"/>
      <c r="F116" s="55" t="s">
        <v>109</v>
      </c>
      <c r="G116" s="109" t="s">
        <v>470</v>
      </c>
    </row>
    <row r="117" spans="1:7" ht="24" customHeight="1" outlineLevel="1" x14ac:dyDescent="0.2">
      <c r="A117" s="116">
        <v>45693</v>
      </c>
      <c r="B117" s="109" t="s">
        <v>413</v>
      </c>
      <c r="C117" s="159" t="s">
        <v>94</v>
      </c>
      <c r="D117" s="116" t="s">
        <v>550</v>
      </c>
      <c r="E117" s="109"/>
      <c r="F117" s="55" t="s">
        <v>109</v>
      </c>
      <c r="G117" s="109" t="s">
        <v>471</v>
      </c>
    </row>
    <row r="118" spans="1:7" ht="24" customHeight="1" outlineLevel="1" x14ac:dyDescent="0.2">
      <c r="A118" s="116">
        <v>45694</v>
      </c>
      <c r="B118" s="109" t="s">
        <v>414</v>
      </c>
      <c r="C118" s="159" t="s">
        <v>94</v>
      </c>
      <c r="D118" s="116" t="s">
        <v>549</v>
      </c>
      <c r="E118" s="109"/>
      <c r="F118" s="55" t="s">
        <v>109</v>
      </c>
      <c r="G118" s="109" t="s">
        <v>472</v>
      </c>
    </row>
    <row r="119" spans="1:7" ht="24" customHeight="1" outlineLevel="1" x14ac:dyDescent="0.2">
      <c r="A119" s="116">
        <v>45693</v>
      </c>
      <c r="B119" s="109" t="s">
        <v>415</v>
      </c>
      <c r="C119" s="159" t="s">
        <v>94</v>
      </c>
      <c r="D119" s="116" t="s">
        <v>548</v>
      </c>
      <c r="E119" s="109"/>
      <c r="F119" s="55" t="s">
        <v>109</v>
      </c>
      <c r="G119" s="109" t="s">
        <v>473</v>
      </c>
    </row>
    <row r="120" spans="1:7" ht="24" customHeight="1" outlineLevel="1" x14ac:dyDescent="0.2">
      <c r="A120" s="116">
        <v>45694</v>
      </c>
      <c r="B120" s="109" t="s">
        <v>416</v>
      </c>
      <c r="C120" s="159" t="s">
        <v>94</v>
      </c>
      <c r="D120" s="116" t="s">
        <v>547</v>
      </c>
      <c r="E120" s="109"/>
      <c r="F120" s="55" t="s">
        <v>109</v>
      </c>
      <c r="G120" s="109" t="s">
        <v>474</v>
      </c>
    </row>
    <row r="121" spans="1:7" ht="24" customHeight="1" outlineLevel="1" x14ac:dyDescent="0.2">
      <c r="A121" s="116">
        <v>45694</v>
      </c>
      <c r="B121" s="109" t="s">
        <v>417</v>
      </c>
      <c r="C121" s="159" t="s">
        <v>94</v>
      </c>
      <c r="D121" s="116" t="s">
        <v>546</v>
      </c>
      <c r="E121" s="109"/>
      <c r="F121" s="55" t="s">
        <v>109</v>
      </c>
      <c r="G121" s="109" t="s">
        <v>475</v>
      </c>
    </row>
    <row r="122" spans="1:7" ht="24" customHeight="1" outlineLevel="1" x14ac:dyDescent="0.2">
      <c r="A122" s="116">
        <v>45694</v>
      </c>
      <c r="B122" s="109" t="s">
        <v>418</v>
      </c>
      <c r="C122" s="159" t="s">
        <v>94</v>
      </c>
      <c r="D122" s="116" t="s">
        <v>545</v>
      </c>
      <c r="E122" s="109"/>
      <c r="F122" s="55" t="s">
        <v>109</v>
      </c>
      <c r="G122" s="109" t="s">
        <v>476</v>
      </c>
    </row>
    <row r="123" spans="1:7" ht="24" customHeight="1" outlineLevel="1" x14ac:dyDescent="0.2">
      <c r="A123" s="116">
        <v>45694</v>
      </c>
      <c r="B123" s="109" t="s">
        <v>419</v>
      </c>
      <c r="C123" s="159" t="s">
        <v>94</v>
      </c>
      <c r="D123" s="116" t="s">
        <v>544</v>
      </c>
      <c r="E123" s="109"/>
      <c r="F123" s="55" t="s">
        <v>109</v>
      </c>
      <c r="G123" s="109" t="s">
        <v>477</v>
      </c>
    </row>
    <row r="124" spans="1:7" ht="24" customHeight="1" outlineLevel="1" x14ac:dyDescent="0.2">
      <c r="A124" s="116">
        <v>45698</v>
      </c>
      <c r="B124" s="109" t="s">
        <v>420</v>
      </c>
      <c r="C124" s="159" t="s">
        <v>94</v>
      </c>
      <c r="D124" s="116" t="s">
        <v>543</v>
      </c>
      <c r="E124" s="109"/>
      <c r="F124" s="55" t="s">
        <v>109</v>
      </c>
      <c r="G124" s="109" t="s">
        <v>478</v>
      </c>
    </row>
    <row r="125" spans="1:7" ht="24" customHeight="1" outlineLevel="1" x14ac:dyDescent="0.2">
      <c r="A125" s="116">
        <v>45708</v>
      </c>
      <c r="B125" s="109" t="s">
        <v>421</v>
      </c>
      <c r="C125" s="159" t="s">
        <v>94</v>
      </c>
      <c r="D125" s="116" t="s">
        <v>542</v>
      </c>
      <c r="E125" s="109"/>
      <c r="F125" s="55" t="s">
        <v>109</v>
      </c>
      <c r="G125" s="109" t="s">
        <v>479</v>
      </c>
    </row>
    <row r="126" spans="1:7" ht="24" customHeight="1" outlineLevel="1" x14ac:dyDescent="0.2">
      <c r="A126" s="116">
        <v>45698</v>
      </c>
      <c r="B126" s="109" t="s">
        <v>422</v>
      </c>
      <c r="C126" s="159" t="s">
        <v>94</v>
      </c>
      <c r="D126" s="116" t="s">
        <v>364</v>
      </c>
      <c r="E126" s="109"/>
      <c r="F126" s="55" t="s">
        <v>109</v>
      </c>
      <c r="G126" s="109" t="s">
        <v>480</v>
      </c>
    </row>
    <row r="127" spans="1:7" ht="24" customHeight="1" outlineLevel="1" x14ac:dyDescent="0.2">
      <c r="A127" s="116">
        <v>45698</v>
      </c>
      <c r="B127" s="109" t="s">
        <v>423</v>
      </c>
      <c r="C127" s="159" t="s">
        <v>94</v>
      </c>
      <c r="D127" s="116" t="s">
        <v>350</v>
      </c>
      <c r="E127" s="109"/>
      <c r="F127" s="55" t="s">
        <v>109</v>
      </c>
      <c r="G127" s="109" t="s">
        <v>481</v>
      </c>
    </row>
    <row r="128" spans="1:7" ht="24" customHeight="1" outlineLevel="1" x14ac:dyDescent="0.2">
      <c r="A128" s="116">
        <v>45698</v>
      </c>
      <c r="B128" s="109" t="s">
        <v>424</v>
      </c>
      <c r="C128" s="159" t="s">
        <v>94</v>
      </c>
      <c r="D128" s="116" t="s">
        <v>213</v>
      </c>
      <c r="E128" s="109"/>
      <c r="F128" s="55" t="s">
        <v>109</v>
      </c>
      <c r="G128" s="109" t="s">
        <v>482</v>
      </c>
    </row>
    <row r="129" spans="1:7" ht="24" customHeight="1" outlineLevel="1" x14ac:dyDescent="0.2">
      <c r="A129" s="116">
        <v>45709</v>
      </c>
      <c r="B129" s="109" t="s">
        <v>425</v>
      </c>
      <c r="C129" s="159" t="s">
        <v>94</v>
      </c>
      <c r="D129" s="116" t="s">
        <v>359</v>
      </c>
      <c r="E129" s="109"/>
      <c r="F129" s="55" t="s">
        <v>109</v>
      </c>
      <c r="G129" s="109" t="s">
        <v>483</v>
      </c>
    </row>
    <row r="130" spans="1:7" ht="24" customHeight="1" outlineLevel="1" x14ac:dyDescent="0.2">
      <c r="A130" s="116">
        <v>45698</v>
      </c>
      <c r="B130" s="109" t="s">
        <v>426</v>
      </c>
      <c r="C130" s="159" t="s">
        <v>94</v>
      </c>
      <c r="D130" s="116" t="s">
        <v>541</v>
      </c>
      <c r="E130" s="109"/>
      <c r="F130" s="55" t="s">
        <v>109</v>
      </c>
      <c r="G130" s="109" t="s">
        <v>484</v>
      </c>
    </row>
    <row r="131" spans="1:7" ht="24" customHeight="1" outlineLevel="1" x14ac:dyDescent="0.2">
      <c r="A131" s="116">
        <v>45698</v>
      </c>
      <c r="B131" s="109" t="s">
        <v>427</v>
      </c>
      <c r="C131" s="159" t="s">
        <v>94</v>
      </c>
      <c r="D131" s="116" t="s">
        <v>196</v>
      </c>
      <c r="E131" s="109"/>
      <c r="F131" s="55" t="s">
        <v>109</v>
      </c>
      <c r="G131" s="109" t="s">
        <v>485</v>
      </c>
    </row>
    <row r="132" spans="1:7" ht="24" customHeight="1" outlineLevel="1" x14ac:dyDescent="0.2">
      <c r="A132" s="116">
        <v>45699</v>
      </c>
      <c r="B132" s="109" t="s">
        <v>428</v>
      </c>
      <c r="C132" s="159" t="s">
        <v>94</v>
      </c>
      <c r="D132" s="116" t="s">
        <v>540</v>
      </c>
      <c r="E132" s="109"/>
      <c r="F132" s="55" t="s">
        <v>109</v>
      </c>
      <c r="G132" s="109" t="s">
        <v>486</v>
      </c>
    </row>
    <row r="133" spans="1:7" ht="24" customHeight="1" outlineLevel="1" x14ac:dyDescent="0.2">
      <c r="A133" s="116">
        <v>45707</v>
      </c>
      <c r="B133" s="109" t="s">
        <v>429</v>
      </c>
      <c r="C133" s="159" t="s">
        <v>94</v>
      </c>
      <c r="D133" s="116" t="s">
        <v>539</v>
      </c>
      <c r="E133" s="109"/>
      <c r="F133" s="55" t="s">
        <v>109</v>
      </c>
      <c r="G133" s="109" t="s">
        <v>487</v>
      </c>
    </row>
    <row r="134" spans="1:7" ht="24" customHeight="1" outlineLevel="1" x14ac:dyDescent="0.2">
      <c r="A134" s="116">
        <v>45707</v>
      </c>
      <c r="B134" s="109" t="s">
        <v>430</v>
      </c>
      <c r="C134" s="159" t="s">
        <v>94</v>
      </c>
      <c r="D134" s="116" t="s">
        <v>538</v>
      </c>
      <c r="E134" s="109"/>
      <c r="F134" s="55" t="s">
        <v>109</v>
      </c>
      <c r="G134" s="109" t="s">
        <v>488</v>
      </c>
    </row>
    <row r="135" spans="1:7" ht="24" customHeight="1" outlineLevel="1" x14ac:dyDescent="0.2">
      <c r="A135" s="116">
        <v>45699</v>
      </c>
      <c r="B135" s="109" t="s">
        <v>431</v>
      </c>
      <c r="C135" s="159" t="s">
        <v>94</v>
      </c>
      <c r="D135" s="116" t="s">
        <v>209</v>
      </c>
      <c r="E135" s="109"/>
      <c r="F135" s="55" t="s">
        <v>109</v>
      </c>
      <c r="G135" s="109" t="s">
        <v>489</v>
      </c>
    </row>
    <row r="136" spans="1:7" ht="24" customHeight="1" outlineLevel="1" x14ac:dyDescent="0.2">
      <c r="A136" s="116">
        <v>45707</v>
      </c>
      <c r="B136" s="109" t="s">
        <v>432</v>
      </c>
      <c r="C136" s="159" t="s">
        <v>94</v>
      </c>
      <c r="D136" s="116" t="s">
        <v>537</v>
      </c>
      <c r="E136" s="109"/>
      <c r="F136" s="55" t="s">
        <v>109</v>
      </c>
      <c r="G136" s="109" t="s">
        <v>490</v>
      </c>
    </row>
    <row r="137" spans="1:7" ht="24" customHeight="1" outlineLevel="1" x14ac:dyDescent="0.2">
      <c r="A137" s="116">
        <v>45707</v>
      </c>
      <c r="B137" s="109" t="s">
        <v>433</v>
      </c>
      <c r="C137" s="159" t="s">
        <v>94</v>
      </c>
      <c r="D137" s="116" t="s">
        <v>536</v>
      </c>
      <c r="E137" s="109"/>
      <c r="F137" s="55" t="s">
        <v>109</v>
      </c>
      <c r="G137" s="109" t="s">
        <v>491</v>
      </c>
    </row>
    <row r="138" spans="1:7" ht="24" customHeight="1" outlineLevel="1" x14ac:dyDescent="0.2">
      <c r="A138" s="116">
        <v>45699</v>
      </c>
      <c r="B138" s="109" t="s">
        <v>434</v>
      </c>
      <c r="C138" s="159" t="s">
        <v>94</v>
      </c>
      <c r="D138" s="116" t="s">
        <v>535</v>
      </c>
      <c r="E138" s="109"/>
      <c r="F138" s="55" t="s">
        <v>109</v>
      </c>
      <c r="G138" s="109" t="s">
        <v>492</v>
      </c>
    </row>
    <row r="139" spans="1:7" ht="24" customHeight="1" outlineLevel="1" x14ac:dyDescent="0.2">
      <c r="A139" s="116">
        <v>45702</v>
      </c>
      <c r="B139" s="109" t="s">
        <v>435</v>
      </c>
      <c r="C139" s="159" t="s">
        <v>94</v>
      </c>
      <c r="D139" s="116" t="s">
        <v>534</v>
      </c>
      <c r="E139" s="109"/>
      <c r="F139" s="55" t="s">
        <v>109</v>
      </c>
      <c r="G139" s="109" t="s">
        <v>493</v>
      </c>
    </row>
    <row r="140" spans="1:7" ht="24" customHeight="1" outlineLevel="1" x14ac:dyDescent="0.2">
      <c r="A140" s="116">
        <v>45702</v>
      </c>
      <c r="B140" s="109" t="s">
        <v>436</v>
      </c>
      <c r="C140" s="159" t="s">
        <v>94</v>
      </c>
      <c r="D140" s="116" t="s">
        <v>533</v>
      </c>
      <c r="E140" s="109"/>
      <c r="F140" s="55" t="s">
        <v>109</v>
      </c>
      <c r="G140" s="109" t="s">
        <v>494</v>
      </c>
    </row>
    <row r="141" spans="1:7" ht="24" customHeight="1" outlineLevel="1" x14ac:dyDescent="0.2">
      <c r="A141" s="116">
        <v>45699</v>
      </c>
      <c r="B141" s="109" t="s">
        <v>437</v>
      </c>
      <c r="C141" s="159" t="s">
        <v>94</v>
      </c>
      <c r="D141" s="116" t="s">
        <v>532</v>
      </c>
      <c r="E141" s="109"/>
      <c r="F141" s="55" t="s">
        <v>109</v>
      </c>
      <c r="G141" s="109" t="s">
        <v>495</v>
      </c>
    </row>
    <row r="142" spans="1:7" ht="24" customHeight="1" outlineLevel="1" x14ac:dyDescent="0.2">
      <c r="A142" s="116">
        <v>45707</v>
      </c>
      <c r="B142" s="109" t="s">
        <v>438</v>
      </c>
      <c r="C142" s="159" t="s">
        <v>94</v>
      </c>
      <c r="D142" s="116" t="s">
        <v>158</v>
      </c>
      <c r="E142" s="109"/>
      <c r="F142" s="55" t="s">
        <v>109</v>
      </c>
      <c r="G142" s="109" t="s">
        <v>496</v>
      </c>
    </row>
    <row r="143" spans="1:7" ht="24" customHeight="1" outlineLevel="1" x14ac:dyDescent="0.2">
      <c r="A143" s="116">
        <v>45706</v>
      </c>
      <c r="B143" s="109" t="s">
        <v>439</v>
      </c>
      <c r="C143" s="159" t="s">
        <v>94</v>
      </c>
      <c r="D143" s="116" t="s">
        <v>290</v>
      </c>
      <c r="E143" s="109"/>
      <c r="F143" s="55" t="s">
        <v>109</v>
      </c>
      <c r="G143" s="109" t="s">
        <v>497</v>
      </c>
    </row>
    <row r="144" spans="1:7" ht="24" customHeight="1" outlineLevel="1" x14ac:dyDescent="0.2">
      <c r="A144" s="116">
        <v>45706</v>
      </c>
      <c r="B144" s="109" t="s">
        <v>440</v>
      </c>
      <c r="C144" s="159" t="s">
        <v>94</v>
      </c>
      <c r="D144" s="116" t="s">
        <v>531</v>
      </c>
      <c r="E144" s="109"/>
      <c r="F144" s="55" t="s">
        <v>109</v>
      </c>
      <c r="G144" s="109" t="s">
        <v>498</v>
      </c>
    </row>
    <row r="145" spans="1:7" ht="24" customHeight="1" outlineLevel="1" x14ac:dyDescent="0.2">
      <c r="A145" s="116">
        <v>45706</v>
      </c>
      <c r="B145" s="109" t="s">
        <v>441</v>
      </c>
      <c r="C145" s="159" t="s">
        <v>94</v>
      </c>
      <c r="D145" s="116" t="s">
        <v>530</v>
      </c>
      <c r="E145" s="109"/>
      <c r="F145" s="55" t="s">
        <v>109</v>
      </c>
      <c r="G145" s="109" t="s">
        <v>499</v>
      </c>
    </row>
    <row r="146" spans="1:7" ht="24" customHeight="1" outlineLevel="1" x14ac:dyDescent="0.2">
      <c r="A146" s="116">
        <v>45708</v>
      </c>
      <c r="B146" s="109" t="s">
        <v>442</v>
      </c>
      <c r="C146" s="159" t="s">
        <v>94</v>
      </c>
      <c r="D146" s="116" t="s">
        <v>144</v>
      </c>
      <c r="E146" s="109"/>
      <c r="F146" s="55" t="s">
        <v>109</v>
      </c>
      <c r="G146" s="109" t="s">
        <v>500</v>
      </c>
    </row>
    <row r="147" spans="1:7" ht="24" customHeight="1" outlineLevel="1" x14ac:dyDescent="0.2">
      <c r="A147" s="116">
        <v>45705</v>
      </c>
      <c r="B147" s="109" t="s">
        <v>443</v>
      </c>
      <c r="C147" s="159" t="s">
        <v>94</v>
      </c>
      <c r="D147" s="116" t="s">
        <v>529</v>
      </c>
      <c r="E147" s="109"/>
      <c r="F147" s="55" t="s">
        <v>109</v>
      </c>
      <c r="G147" s="109" t="s">
        <v>501</v>
      </c>
    </row>
    <row r="148" spans="1:7" ht="24" customHeight="1" outlineLevel="1" x14ac:dyDescent="0.2">
      <c r="A148" s="116">
        <v>45705</v>
      </c>
      <c r="B148" s="109" t="s">
        <v>444</v>
      </c>
      <c r="C148" s="159" t="s">
        <v>94</v>
      </c>
      <c r="D148" s="116" t="s">
        <v>528</v>
      </c>
      <c r="E148" s="109"/>
      <c r="F148" s="55" t="s">
        <v>109</v>
      </c>
      <c r="G148" s="109" t="s">
        <v>502</v>
      </c>
    </row>
    <row r="149" spans="1:7" ht="24" customHeight="1" outlineLevel="1" x14ac:dyDescent="0.2">
      <c r="A149" s="116">
        <v>45709</v>
      </c>
      <c r="B149" s="109" t="s">
        <v>445</v>
      </c>
      <c r="C149" s="159" t="s">
        <v>94</v>
      </c>
      <c r="D149" s="116" t="s">
        <v>527</v>
      </c>
      <c r="E149" s="109"/>
      <c r="F149" s="55" t="s">
        <v>109</v>
      </c>
      <c r="G149" s="109" t="s">
        <v>503</v>
      </c>
    </row>
    <row r="150" spans="1:7" ht="24" customHeight="1" outlineLevel="1" x14ac:dyDescent="0.2">
      <c r="A150" s="116">
        <v>45708</v>
      </c>
      <c r="B150" s="109" t="s">
        <v>446</v>
      </c>
      <c r="C150" s="159" t="s">
        <v>94</v>
      </c>
      <c r="D150" s="116" t="s">
        <v>526</v>
      </c>
      <c r="E150" s="109"/>
      <c r="F150" s="55" t="s">
        <v>109</v>
      </c>
      <c r="G150" s="109" t="s">
        <v>504</v>
      </c>
    </row>
    <row r="151" spans="1:7" ht="24" customHeight="1" outlineLevel="1" x14ac:dyDescent="0.2">
      <c r="A151" s="116">
        <v>45709</v>
      </c>
      <c r="B151" s="109" t="s">
        <v>447</v>
      </c>
      <c r="C151" s="159" t="s">
        <v>94</v>
      </c>
      <c r="D151" s="116" t="s">
        <v>525</v>
      </c>
      <c r="E151" s="109"/>
      <c r="F151" s="55" t="s">
        <v>109</v>
      </c>
      <c r="G151" s="109" t="s">
        <v>505</v>
      </c>
    </row>
    <row r="152" spans="1:7" ht="24" customHeight="1" outlineLevel="1" x14ac:dyDescent="0.2">
      <c r="A152" s="116">
        <v>45709</v>
      </c>
      <c r="B152" s="109" t="s">
        <v>448</v>
      </c>
      <c r="C152" s="159" t="s">
        <v>94</v>
      </c>
      <c r="D152" s="116" t="s">
        <v>524</v>
      </c>
      <c r="E152" s="109"/>
      <c r="F152" s="55" t="s">
        <v>109</v>
      </c>
      <c r="G152" s="109" t="s">
        <v>506</v>
      </c>
    </row>
    <row r="153" spans="1:7" ht="24" customHeight="1" outlineLevel="1" x14ac:dyDescent="0.2">
      <c r="A153" s="116">
        <v>45708</v>
      </c>
      <c r="B153" s="109" t="s">
        <v>449</v>
      </c>
      <c r="C153" s="159" t="s">
        <v>94</v>
      </c>
      <c r="D153" s="116" t="s">
        <v>523</v>
      </c>
      <c r="E153" s="109"/>
      <c r="F153" s="55" t="s">
        <v>109</v>
      </c>
      <c r="G153" s="109" t="s">
        <v>507</v>
      </c>
    </row>
    <row r="154" spans="1:7" ht="24" customHeight="1" outlineLevel="1" x14ac:dyDescent="0.2">
      <c r="A154" s="116">
        <v>45701</v>
      </c>
      <c r="B154" s="109" t="s">
        <v>450</v>
      </c>
      <c r="C154" s="159" t="s">
        <v>94</v>
      </c>
      <c r="D154" s="116" t="s">
        <v>522</v>
      </c>
      <c r="E154" s="109"/>
      <c r="F154" s="55" t="s">
        <v>109</v>
      </c>
      <c r="G154" s="109" t="s">
        <v>508</v>
      </c>
    </row>
    <row r="155" spans="1:7" ht="24" customHeight="1" outlineLevel="1" x14ac:dyDescent="0.2">
      <c r="A155" s="116">
        <v>45701</v>
      </c>
      <c r="B155" s="109" t="s">
        <v>451</v>
      </c>
      <c r="C155" s="159" t="s">
        <v>94</v>
      </c>
      <c r="D155" s="116" t="s">
        <v>521</v>
      </c>
      <c r="E155" s="109"/>
      <c r="F155" s="55" t="s">
        <v>109</v>
      </c>
      <c r="G155" s="109" t="s">
        <v>509</v>
      </c>
    </row>
    <row r="156" spans="1:7" ht="24" customHeight="1" outlineLevel="1" x14ac:dyDescent="0.2">
      <c r="A156" s="116">
        <v>45701</v>
      </c>
      <c r="B156" s="109" t="s">
        <v>452</v>
      </c>
      <c r="C156" s="159" t="s">
        <v>94</v>
      </c>
      <c r="D156" s="116" t="s">
        <v>520</v>
      </c>
      <c r="E156" s="109"/>
      <c r="F156" s="55" t="s">
        <v>109</v>
      </c>
      <c r="G156" s="109" t="s">
        <v>510</v>
      </c>
    </row>
    <row r="157" spans="1:7" ht="24" customHeight="1" outlineLevel="1" x14ac:dyDescent="0.2">
      <c r="A157" s="116">
        <v>45700</v>
      </c>
      <c r="B157" s="109" t="s">
        <v>453</v>
      </c>
      <c r="C157" s="159" t="s">
        <v>94</v>
      </c>
      <c r="D157" s="116" t="s">
        <v>519</v>
      </c>
      <c r="E157" s="109"/>
      <c r="F157" s="55" t="s">
        <v>109</v>
      </c>
      <c r="G157" s="109" t="s">
        <v>511</v>
      </c>
    </row>
    <row r="158" spans="1:7" ht="24" customHeight="1" outlineLevel="1" x14ac:dyDescent="0.2">
      <c r="A158" s="116">
        <v>45700</v>
      </c>
      <c r="B158" s="109" t="s">
        <v>454</v>
      </c>
      <c r="C158" s="159" t="s">
        <v>94</v>
      </c>
      <c r="D158" s="116" t="s">
        <v>518</v>
      </c>
      <c r="E158" s="109"/>
      <c r="F158" s="55" t="s">
        <v>109</v>
      </c>
      <c r="G158" s="109" t="s">
        <v>512</v>
      </c>
    </row>
    <row r="159" spans="1:7" ht="24" customHeight="1" outlineLevel="1" x14ac:dyDescent="0.2">
      <c r="A159" s="116">
        <v>45700</v>
      </c>
      <c r="B159" s="109" t="s">
        <v>455</v>
      </c>
      <c r="C159" s="159" t="s">
        <v>94</v>
      </c>
      <c r="D159" s="116" t="s">
        <v>517</v>
      </c>
      <c r="E159" s="109"/>
      <c r="F159" s="55" t="s">
        <v>109</v>
      </c>
      <c r="G159" s="109" t="s">
        <v>513</v>
      </c>
    </row>
    <row r="160" spans="1:7" ht="24" customHeight="1" outlineLevel="1" x14ac:dyDescent="0.2">
      <c r="A160" s="116">
        <v>45708</v>
      </c>
      <c r="B160" s="109" t="s">
        <v>456</v>
      </c>
      <c r="C160" s="159" t="s">
        <v>94</v>
      </c>
      <c r="D160" s="116" t="s">
        <v>516</v>
      </c>
      <c r="E160" s="109"/>
      <c r="F160" s="55" t="s">
        <v>109</v>
      </c>
      <c r="G160" s="109" t="s">
        <v>514</v>
      </c>
    </row>
    <row r="161" spans="1:7" ht="24" customHeight="1" outlineLevel="1" x14ac:dyDescent="0.2">
      <c r="A161" s="116">
        <v>45713</v>
      </c>
      <c r="B161" s="116" t="s">
        <v>634</v>
      </c>
      <c r="C161" s="119" t="s">
        <v>94</v>
      </c>
      <c r="D161" s="210" t="s">
        <v>635</v>
      </c>
      <c r="E161" s="109"/>
      <c r="F161" s="109" t="s">
        <v>109</v>
      </c>
      <c r="G161" s="109" t="s">
        <v>636</v>
      </c>
    </row>
    <row r="162" spans="1:7" ht="24" customHeight="1" outlineLevel="1" x14ac:dyDescent="0.2">
      <c r="A162" s="116">
        <v>45713</v>
      </c>
      <c r="B162" s="109" t="s">
        <v>587</v>
      </c>
      <c r="C162" s="159" t="s">
        <v>94</v>
      </c>
      <c r="D162" s="210" t="s">
        <v>588</v>
      </c>
      <c r="E162" s="109"/>
      <c r="F162" s="55" t="s">
        <v>109</v>
      </c>
      <c r="G162" s="109" t="s">
        <v>589</v>
      </c>
    </row>
    <row r="163" spans="1:7" ht="24" customHeight="1" outlineLevel="1" x14ac:dyDescent="0.2">
      <c r="A163" s="116">
        <v>45713</v>
      </c>
      <c r="B163" s="116" t="s">
        <v>590</v>
      </c>
      <c r="C163" s="119" t="s">
        <v>94</v>
      </c>
      <c r="D163" s="210" t="s">
        <v>591</v>
      </c>
      <c r="E163" s="109"/>
      <c r="F163" s="109" t="s">
        <v>109</v>
      </c>
      <c r="G163" s="109" t="s">
        <v>592</v>
      </c>
    </row>
    <row r="164" spans="1:7" ht="24" customHeight="1" outlineLevel="1" x14ac:dyDescent="0.2">
      <c r="A164" s="116">
        <v>45713</v>
      </c>
      <c r="B164" s="116" t="s">
        <v>593</v>
      </c>
      <c r="C164" s="119" t="s">
        <v>94</v>
      </c>
      <c r="D164" s="210" t="s">
        <v>595</v>
      </c>
      <c r="E164" s="109"/>
      <c r="F164" s="109" t="s">
        <v>109</v>
      </c>
      <c r="G164" s="109" t="s">
        <v>594</v>
      </c>
    </row>
    <row r="165" spans="1:7" ht="24" customHeight="1" outlineLevel="1" x14ac:dyDescent="0.2">
      <c r="A165" s="116">
        <v>45713</v>
      </c>
      <c r="B165" s="116" t="s">
        <v>596</v>
      </c>
      <c r="C165" s="119" t="s">
        <v>94</v>
      </c>
      <c r="D165" s="210" t="s">
        <v>293</v>
      </c>
      <c r="E165" s="109"/>
      <c r="F165" s="109" t="s">
        <v>109</v>
      </c>
      <c r="G165" s="109" t="s">
        <v>597</v>
      </c>
    </row>
    <row r="166" spans="1:7" ht="24" customHeight="1" outlineLevel="1" x14ac:dyDescent="0.2">
      <c r="A166" s="116">
        <v>45713</v>
      </c>
      <c r="B166" s="209" t="s">
        <v>600</v>
      </c>
      <c r="C166" s="159" t="s">
        <v>94</v>
      </c>
      <c r="D166" s="210" t="s">
        <v>598</v>
      </c>
      <c r="E166" s="206"/>
      <c r="F166" s="55" t="s">
        <v>109</v>
      </c>
      <c r="G166" s="206" t="s">
        <v>599</v>
      </c>
    </row>
    <row r="167" spans="1:7" ht="24" customHeight="1" outlineLevel="1" x14ac:dyDescent="0.2">
      <c r="A167" s="116">
        <v>45713</v>
      </c>
      <c r="B167" s="116" t="s">
        <v>601</v>
      </c>
      <c r="C167" s="159" t="s">
        <v>94</v>
      </c>
      <c r="D167" s="210" t="s">
        <v>603</v>
      </c>
      <c r="E167" s="109"/>
      <c r="F167" s="55" t="s">
        <v>109</v>
      </c>
      <c r="G167" s="109" t="s">
        <v>602</v>
      </c>
    </row>
    <row r="168" spans="1:7" ht="24" customHeight="1" outlineLevel="1" x14ac:dyDescent="0.2">
      <c r="A168" s="116">
        <v>45714</v>
      </c>
      <c r="B168" s="116" t="s">
        <v>604</v>
      </c>
      <c r="C168" s="119" t="s">
        <v>94</v>
      </c>
      <c r="D168" s="210" t="s">
        <v>606</v>
      </c>
      <c r="E168" s="109"/>
      <c r="F168" s="109" t="s">
        <v>109</v>
      </c>
      <c r="G168" s="109" t="s">
        <v>605</v>
      </c>
    </row>
    <row r="169" spans="1:7" ht="24" customHeight="1" outlineLevel="1" x14ac:dyDescent="0.2">
      <c r="A169" s="116">
        <v>45714</v>
      </c>
      <c r="B169" s="116" t="s">
        <v>607</v>
      </c>
      <c r="C169" s="119" t="s">
        <v>94</v>
      </c>
      <c r="D169" s="210" t="s">
        <v>608</v>
      </c>
      <c r="E169" s="109"/>
      <c r="F169" s="109" t="s">
        <v>109</v>
      </c>
      <c r="G169" s="109" t="s">
        <v>609</v>
      </c>
    </row>
    <row r="170" spans="1:7" ht="24" customHeight="1" outlineLevel="1" x14ac:dyDescent="0.2">
      <c r="A170" s="116">
        <v>45716</v>
      </c>
      <c r="B170" s="116" t="s">
        <v>585</v>
      </c>
      <c r="C170" s="119" t="s">
        <v>94</v>
      </c>
      <c r="D170" s="116" t="s">
        <v>586</v>
      </c>
      <c r="E170" s="109"/>
      <c r="F170" s="109" t="s">
        <v>109</v>
      </c>
      <c r="G170" s="109" t="s">
        <v>628</v>
      </c>
    </row>
    <row r="171" spans="1:7" ht="24" customHeight="1" outlineLevel="1" x14ac:dyDescent="0.2">
      <c r="A171" s="116">
        <v>45716</v>
      </c>
      <c r="B171" s="116" t="s">
        <v>611</v>
      </c>
      <c r="C171" s="119" t="s">
        <v>94</v>
      </c>
      <c r="D171" s="191" t="s">
        <v>612</v>
      </c>
      <c r="E171" s="109"/>
      <c r="F171" s="109" t="s">
        <v>109</v>
      </c>
      <c r="G171" s="109" t="s">
        <v>610</v>
      </c>
    </row>
    <row r="172" spans="1:7" ht="24" customHeight="1" outlineLevel="1" x14ac:dyDescent="0.2">
      <c r="A172" s="116">
        <v>45715</v>
      </c>
      <c r="B172" s="116" t="s">
        <v>632</v>
      </c>
      <c r="C172" s="119" t="s">
        <v>94</v>
      </c>
      <c r="D172" s="116" t="s">
        <v>631</v>
      </c>
      <c r="E172" s="109"/>
      <c r="F172" s="109" t="s">
        <v>109</v>
      </c>
      <c r="G172" s="109" t="s">
        <v>633</v>
      </c>
    </row>
    <row r="173" spans="1:7" ht="24" customHeight="1" outlineLevel="1" x14ac:dyDescent="0.2">
      <c r="A173" s="116">
        <v>45715</v>
      </c>
      <c r="B173" s="116" t="s">
        <v>613</v>
      </c>
      <c r="C173" s="119" t="s">
        <v>94</v>
      </c>
      <c r="D173" s="116" t="s">
        <v>615</v>
      </c>
      <c r="E173" s="109"/>
      <c r="F173" s="109" t="s">
        <v>109</v>
      </c>
      <c r="G173" s="109" t="s">
        <v>614</v>
      </c>
    </row>
    <row r="174" spans="1:7" ht="24" customHeight="1" outlineLevel="1" x14ac:dyDescent="0.2">
      <c r="A174" s="116">
        <v>45715</v>
      </c>
      <c r="B174" s="116" t="s">
        <v>616</v>
      </c>
      <c r="C174" s="119" t="s">
        <v>94</v>
      </c>
      <c r="D174" s="116" t="s">
        <v>618</v>
      </c>
      <c r="E174" s="109"/>
      <c r="F174" s="109" t="s">
        <v>109</v>
      </c>
      <c r="G174" s="109" t="s">
        <v>617</v>
      </c>
    </row>
    <row r="175" spans="1:7" ht="24" customHeight="1" outlineLevel="1" x14ac:dyDescent="0.2">
      <c r="A175" s="116">
        <v>45716</v>
      </c>
      <c r="B175" s="116" t="s">
        <v>619</v>
      </c>
      <c r="C175" s="119" t="s">
        <v>94</v>
      </c>
      <c r="D175" s="116" t="s">
        <v>621</v>
      </c>
      <c r="E175" s="109"/>
      <c r="F175" s="109" t="s">
        <v>109</v>
      </c>
      <c r="G175" s="109" t="s">
        <v>620</v>
      </c>
    </row>
    <row r="176" spans="1:7" ht="24" customHeight="1" outlineLevel="1" x14ac:dyDescent="0.2">
      <c r="A176" s="116">
        <v>45715</v>
      </c>
      <c r="B176" s="116" t="s">
        <v>622</v>
      </c>
      <c r="C176" s="119" t="s">
        <v>94</v>
      </c>
      <c r="D176" s="116" t="s">
        <v>624</v>
      </c>
      <c r="E176" s="109"/>
      <c r="F176" s="109" t="s">
        <v>109</v>
      </c>
      <c r="G176" s="109" t="s">
        <v>623</v>
      </c>
    </row>
    <row r="177" spans="1:15" ht="24" customHeight="1" outlineLevel="1" x14ac:dyDescent="0.2">
      <c r="A177" s="116">
        <v>45715</v>
      </c>
      <c r="B177" s="116" t="s">
        <v>626</v>
      </c>
      <c r="C177" s="119" t="s">
        <v>94</v>
      </c>
      <c r="D177" s="116" t="s">
        <v>627</v>
      </c>
      <c r="E177" s="109"/>
      <c r="F177" s="109" t="s">
        <v>109</v>
      </c>
      <c r="G177" s="109" t="s">
        <v>625</v>
      </c>
    </row>
    <row r="178" spans="1:15" ht="24" customHeight="1" outlineLevel="1" x14ac:dyDescent="0.2">
      <c r="A178" s="116">
        <v>45712</v>
      </c>
      <c r="B178" s="116" t="s">
        <v>582</v>
      </c>
      <c r="C178" s="119" t="s">
        <v>94</v>
      </c>
      <c r="D178" s="210" t="s">
        <v>583</v>
      </c>
      <c r="E178" s="109"/>
      <c r="F178" s="109" t="s">
        <v>109</v>
      </c>
      <c r="G178" s="109" t="s">
        <v>584</v>
      </c>
    </row>
    <row r="179" spans="1:15" ht="24" customHeight="1" outlineLevel="1" x14ac:dyDescent="0.2">
      <c r="A179" s="116"/>
      <c r="B179" s="116"/>
      <c r="C179" s="119"/>
      <c r="D179" s="210"/>
      <c r="E179" s="109"/>
      <c r="F179" s="109"/>
      <c r="G179" s="109"/>
    </row>
    <row r="182" spans="1:15" s="104" customFormat="1" ht="15.75" x14ac:dyDescent="0.25">
      <c r="A182" s="1" t="s">
        <v>84</v>
      </c>
      <c r="B182" s="2"/>
      <c r="C182" s="2"/>
      <c r="D182" s="2"/>
      <c r="E182" s="2"/>
      <c r="F182" s="2"/>
      <c r="G182" s="2"/>
    </row>
    <row r="183" spans="1:15" ht="15" x14ac:dyDescent="0.25">
      <c r="A183" s="386" t="s">
        <v>85</v>
      </c>
      <c r="B183" s="386"/>
      <c r="C183" s="386"/>
      <c r="D183" s="386"/>
    </row>
    <row r="184" spans="1:15" s="17" customFormat="1" ht="25.5" outlineLevel="1" x14ac:dyDescent="0.2">
      <c r="A184" s="120" t="s">
        <v>81</v>
      </c>
      <c r="B184" s="120" t="s">
        <v>86</v>
      </c>
      <c r="C184" s="120" t="s">
        <v>87</v>
      </c>
      <c r="D184" s="120" t="s">
        <v>88</v>
      </c>
      <c r="E184" s="120" t="s">
        <v>89</v>
      </c>
      <c r="F184" s="120" t="s">
        <v>4</v>
      </c>
      <c r="G184" s="120" t="s">
        <v>90</v>
      </c>
    </row>
    <row r="185" spans="1:15" ht="60" customHeight="1" outlineLevel="1" x14ac:dyDescent="0.2">
      <c r="A185" s="94"/>
      <c r="B185" s="94" t="s">
        <v>179</v>
      </c>
      <c r="C185" s="238" t="s">
        <v>160</v>
      </c>
      <c r="D185" s="72" t="s">
        <v>263</v>
      </c>
      <c r="E185" s="132" t="s">
        <v>266</v>
      </c>
      <c r="F185" s="74" t="s">
        <v>94</v>
      </c>
      <c r="G185" s="72">
        <f>19000*0.8</f>
        <v>15200</v>
      </c>
    </row>
    <row r="186" spans="1:15" ht="60" customHeight="1" outlineLevel="1" x14ac:dyDescent="0.2">
      <c r="A186" s="130"/>
      <c r="B186" s="148" t="s">
        <v>99</v>
      </c>
      <c r="C186" s="238" t="s">
        <v>160</v>
      </c>
      <c r="D186" s="211" t="s">
        <v>262</v>
      </c>
      <c r="E186" s="121" t="s">
        <v>395</v>
      </c>
      <c r="F186" s="74" t="s">
        <v>94</v>
      </c>
      <c r="G186" s="72">
        <f>13000*0.7</f>
        <v>9100</v>
      </c>
    </row>
    <row r="187" spans="1:15" ht="60" customHeight="1" outlineLevel="1" x14ac:dyDescent="0.2">
      <c r="A187" s="94"/>
      <c r="B187" s="94" t="s">
        <v>397</v>
      </c>
      <c r="C187" s="238" t="s">
        <v>160</v>
      </c>
      <c r="D187" s="94" t="s">
        <v>398</v>
      </c>
      <c r="E187" s="132" t="s">
        <v>396</v>
      </c>
      <c r="F187" s="74" t="s">
        <v>94</v>
      </c>
      <c r="G187" s="9">
        <f>13200*0.7</f>
        <v>9240</v>
      </c>
    </row>
    <row r="188" spans="1:15" ht="63" customHeight="1" outlineLevel="1" x14ac:dyDescent="0.2">
      <c r="A188" s="201"/>
      <c r="B188" s="148" t="s">
        <v>581</v>
      </c>
      <c r="C188" s="238" t="s">
        <v>160</v>
      </c>
      <c r="D188" s="94" t="s">
        <v>640</v>
      </c>
      <c r="E188" s="132" t="s">
        <v>641</v>
      </c>
      <c r="F188" s="74" t="s">
        <v>94</v>
      </c>
      <c r="G188" s="202">
        <v>1000</v>
      </c>
    </row>
    <row r="189" spans="1:15" x14ac:dyDescent="0.2">
      <c r="B189" s="122"/>
      <c r="C189" s="123"/>
      <c r="F189" s="122"/>
    </row>
    <row r="190" spans="1:15" x14ac:dyDescent="0.2">
      <c r="A190" s="122"/>
      <c r="B190" s="122"/>
      <c r="C190" s="123"/>
      <c r="F190" s="122"/>
    </row>
    <row r="191" spans="1:15" ht="15" x14ac:dyDescent="0.25">
      <c r="A191" s="386" t="s">
        <v>92</v>
      </c>
      <c r="B191" s="386"/>
      <c r="C191" s="386"/>
      <c r="D191" s="386"/>
    </row>
    <row r="192" spans="1:15" s="124" customFormat="1" ht="12.75" hidden="1" customHeight="1" outlineLevel="1" x14ac:dyDescent="0.2">
      <c r="A192" s="120" t="s">
        <v>81</v>
      </c>
      <c r="B192" s="120" t="s">
        <v>86</v>
      </c>
      <c r="C192" s="120" t="s">
        <v>87</v>
      </c>
      <c r="D192" s="120" t="s">
        <v>88</v>
      </c>
      <c r="E192" s="120" t="s">
        <v>89</v>
      </c>
      <c r="F192" s="120" t="s">
        <v>4</v>
      </c>
      <c r="G192" s="120" t="s">
        <v>90</v>
      </c>
      <c r="H192" s="2"/>
      <c r="I192" s="2"/>
      <c r="J192" s="2"/>
      <c r="K192" s="2"/>
      <c r="L192" s="2"/>
      <c r="M192" s="2"/>
      <c r="N192" s="2"/>
      <c r="O192" s="2"/>
    </row>
    <row r="193" spans="1:7" ht="60" hidden="1" customHeight="1" outlineLevel="1" x14ac:dyDescent="0.25">
      <c r="A193" s="94"/>
      <c r="B193" s="94"/>
      <c r="C193" s="125"/>
      <c r="D193"/>
      <c r="E193" s="121"/>
      <c r="F193" s="74" t="s">
        <v>94</v>
      </c>
      <c r="G193" s="9"/>
    </row>
    <row r="194" spans="1:7" ht="60" hidden="1" customHeight="1" outlineLevel="1" x14ac:dyDescent="0.25">
      <c r="A194" s="94"/>
      <c r="B194" s="94"/>
      <c r="C194" s="125"/>
      <c r="D194"/>
      <c r="E194" s="121"/>
      <c r="F194" s="74" t="s">
        <v>94</v>
      </c>
      <c r="G194" s="126"/>
    </row>
    <row r="195" spans="1:7" collapsed="1" x14ac:dyDescent="0.2"/>
  </sheetData>
  <mergeCells count="14">
    <mergeCell ref="A44:D44"/>
    <mergeCell ref="A5:D5"/>
    <mergeCell ref="A10:D10"/>
    <mergeCell ref="A15:D15"/>
    <mergeCell ref="A20:D20"/>
    <mergeCell ref="A38:D38"/>
    <mergeCell ref="A183:D183"/>
    <mergeCell ref="A191:D191"/>
    <mergeCell ref="A54:D54"/>
    <mergeCell ref="A60:D60"/>
    <mergeCell ref="A69:D69"/>
    <mergeCell ref="A77:D77"/>
    <mergeCell ref="A88:D88"/>
    <mergeCell ref="A93:D93"/>
  </mergeCells>
  <conditionalFormatting sqref="G194 G187">
    <cfRule type="cellIs" dxfId="606" priority="21" operator="equal">
      <formula>"ДА"</formula>
    </cfRule>
    <cfRule type="cellIs" dxfId="605" priority="22" operator="equal">
      <formula>"НЕТ"</formula>
    </cfRule>
    <cfRule type="cellIs" dxfId="604" priority="23" operator="equal">
      <formula>"Нет"</formula>
    </cfRule>
    <cfRule type="cellIs" dxfId="603" priority="24" operator="equal">
      <formula>"нет"</formula>
    </cfRule>
    <cfRule type="cellIs" dxfId="602" priority="25" operator="equal">
      <formula>"ДА"</formula>
    </cfRule>
    <cfRule type="containsText" dxfId="601" priority="26" operator="containsText" text="Да">
      <formula>NOT(ISERROR(SEARCH("Да",G187)))</formula>
    </cfRule>
  </conditionalFormatting>
  <conditionalFormatting sqref="E7 E12">
    <cfRule type="cellIs" dxfId="600" priority="33" operator="lessThan">
      <formula>0</formula>
    </cfRule>
    <cfRule type="cellIs" dxfId="599" priority="34" operator="greaterThan">
      <formula>0</formula>
    </cfRule>
  </conditionalFormatting>
  <conditionalFormatting sqref="D7 D12 E17">
    <cfRule type="cellIs" dxfId="598" priority="31" operator="lessThan">
      <formula>0</formula>
    </cfRule>
    <cfRule type="cellIs" dxfId="597" priority="32" operator="greaterThan">
      <formula>0</formula>
    </cfRule>
  </conditionalFormatting>
  <conditionalFormatting sqref="H62">
    <cfRule type="cellIs" dxfId="596" priority="29" operator="lessThan">
      <formula>1</formula>
    </cfRule>
    <cfRule type="cellIs" dxfId="595" priority="30" operator="greaterThan">
      <formula>1</formula>
    </cfRule>
  </conditionalFormatting>
  <conditionalFormatting sqref="H65">
    <cfRule type="cellIs" dxfId="594" priority="27" operator="lessThan">
      <formula>1</formula>
    </cfRule>
    <cfRule type="cellIs" dxfId="593" priority="28" operator="greaterThan">
      <formula>1</formula>
    </cfRule>
  </conditionalFormatting>
  <conditionalFormatting sqref="G193">
    <cfRule type="cellIs" dxfId="592" priority="15" operator="equal">
      <formula>"ДА"</formula>
    </cfRule>
    <cfRule type="cellIs" dxfId="591" priority="16" operator="equal">
      <formula>"НЕТ"</formula>
    </cfRule>
    <cfRule type="cellIs" dxfId="590" priority="17" operator="equal">
      <formula>"Нет"</formula>
    </cfRule>
    <cfRule type="cellIs" dxfId="589" priority="18" operator="equal">
      <formula>"нет"</formula>
    </cfRule>
    <cfRule type="cellIs" dxfId="588" priority="19" operator="equal">
      <formula>"ДА"</formula>
    </cfRule>
    <cfRule type="containsText" dxfId="587" priority="20" operator="containsText" text="Да">
      <formula>NOT(ISERROR(SEARCH("Да",G193)))</formula>
    </cfRule>
  </conditionalFormatting>
  <conditionalFormatting sqref="G185:G187">
    <cfRule type="cellIs" dxfId="586" priority="9" operator="equal">
      <formula>"ДА"</formula>
    </cfRule>
    <cfRule type="cellIs" dxfId="585" priority="10" operator="equal">
      <formula>"НЕТ"</formula>
    </cfRule>
    <cfRule type="cellIs" dxfId="584" priority="11" operator="equal">
      <formula>"Нет"</formula>
    </cfRule>
    <cfRule type="cellIs" dxfId="583" priority="12" operator="equal">
      <formula>"нет"</formula>
    </cfRule>
    <cfRule type="cellIs" dxfId="582" priority="13" operator="equal">
      <formula>"ДА"</formula>
    </cfRule>
    <cfRule type="containsText" dxfId="581" priority="14" operator="containsText" text="Да">
      <formula>NOT(ISERROR(SEARCH("Да",G185)))</formula>
    </cfRule>
  </conditionalFormatting>
  <conditionalFormatting sqref="B103:B160 B162:B177 B179">
    <cfRule type="duplicateValues" dxfId="580" priority="52"/>
  </conditionalFormatting>
  <conditionalFormatting sqref="B178">
    <cfRule type="duplicateValues" dxfId="579" priority="7"/>
  </conditionalFormatting>
  <conditionalFormatting sqref="C185:C188">
    <cfRule type="cellIs" dxfId="578" priority="1" operator="equal">
      <formula>"ДА"</formula>
    </cfRule>
    <cfRule type="cellIs" dxfId="577" priority="2" operator="equal">
      <formula>"НЕТ"</formula>
    </cfRule>
    <cfRule type="cellIs" dxfId="576" priority="3" operator="equal">
      <formula>"Нет"</formula>
    </cfRule>
    <cfRule type="cellIs" dxfId="575" priority="4" operator="equal">
      <formula>"нет"</formula>
    </cfRule>
    <cfRule type="cellIs" dxfId="574" priority="5" operator="equal">
      <formula>"ДА"</formula>
    </cfRule>
    <cfRule type="containsText" dxfId="573" priority="6" operator="containsText" text="Да">
      <formula>NOT(ISERROR(SEARCH("Да",C185)))</formula>
    </cfRule>
  </conditionalFormatting>
  <pageMargins left="0.7" right="0.7" top="0.75" bottom="0.75" header="0.3" footer="0.3"/>
  <pageSetup paperSize="9" orientation="portrait" r:id="rId1"/>
  <legacy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C6D0A-23B9-4A5D-B66D-A21CA3F608A9}">
  <dimension ref="A1:O171"/>
  <sheetViews>
    <sheetView topLeftCell="A13" zoomScale="85" zoomScaleNormal="85" workbookViewId="0">
      <selection activeCell="D17" sqref="D17"/>
    </sheetView>
  </sheetViews>
  <sheetFormatPr defaultColWidth="9.140625" defaultRowHeight="12.75" outlineLevelRow="1" x14ac:dyDescent="0.2"/>
  <cols>
    <col min="1" max="1" width="30.28515625" style="2" customWidth="1"/>
    <col min="2" max="2" width="31.7109375" style="2" customWidth="1"/>
    <col min="3" max="3" width="31.5703125" style="2" bestFit="1" customWidth="1"/>
    <col min="4" max="4" width="38.140625" style="2" customWidth="1"/>
    <col min="5" max="5" width="34.85546875" style="2" customWidth="1"/>
    <col min="6" max="6" width="27.140625" style="2" customWidth="1"/>
    <col min="7" max="7" width="27.42578125" style="2" customWidth="1"/>
    <col min="8" max="8" width="36" style="2" customWidth="1"/>
    <col min="9" max="16384" width="9.140625" style="2"/>
  </cols>
  <sheetData>
    <row r="1" spans="1:7" ht="24.75" customHeight="1" x14ac:dyDescent="0.25">
      <c r="A1" s="134" t="s">
        <v>94</v>
      </c>
    </row>
    <row r="2" spans="1:7" ht="15.75" x14ac:dyDescent="0.25">
      <c r="A2" s="134" t="s">
        <v>662</v>
      </c>
    </row>
    <row r="3" spans="1:7" x14ac:dyDescent="0.2">
      <c r="A3" s="3"/>
    </row>
    <row r="4" spans="1:7" ht="15.75" x14ac:dyDescent="0.25">
      <c r="A4" s="1" t="s">
        <v>0</v>
      </c>
      <c r="B4" s="2" t="s">
        <v>1</v>
      </c>
      <c r="C4" s="2" t="s">
        <v>2</v>
      </c>
    </row>
    <row r="5" spans="1:7" ht="15" x14ac:dyDescent="0.25">
      <c r="A5" s="386" t="s">
        <v>3</v>
      </c>
      <c r="B5" s="386"/>
      <c r="C5" s="386"/>
      <c r="D5" s="386"/>
      <c r="F5" s="4"/>
    </row>
    <row r="6" spans="1:7" s="6" customFormat="1" outlineLevel="1" x14ac:dyDescent="0.2">
      <c r="A6" s="5" t="s">
        <v>4</v>
      </c>
      <c r="B6" s="5" t="s">
        <v>5</v>
      </c>
      <c r="C6" s="5" t="s">
        <v>6</v>
      </c>
      <c r="D6" s="5" t="s">
        <v>7</v>
      </c>
      <c r="E6" s="5" t="s">
        <v>8</v>
      </c>
      <c r="F6" s="5" t="s">
        <v>10</v>
      </c>
      <c r="G6" s="186"/>
    </row>
    <row r="7" spans="1:7" outlineLevel="1" x14ac:dyDescent="0.2">
      <c r="A7" s="7" t="s">
        <v>94</v>
      </c>
      <c r="B7" s="8">
        <f>C33</f>
        <v>50000</v>
      </c>
      <c r="C7" s="9">
        <f>B33</f>
        <v>112351.49</v>
      </c>
      <c r="D7" s="10">
        <f>Таблица1102916303744515865722330374451586572798693100922354862769010410712713915116318315294763799511112714315917518345066829811413014654556157758960561963565166768370071716324762[Факт, руб.]/Таблица1102916303744515865722330374451586572798693100922354862769010410712713915116318315294763799511112714315917518345066829811413014654556157758960561963565166768370071716324762[План, руб.]-100%</f>
        <v>1.2470298</v>
      </c>
      <c r="E7" s="11">
        <f>Таблица1102916303744515865722330374451586572798693100922354862769010410712713915116318315294763799511112714315917518345066829811413014654556157758960561963565166768370071716324762[Факт, руб.]-Таблица1102916303744515865722330374451586572798693100922354862769010410712713915116318315294763799511112714315917518345066829811413014654556157758960561963565166768370071716324762[План, руб.]</f>
        <v>62351.490000000005</v>
      </c>
      <c r="F7" s="9">
        <f>B32</f>
        <v>27427.29</v>
      </c>
      <c r="G7" s="185"/>
    </row>
    <row r="8" spans="1:7" x14ac:dyDescent="0.2">
      <c r="A8" s="12"/>
      <c r="B8" s="13"/>
      <c r="C8" s="13"/>
      <c r="D8" s="14"/>
      <c r="F8" s="15"/>
      <c r="G8" s="16"/>
    </row>
    <row r="9" spans="1:7" ht="15" customHeight="1" x14ac:dyDescent="0.2">
      <c r="A9" s="12"/>
      <c r="B9" s="13"/>
      <c r="C9" s="13"/>
      <c r="D9" s="14"/>
      <c r="F9" s="17"/>
    </row>
    <row r="10" spans="1:7" ht="15" x14ac:dyDescent="0.25">
      <c r="A10" s="386" t="s">
        <v>11</v>
      </c>
      <c r="B10" s="386"/>
      <c r="C10" s="386"/>
      <c r="D10" s="386"/>
      <c r="F10" s="17"/>
    </row>
    <row r="11" spans="1:7" s="6" customFormat="1" outlineLevel="1" x14ac:dyDescent="0.2">
      <c r="A11" s="18" t="s">
        <v>4</v>
      </c>
      <c r="B11" s="19" t="s">
        <v>12</v>
      </c>
      <c r="C11" s="19" t="s">
        <v>13</v>
      </c>
      <c r="D11" s="19" t="s">
        <v>7</v>
      </c>
      <c r="E11" s="19" t="s">
        <v>8</v>
      </c>
      <c r="F11" s="20"/>
    </row>
    <row r="12" spans="1:7" outlineLevel="1" x14ac:dyDescent="0.2">
      <c r="A12" s="7" t="s">
        <v>94</v>
      </c>
      <c r="B12" s="8">
        <f>SUM(C22:C33)</f>
        <v>125000</v>
      </c>
      <c r="C12" s="8">
        <f>B34</f>
        <v>178482.58000000002</v>
      </c>
      <c r="D12" s="21">
        <f>C12/B12-100%</f>
        <v>0.42786064000000024</v>
      </c>
      <c r="E12" s="8">
        <f>C12-B12</f>
        <v>53482.580000000016</v>
      </c>
      <c r="F12" s="17"/>
      <c r="G12" s="22"/>
    </row>
    <row r="13" spans="1:7" x14ac:dyDescent="0.2">
      <c r="A13" s="12"/>
      <c r="B13" s="13"/>
      <c r="C13" s="13"/>
      <c r="D13" s="14"/>
      <c r="F13" s="17"/>
    </row>
    <row r="14" spans="1:7" x14ac:dyDescent="0.2">
      <c r="A14" s="13"/>
      <c r="B14" s="13"/>
      <c r="C14" s="13"/>
      <c r="D14" s="14"/>
      <c r="F14" s="17"/>
      <c r="G14" s="22"/>
    </row>
    <row r="15" spans="1:7" ht="15" x14ac:dyDescent="0.25">
      <c r="A15" s="386" t="s">
        <v>14</v>
      </c>
      <c r="B15" s="386"/>
      <c r="C15" s="386"/>
      <c r="D15" s="386"/>
      <c r="F15" s="17"/>
    </row>
    <row r="16" spans="1:7" s="6" customFormat="1" outlineLevel="1" x14ac:dyDescent="0.2">
      <c r="A16" s="5" t="s">
        <v>4</v>
      </c>
      <c r="B16" s="5" t="s">
        <v>15</v>
      </c>
      <c r="C16" s="5" t="s">
        <v>16</v>
      </c>
      <c r="D16" s="5" t="s">
        <v>93</v>
      </c>
      <c r="E16" s="5" t="s">
        <v>17</v>
      </c>
      <c r="F16" s="23"/>
    </row>
    <row r="17" spans="1:5" outlineLevel="1" x14ac:dyDescent="0.2">
      <c r="A17" s="7" t="s">
        <v>94</v>
      </c>
      <c r="B17" s="8">
        <v>0</v>
      </c>
      <c r="C17" s="24">
        <v>0</v>
      </c>
      <c r="D17" s="24">
        <f>B34</f>
        <v>178482.58000000002</v>
      </c>
      <c r="E17" s="21" t="e">
        <f>Таблица21130173138455259667324313845525966738087941011023364963779110510912814015216418416324864809611212814416017619355167839911513114754656257859060662063665266868470171817334863[Профит ФГ 24-25]/Таблица21130173138455259667324313845525966738087941011023364963779110510912814015216418416324864809611212814416017619355167839911513114754656257859060662063665266868470171817334863[Профит ФГ 23-24]</f>
        <v>#DIV/0!</v>
      </c>
    </row>
    <row r="20" spans="1:5" ht="15" x14ac:dyDescent="0.25">
      <c r="A20" s="386" t="s">
        <v>18</v>
      </c>
      <c r="B20" s="386"/>
      <c r="C20" s="386"/>
      <c r="D20" s="386"/>
    </row>
    <row r="21" spans="1:5" outlineLevel="1" x14ac:dyDescent="0.2">
      <c r="A21" s="25" t="s">
        <v>19</v>
      </c>
      <c r="B21" s="26" t="s">
        <v>20</v>
      </c>
      <c r="C21" s="26" t="s">
        <v>21</v>
      </c>
      <c r="D21" s="25" t="s">
        <v>22</v>
      </c>
    </row>
    <row r="22" spans="1:5" outlineLevel="1" x14ac:dyDescent="0.2">
      <c r="A22" s="27" t="s">
        <v>23</v>
      </c>
      <c r="B22" s="28">
        <v>0</v>
      </c>
      <c r="C22" s="31">
        <v>0</v>
      </c>
      <c r="D22" s="29">
        <v>0</v>
      </c>
    </row>
    <row r="23" spans="1:5" outlineLevel="1" x14ac:dyDescent="0.2">
      <c r="A23" s="30" t="s">
        <v>25</v>
      </c>
      <c r="B23" s="31">
        <v>0</v>
      </c>
      <c r="C23" s="31">
        <v>0</v>
      </c>
      <c r="D23" s="32">
        <v>0</v>
      </c>
    </row>
    <row r="24" spans="1:5" outlineLevel="1" x14ac:dyDescent="0.2">
      <c r="A24" s="27" t="s">
        <v>26</v>
      </c>
      <c r="B24" s="31">
        <v>0</v>
      </c>
      <c r="C24" s="31">
        <v>0</v>
      </c>
      <c r="D24" s="29">
        <v>0</v>
      </c>
    </row>
    <row r="25" spans="1:5" outlineLevel="1" x14ac:dyDescent="0.2">
      <c r="A25" s="30" t="s">
        <v>27</v>
      </c>
      <c r="B25" s="31">
        <v>0</v>
      </c>
      <c r="C25" s="31">
        <v>0</v>
      </c>
      <c r="D25" s="32">
        <v>0</v>
      </c>
    </row>
    <row r="26" spans="1:5" outlineLevel="1" x14ac:dyDescent="0.2">
      <c r="A26" s="27" t="s">
        <v>28</v>
      </c>
      <c r="B26" s="31">
        <v>0</v>
      </c>
      <c r="C26" s="31">
        <v>0</v>
      </c>
      <c r="D26" s="29">
        <v>0</v>
      </c>
    </row>
    <row r="27" spans="1:5" outlineLevel="1" x14ac:dyDescent="0.2">
      <c r="A27" s="30" t="s">
        <v>29</v>
      </c>
      <c r="B27" s="31">
        <v>0</v>
      </c>
      <c r="C27" s="31">
        <v>0</v>
      </c>
      <c r="D27" s="32">
        <v>0</v>
      </c>
    </row>
    <row r="28" spans="1:5" outlineLevel="1" x14ac:dyDescent="0.2">
      <c r="A28" s="27" t="s">
        <v>30</v>
      </c>
      <c r="B28" s="31">
        <v>0</v>
      </c>
      <c r="C28" s="31">
        <v>0</v>
      </c>
      <c r="D28" s="29">
        <v>0</v>
      </c>
    </row>
    <row r="29" spans="1:5" outlineLevel="1" x14ac:dyDescent="0.2">
      <c r="A29" s="30" t="s">
        <v>31</v>
      </c>
      <c r="B29" s="135">
        <v>18158.8</v>
      </c>
      <c r="C29" s="31">
        <v>10000</v>
      </c>
      <c r="D29" s="32">
        <f>B29/C29</f>
        <v>1.8158799999999999</v>
      </c>
    </row>
    <row r="30" spans="1:5" outlineLevel="1" x14ac:dyDescent="0.2">
      <c r="A30" s="27" t="s">
        <v>32</v>
      </c>
      <c r="B30" s="31">
        <v>13165</v>
      </c>
      <c r="C30" s="31">
        <v>20000</v>
      </c>
      <c r="D30" s="32">
        <f>B30/C30</f>
        <v>0.65825</v>
      </c>
    </row>
    <row r="31" spans="1:5" outlineLevel="1" x14ac:dyDescent="0.2">
      <c r="A31" s="30" t="s">
        <v>33</v>
      </c>
      <c r="B31" s="31">
        <v>7380</v>
      </c>
      <c r="C31" s="31">
        <v>15000</v>
      </c>
      <c r="D31" s="32">
        <f>B31/C31</f>
        <v>0.49199999999999999</v>
      </c>
    </row>
    <row r="32" spans="1:5" outlineLevel="1" x14ac:dyDescent="0.2">
      <c r="A32" s="27" t="s">
        <v>34</v>
      </c>
      <c r="B32" s="28">
        <v>27427.29</v>
      </c>
      <c r="C32" s="28">
        <v>30000</v>
      </c>
      <c r="D32" s="32">
        <f t="shared" ref="D32:D33" si="0">B32/C32</f>
        <v>0.91424300000000003</v>
      </c>
    </row>
    <row r="33" spans="1:8" outlineLevel="1" x14ac:dyDescent="0.2">
      <c r="A33" s="33" t="s">
        <v>35</v>
      </c>
      <c r="B33" s="34">
        <v>112351.49</v>
      </c>
      <c r="C33" s="34">
        <v>50000</v>
      </c>
      <c r="D33" s="32">
        <f t="shared" si="0"/>
        <v>2.2470298</v>
      </c>
      <c r="H33" s="35"/>
    </row>
    <row r="34" spans="1:8" ht="15" outlineLevel="1" x14ac:dyDescent="0.25">
      <c r="A34" s="36" t="s">
        <v>36</v>
      </c>
      <c r="B34" s="37">
        <f>SUM(B22:B33)</f>
        <v>178482.58000000002</v>
      </c>
      <c r="C34" s="38">
        <f>SUM(C22:C33)</f>
        <v>125000</v>
      </c>
      <c r="D34" s="39"/>
    </row>
    <row r="35" spans="1:8" outlineLevel="1" x14ac:dyDescent="0.2">
      <c r="A35" s="41" t="s">
        <v>37</v>
      </c>
      <c r="B35" s="42">
        <f>AVERAGE(B29:B33)</f>
        <v>35696.516000000003</v>
      </c>
      <c r="C35" s="42">
        <f>AVERAGE(C29:C33)</f>
        <v>25000</v>
      </c>
      <c r="D35" s="43">
        <f>B35/C35</f>
        <v>1.4278606400000002</v>
      </c>
    </row>
    <row r="38" spans="1:8" ht="15" x14ac:dyDescent="0.25">
      <c r="A38" s="386" t="s">
        <v>38</v>
      </c>
      <c r="B38" s="386"/>
      <c r="C38" s="386"/>
      <c r="D38" s="386"/>
    </row>
    <row r="39" spans="1:8" s="45" customFormat="1" outlineLevel="1" x14ac:dyDescent="0.2">
      <c r="A39" s="44" t="s">
        <v>39</v>
      </c>
      <c r="B39" s="44" t="s">
        <v>40</v>
      </c>
      <c r="C39" s="44" t="s">
        <v>41</v>
      </c>
      <c r="D39" s="44" t="s">
        <v>42</v>
      </c>
      <c r="E39" s="44" t="s">
        <v>43</v>
      </c>
      <c r="F39" s="2"/>
    </row>
    <row r="40" spans="1:8" outlineLevel="1" x14ac:dyDescent="0.2">
      <c r="A40" s="8">
        <f>Таблица1102916303744515865722330374451586572798693100922354862769010410712713915116318315294763799511112714315917518345066829811413014654556157758960561963565166768370071716324762[Факт, руб.]</f>
        <v>112351.49</v>
      </c>
      <c r="B40" s="46">
        <f>50000</f>
        <v>50000</v>
      </c>
      <c r="C40" s="136">
        <f>A40*0.06</f>
        <v>6741.0893999999998</v>
      </c>
      <c r="D40" s="47">
        <f>SUM(G161:G165)</f>
        <v>30890</v>
      </c>
      <c r="E40" s="48">
        <v>0</v>
      </c>
    </row>
    <row r="41" spans="1:8" outlineLevel="1" x14ac:dyDescent="0.2">
      <c r="A41" s="49" t="s">
        <v>44</v>
      </c>
      <c r="B41" s="137">
        <f>Таблица2944597591107123139155171187304662789411012614215855657258860261663064666267869471172828435873[Оклад]+Таблица2944597591107123139155171187304662789411012614215855657258860261663064666267869471172828435873[Премия]+Таблица2944597591107123139155171187304662789411012614215855657258860261663064666267869471172828435873[Штрафы]+Таблица2944597591107123139155171187304662789411012614215855657258860261663064666267869471172828435873[Доплата за Задачи]</f>
        <v>87631.089399999997</v>
      </c>
      <c r="C41" s="50"/>
    </row>
    <row r="42" spans="1:8" x14ac:dyDescent="0.2">
      <c r="A42" s="40"/>
      <c r="B42" s="40"/>
    </row>
    <row r="43" spans="1:8" x14ac:dyDescent="0.2">
      <c r="A43" s="51"/>
      <c r="B43" s="51"/>
      <c r="C43" s="51"/>
      <c r="D43" s="52"/>
      <c r="E43" s="53"/>
      <c r="F43" s="53"/>
      <c r="H43" s="22"/>
    </row>
    <row r="44" spans="1:8" ht="15" x14ac:dyDescent="0.25">
      <c r="A44" s="386" t="s">
        <v>45</v>
      </c>
      <c r="B44" s="386"/>
      <c r="C44" s="386"/>
      <c r="D44" s="386"/>
      <c r="E44" s="53"/>
      <c r="F44" s="53"/>
      <c r="H44" s="22"/>
    </row>
    <row r="45" spans="1:8" outlineLevel="1" x14ac:dyDescent="0.2">
      <c r="A45" s="5" t="s">
        <v>46</v>
      </c>
      <c r="B45" s="5" t="s">
        <v>47</v>
      </c>
      <c r="C45" s="5" t="s">
        <v>48</v>
      </c>
      <c r="D45" s="54" t="s">
        <v>49</v>
      </c>
      <c r="G45" s="40"/>
    </row>
    <row r="46" spans="1:8" ht="24.95" customHeight="1" outlineLevel="1" x14ac:dyDescent="0.2">
      <c r="A46" s="55" t="s">
        <v>852</v>
      </c>
      <c r="B46" s="56">
        <v>36969.440000000002</v>
      </c>
      <c r="C46" s="56">
        <v>36969.440000000002</v>
      </c>
      <c r="D46" s="57">
        <f>Таблица54624331832394653606774253239465360677481889510211243750647892106110129141153165185173349658197113129145161177203652688410011613214854756357959360762163765366968570271919344964[[#This Row],[Сумма просроченного долга]]/Таблица54624331832394653606774253239465360677481889510211243750647892106110129141153165185173349658197113129145161177203652688410011613214854756357959360762163765366968570271919344964[[#This Row],[Общая сумма долга]]</f>
        <v>1</v>
      </c>
      <c r="G46" s="40"/>
    </row>
    <row r="47" spans="1:8" ht="24.95" customHeight="1" outlineLevel="1" x14ac:dyDescent="0.2">
      <c r="A47" s="55" t="s">
        <v>24</v>
      </c>
      <c r="B47" s="58"/>
      <c r="C47" s="58"/>
      <c r="D47" s="57">
        <v>0</v>
      </c>
      <c r="G47" s="40"/>
    </row>
    <row r="48" spans="1:8" ht="24.95" customHeight="1" outlineLevel="1" x14ac:dyDescent="0.2">
      <c r="A48" s="59" t="s">
        <v>24</v>
      </c>
      <c r="B48" s="58"/>
      <c r="C48" s="58"/>
      <c r="D48" s="57">
        <v>0</v>
      </c>
      <c r="G48" s="40"/>
    </row>
    <row r="49" spans="1:8" ht="24.95" customHeight="1" outlineLevel="1" x14ac:dyDescent="0.2">
      <c r="A49" s="55" t="s">
        <v>24</v>
      </c>
      <c r="B49" s="60"/>
      <c r="C49" s="60"/>
      <c r="D49" s="61">
        <v>0</v>
      </c>
      <c r="G49" s="62"/>
      <c r="H49" s="6"/>
    </row>
    <row r="50" spans="1:8" outlineLevel="1" x14ac:dyDescent="0.2">
      <c r="A50" s="63"/>
      <c r="B50" s="64" t="s">
        <v>50</v>
      </c>
      <c r="C50" s="65">
        <f>SUM(Таблица54624331832394653606774253239465360677481889510211243750647892106110129141153165185173349658197113129145161177203652688410011613214854756357959360762163765366968570271919344964[Общая сумма долга])</f>
        <v>36969.440000000002</v>
      </c>
      <c r="D50" s="66">
        <v>7.2099999999999997E-2</v>
      </c>
      <c r="E50" s="67" t="s">
        <v>51</v>
      </c>
      <c r="F50" s="51"/>
      <c r="G50" s="51"/>
      <c r="H50" s="51"/>
    </row>
    <row r="51" spans="1:8" outlineLevel="1" x14ac:dyDescent="0.2">
      <c r="A51" s="63"/>
      <c r="B51" s="64"/>
      <c r="C51" s="65"/>
      <c r="D51" s="51"/>
      <c r="E51" s="51"/>
      <c r="F51" s="51"/>
      <c r="G51" s="51"/>
      <c r="H51" s="51"/>
    </row>
    <row r="52" spans="1:8" x14ac:dyDescent="0.2">
      <c r="A52" s="63"/>
      <c r="B52" s="51"/>
      <c r="C52" s="51"/>
      <c r="D52" s="52"/>
      <c r="E52" s="51"/>
      <c r="F52" s="53"/>
      <c r="G52" s="51"/>
      <c r="H52" s="68"/>
    </row>
    <row r="53" spans="1:8" x14ac:dyDescent="0.2">
      <c r="A53" s="63"/>
      <c r="B53" s="51"/>
      <c r="C53" s="51"/>
      <c r="D53" s="52"/>
      <c r="E53" s="51"/>
      <c r="F53" s="53"/>
      <c r="G53" s="51"/>
      <c r="H53" s="68"/>
    </row>
    <row r="54" spans="1:8" ht="15" x14ac:dyDescent="0.25">
      <c r="A54" s="386" t="s">
        <v>52</v>
      </c>
      <c r="B54" s="386"/>
      <c r="C54" s="386"/>
      <c r="D54" s="386"/>
      <c r="E54" s="53"/>
      <c r="F54" s="53"/>
      <c r="G54" s="51"/>
    </row>
    <row r="55" spans="1:8" s="6" customFormat="1" outlineLevel="1" x14ac:dyDescent="0.2">
      <c r="A55" s="18" t="s">
        <v>53</v>
      </c>
      <c r="B55" s="19" t="s">
        <v>54</v>
      </c>
      <c r="C55" s="19" t="s">
        <v>55</v>
      </c>
      <c r="D55" s="69" t="s">
        <v>56</v>
      </c>
      <c r="E55" s="69" t="s">
        <v>4</v>
      </c>
      <c r="F55" s="70" t="s">
        <v>57</v>
      </c>
    </row>
    <row r="56" spans="1:8" ht="24.95" customHeight="1" outlineLevel="1" x14ac:dyDescent="0.2">
      <c r="A56" s="93" t="s">
        <v>815</v>
      </c>
      <c r="B56" s="72">
        <v>791853.76</v>
      </c>
      <c r="C56" s="72">
        <v>71158.55</v>
      </c>
      <c r="D56" s="73">
        <v>9.9000000000000005E-2</v>
      </c>
      <c r="E56" s="93" t="s">
        <v>94</v>
      </c>
      <c r="F56" s="93" t="s">
        <v>816</v>
      </c>
    </row>
    <row r="57" spans="1:8" ht="24.95" customHeight="1" outlineLevel="1" x14ac:dyDescent="0.2">
      <c r="A57" s="93" t="s">
        <v>564</v>
      </c>
      <c r="B57" s="72">
        <v>130905</v>
      </c>
      <c r="C57" s="72">
        <v>35372.65</v>
      </c>
      <c r="D57" s="73">
        <v>0.37</v>
      </c>
      <c r="E57" s="93" t="s">
        <v>94</v>
      </c>
      <c r="F57" s="93" t="s">
        <v>817</v>
      </c>
    </row>
    <row r="58" spans="1:8" ht="24.95" customHeight="1" outlineLevel="1" x14ac:dyDescent="0.2">
      <c r="A58" s="55" t="s">
        <v>24</v>
      </c>
      <c r="B58" s="216"/>
      <c r="C58" s="216"/>
      <c r="D58" s="217"/>
      <c r="E58" s="215"/>
      <c r="F58" s="214"/>
    </row>
    <row r="59" spans="1:8" outlineLevel="1" x14ac:dyDescent="0.2">
      <c r="A59" s="76"/>
      <c r="B59" s="77">
        <f>SUM(Таблица1633465973871011151221341461581701902238547086102118134150166182254157738910512113715355156758359761162564165767368970672323385368[Оборот])</f>
        <v>922758.76</v>
      </c>
      <c r="C59" s="77">
        <f>SUM(C57:C58)</f>
        <v>35372.65</v>
      </c>
      <c r="D59" s="78">
        <f>Таблица1633465973871011151221341461581701902238547086102118134150166182254157738910512113715355156758359761162564165767368970672323385368[[#Totals],[Профит ]]/Таблица1633465973871011151221341461581701902238547086102118134150166182254157738910512113715355156758359761162564165767368970672323385368[[#Totals],[Оборот]]</f>
        <v>3.8333583525124164E-2</v>
      </c>
      <c r="E59" s="77"/>
      <c r="F59" s="7"/>
      <c r="G59" s="51"/>
    </row>
    <row r="60" spans="1:8" x14ac:dyDescent="0.2">
      <c r="A60" s="51"/>
      <c r="B60" s="51"/>
      <c r="C60" s="51"/>
      <c r="D60" s="52"/>
      <c r="E60" s="51"/>
      <c r="F60" s="53"/>
      <c r="G60" s="51"/>
    </row>
    <row r="61" spans="1:8" ht="15" x14ac:dyDescent="0.25">
      <c r="A61" s="386" t="s">
        <v>58</v>
      </c>
      <c r="B61" s="386"/>
      <c r="C61" s="386"/>
      <c r="D61" s="386"/>
      <c r="E61" s="79"/>
      <c r="F61" s="79"/>
    </row>
    <row r="62" spans="1:8" ht="15" customHeight="1" outlineLevel="1" x14ac:dyDescent="0.2">
      <c r="A62" s="80">
        <v>45748</v>
      </c>
      <c r="B62" s="81" t="s">
        <v>21</v>
      </c>
      <c r="C62" s="81" t="s">
        <v>59</v>
      </c>
      <c r="D62" s="81" t="s">
        <v>60</v>
      </c>
      <c r="E62" s="81" t="s">
        <v>61</v>
      </c>
      <c r="F62" s="81" t="s">
        <v>62</v>
      </c>
      <c r="G62" s="81" t="s">
        <v>63</v>
      </c>
      <c r="H62" s="81" t="s">
        <v>64</v>
      </c>
    </row>
    <row r="63" spans="1:8" outlineLevel="1" x14ac:dyDescent="0.2">
      <c r="A63" s="82"/>
      <c r="B63" s="83">
        <v>175000</v>
      </c>
      <c r="C63" s="8">
        <v>0</v>
      </c>
      <c r="D63" s="83">
        <v>179000</v>
      </c>
      <c r="E63" s="83">
        <v>23000</v>
      </c>
      <c r="F63" s="84">
        <v>0</v>
      </c>
      <c r="G63" s="84">
        <f>C63+D63+E63*0.5+F63*0.05</f>
        <v>190500</v>
      </c>
      <c r="H63" s="85">
        <f>Таблица9132738193340475461687582899682891101171241311381451521591661731801871945121926334047546168758289961031101171241311381451521591661741821902052131241361481601721922440627894110126142158174190334965819711312914516155957559160361763164766367969571774[[#This Row],[Столбец6]]/Таблица9132738193340475461687582899682891101171241311381451521591661731801871945121926334047546168758289961031101171241311381451521591661741821902052131241361481601721922440627894110126142158174190334965819711312914516155957559160361763164766367969571774[[#This Row],[Столбец1]]</f>
        <v>1.0885714285714285</v>
      </c>
    </row>
    <row r="64" spans="1:8" outlineLevel="1" x14ac:dyDescent="0.2">
      <c r="A64" s="40"/>
      <c r="B64" s="40"/>
      <c r="C64" s="40"/>
      <c r="D64" s="40"/>
      <c r="E64" s="40"/>
      <c r="F64" s="40"/>
      <c r="G64" s="40"/>
      <c r="H64" s="86"/>
    </row>
    <row r="65" spans="1:9" outlineLevel="1" x14ac:dyDescent="0.2">
      <c r="A65" s="80">
        <v>45778</v>
      </c>
      <c r="B65" s="81" t="s">
        <v>21</v>
      </c>
      <c r="C65" s="81" t="s">
        <v>59</v>
      </c>
      <c r="D65" s="81" t="s">
        <v>60</v>
      </c>
      <c r="E65" s="81" t="s">
        <v>61</v>
      </c>
      <c r="F65" s="81" t="s">
        <v>62</v>
      </c>
      <c r="G65" s="81" t="s">
        <v>63</v>
      </c>
      <c r="H65" s="81" t="s">
        <v>64</v>
      </c>
    </row>
    <row r="66" spans="1:9" ht="15" customHeight="1" outlineLevel="1" x14ac:dyDescent="0.2">
      <c r="A66" s="87"/>
      <c r="B66" s="83">
        <v>175000</v>
      </c>
      <c r="C66" s="24">
        <v>0</v>
      </c>
      <c r="D66" s="24">
        <v>0</v>
      </c>
      <c r="E66" s="83">
        <v>0</v>
      </c>
      <c r="F66" s="234">
        <v>83807.679999999993</v>
      </c>
      <c r="G66" s="83">
        <f>D66+C66+E66*0.5+F66*0.05</f>
        <v>4190.384</v>
      </c>
      <c r="H66" s="85">
        <f>Таблица9132738193340475461687582899682891101171241311381451521591661731801871945121926334047546168758289961031101171241311381451521591661741821902052131191251371491611731932541567288104120136152168184274359759110712313915555356958559961362764365967569770[[#This Row],[Столбец6]]/Таблица9132738193340475461687582899682891101171241311381451521591661731801871945121926334047546168758289961031101171241311381451521591661741821902052131191251371491611731932541567288104120136152168184274359759110712313915555356958559961362764365967569770[[#This Row],[Столбец1]]</f>
        <v>2.394505142857143E-2</v>
      </c>
    </row>
    <row r="67" spans="1:9" x14ac:dyDescent="0.2">
      <c r="A67" s="63"/>
      <c r="B67" s="51"/>
      <c r="C67" s="51"/>
      <c r="D67" s="52"/>
      <c r="E67" s="51"/>
    </row>
    <row r="68" spans="1:9" x14ac:dyDescent="0.2">
      <c r="A68" s="51"/>
      <c r="B68" s="51"/>
      <c r="C68" s="51"/>
      <c r="D68" s="52"/>
      <c r="E68" s="51"/>
    </row>
    <row r="69" spans="1:9" ht="15.75" x14ac:dyDescent="0.25">
      <c r="A69" s="88" t="s">
        <v>65</v>
      </c>
      <c r="B69" s="89"/>
    </row>
    <row r="70" spans="1:9" ht="15" x14ac:dyDescent="0.25">
      <c r="A70" s="387" t="s">
        <v>66</v>
      </c>
      <c r="B70" s="387"/>
      <c r="C70" s="387"/>
      <c r="D70" s="387"/>
      <c r="E70" s="90"/>
      <c r="F70" s="90"/>
      <c r="G70" s="235">
        <f>SUM(Таблица4211720344148556269768390978390111118125132139146153160167174181188195613202734414855626976839097104111118125132139146153160167175183198206214123135147159171191233955718710311913515116718326425874901061221381545525685845986126266426586746907077269[Сумма, тыс. руб.])*1000</f>
        <v>3440000</v>
      </c>
    </row>
    <row r="71" spans="1:9" outlineLevel="1" x14ac:dyDescent="0.2">
      <c r="A71" s="91" t="s">
        <v>67</v>
      </c>
      <c r="B71" s="91" t="s">
        <v>53</v>
      </c>
      <c r="C71" s="91" t="s">
        <v>4</v>
      </c>
      <c r="D71" s="91" t="s">
        <v>68</v>
      </c>
      <c r="E71" s="91" t="s">
        <v>69</v>
      </c>
      <c r="F71" s="91" t="s">
        <v>70</v>
      </c>
      <c r="G71" s="91" t="s">
        <v>71</v>
      </c>
      <c r="H71" s="91" t="s">
        <v>72</v>
      </c>
    </row>
    <row r="72" spans="1:9" ht="24.95" customHeight="1" outlineLevel="1" x14ac:dyDescent="0.2">
      <c r="A72" s="74" t="s">
        <v>828</v>
      </c>
      <c r="B72" s="74" t="s">
        <v>830</v>
      </c>
      <c r="C72" s="93" t="s">
        <v>94</v>
      </c>
      <c r="D72" s="94" t="s">
        <v>572</v>
      </c>
      <c r="E72" s="74" t="s">
        <v>572</v>
      </c>
      <c r="F72" s="218">
        <v>45748</v>
      </c>
      <c r="G72" s="72">
        <v>2305</v>
      </c>
      <c r="H72" s="94" t="s">
        <v>280</v>
      </c>
    </row>
    <row r="73" spans="1:9" ht="24.95" customHeight="1" outlineLevel="1" x14ac:dyDescent="0.2">
      <c r="A73" s="74" t="s">
        <v>827</v>
      </c>
      <c r="B73" s="74" t="s">
        <v>832</v>
      </c>
      <c r="C73" s="93" t="s">
        <v>94</v>
      </c>
      <c r="D73" s="94" t="s">
        <v>73</v>
      </c>
      <c r="E73" s="94" t="s">
        <v>833</v>
      </c>
      <c r="F73" s="218">
        <v>45748</v>
      </c>
      <c r="G73" s="72">
        <v>384</v>
      </c>
      <c r="H73" s="173" t="s">
        <v>168</v>
      </c>
    </row>
    <row r="74" spans="1:9" ht="24.95" customHeight="1" outlineLevel="1" x14ac:dyDescent="0.2">
      <c r="A74" s="190" t="s">
        <v>822</v>
      </c>
      <c r="B74" s="220" t="s">
        <v>821</v>
      </c>
      <c r="C74" s="93" t="s">
        <v>94</v>
      </c>
      <c r="D74" s="93" t="s">
        <v>573</v>
      </c>
      <c r="E74" s="221" t="s">
        <v>574</v>
      </c>
      <c r="F74" s="222">
        <v>45748</v>
      </c>
      <c r="G74" s="72">
        <v>351</v>
      </c>
      <c r="H74" s="94" t="s">
        <v>168</v>
      </c>
      <c r="I74" s="236"/>
    </row>
    <row r="75" spans="1:9" ht="24.95" customHeight="1" outlineLevel="1" x14ac:dyDescent="0.2">
      <c r="A75" s="190" t="s">
        <v>825</v>
      </c>
      <c r="B75" s="220" t="s">
        <v>831</v>
      </c>
      <c r="C75" s="93" t="s">
        <v>94</v>
      </c>
      <c r="D75" s="93" t="s">
        <v>73</v>
      </c>
      <c r="E75" s="221" t="s">
        <v>835</v>
      </c>
      <c r="F75" s="222">
        <v>45748</v>
      </c>
      <c r="G75" s="72">
        <v>400</v>
      </c>
      <c r="H75" s="94" t="s">
        <v>168</v>
      </c>
    </row>
    <row r="76" spans="1:9" x14ac:dyDescent="0.2">
      <c r="A76" s="223"/>
      <c r="B76" s="104"/>
      <c r="C76" s="105"/>
      <c r="D76" s="106"/>
      <c r="E76" s="106"/>
      <c r="F76" s="107"/>
      <c r="G76" s="108"/>
      <c r="H76" s="106"/>
    </row>
    <row r="77" spans="1:9" x14ac:dyDescent="0.2">
      <c r="A77" s="104"/>
      <c r="B77" s="104"/>
      <c r="C77" s="105"/>
      <c r="D77" s="106"/>
      <c r="E77" s="106"/>
      <c r="F77" s="107"/>
      <c r="G77" s="108"/>
      <c r="H77" s="106"/>
    </row>
    <row r="78" spans="1:9" ht="15" x14ac:dyDescent="0.25">
      <c r="A78" s="387" t="s">
        <v>74</v>
      </c>
      <c r="B78" s="387"/>
      <c r="C78" s="387"/>
      <c r="D78" s="387"/>
      <c r="G78" s="235">
        <f>SUM(Таблица1251381501621741942642577389105121137153169185284460769210812414015655457058660061462864466067669270972626415671[Сумма])*1000</f>
        <v>4266000</v>
      </c>
    </row>
    <row r="79" spans="1:9" outlineLevel="1" x14ac:dyDescent="0.2">
      <c r="A79" s="91" t="s">
        <v>67</v>
      </c>
      <c r="B79" s="91" t="s">
        <v>53</v>
      </c>
      <c r="C79" s="91" t="s">
        <v>4</v>
      </c>
      <c r="D79" s="91" t="s">
        <v>68</v>
      </c>
      <c r="E79" s="91" t="s">
        <v>69</v>
      </c>
      <c r="F79" s="91" t="s">
        <v>70</v>
      </c>
      <c r="G79" s="91" t="s">
        <v>75</v>
      </c>
      <c r="H79" s="91" t="s">
        <v>72</v>
      </c>
    </row>
    <row r="80" spans="1:9" ht="24.95" customHeight="1" outlineLevel="1" x14ac:dyDescent="0.2">
      <c r="A80" s="74" t="s">
        <v>828</v>
      </c>
      <c r="B80" s="74" t="s">
        <v>830</v>
      </c>
      <c r="C80" s="93" t="s">
        <v>94</v>
      </c>
      <c r="D80" s="94" t="s">
        <v>572</v>
      </c>
      <c r="E80" s="74" t="s">
        <v>572</v>
      </c>
      <c r="F80" s="218">
        <v>45748</v>
      </c>
      <c r="G80" s="72">
        <v>2305</v>
      </c>
      <c r="H80" s="94" t="s">
        <v>280</v>
      </c>
    </row>
    <row r="81" spans="1:9" ht="24.95" customHeight="1" outlineLevel="1" x14ac:dyDescent="0.2">
      <c r="A81" s="94" t="s">
        <v>825</v>
      </c>
      <c r="B81" s="74" t="s">
        <v>831</v>
      </c>
      <c r="C81" s="93" t="s">
        <v>94</v>
      </c>
      <c r="D81" s="94" t="s">
        <v>73</v>
      </c>
      <c r="E81" s="94" t="s">
        <v>835</v>
      </c>
      <c r="F81" s="218">
        <v>45748</v>
      </c>
      <c r="G81" s="219">
        <v>400</v>
      </c>
      <c r="H81" s="173" t="s">
        <v>168</v>
      </c>
    </row>
    <row r="82" spans="1:9" ht="24.95" customHeight="1" outlineLevel="1" x14ac:dyDescent="0.2">
      <c r="A82" s="74" t="s">
        <v>827</v>
      </c>
      <c r="B82" s="74" t="s">
        <v>832</v>
      </c>
      <c r="C82" s="93" t="s">
        <v>94</v>
      </c>
      <c r="D82" s="94" t="s">
        <v>73</v>
      </c>
      <c r="E82" s="94" t="s">
        <v>833</v>
      </c>
      <c r="F82" s="218">
        <v>45748</v>
      </c>
      <c r="G82" s="72">
        <v>384</v>
      </c>
      <c r="H82" s="94" t="s">
        <v>168</v>
      </c>
      <c r="I82" s="237"/>
    </row>
    <row r="83" spans="1:9" ht="24.95" customHeight="1" outlineLevel="1" x14ac:dyDescent="0.2">
      <c r="A83" s="94" t="s">
        <v>822</v>
      </c>
      <c r="B83" s="94" t="s">
        <v>821</v>
      </c>
      <c r="C83" s="93" t="s">
        <v>94</v>
      </c>
      <c r="D83" s="94" t="s">
        <v>573</v>
      </c>
      <c r="E83" s="94" t="s">
        <v>574</v>
      </c>
      <c r="F83" s="218">
        <v>45748</v>
      </c>
      <c r="G83" s="219">
        <v>351</v>
      </c>
      <c r="H83" s="94" t="s">
        <v>168</v>
      </c>
    </row>
    <row r="84" spans="1:9" ht="24.95" customHeight="1" outlineLevel="1" x14ac:dyDescent="0.2">
      <c r="A84" s="94" t="s">
        <v>824</v>
      </c>
      <c r="B84" s="94" t="s">
        <v>818</v>
      </c>
      <c r="C84" s="93" t="s">
        <v>94</v>
      </c>
      <c r="D84" s="94" t="s">
        <v>73</v>
      </c>
      <c r="E84" s="94" t="s">
        <v>819</v>
      </c>
      <c r="F84" s="218">
        <v>45748</v>
      </c>
      <c r="G84" s="219">
        <v>230</v>
      </c>
      <c r="H84" s="94" t="s">
        <v>107</v>
      </c>
    </row>
    <row r="85" spans="1:9" ht="24.95" customHeight="1" outlineLevel="1" x14ac:dyDescent="0.2">
      <c r="A85" s="173" t="s">
        <v>823</v>
      </c>
      <c r="B85" s="173" t="s">
        <v>820</v>
      </c>
      <c r="C85" s="177" t="s">
        <v>94</v>
      </c>
      <c r="D85" s="173" t="s">
        <v>73</v>
      </c>
      <c r="E85" s="173" t="s">
        <v>574</v>
      </c>
      <c r="F85" s="224">
        <v>45748</v>
      </c>
      <c r="G85" s="225">
        <v>200</v>
      </c>
      <c r="H85" s="173" t="s">
        <v>107</v>
      </c>
    </row>
    <row r="86" spans="1:9" ht="24.95" customHeight="1" outlineLevel="1" x14ac:dyDescent="0.2">
      <c r="A86" s="94" t="s">
        <v>836</v>
      </c>
      <c r="B86" s="74" t="s">
        <v>837</v>
      </c>
      <c r="C86" s="93" t="s">
        <v>94</v>
      </c>
      <c r="D86" s="94" t="s">
        <v>73</v>
      </c>
      <c r="E86" s="94" t="s">
        <v>184</v>
      </c>
      <c r="F86" s="218">
        <v>45748</v>
      </c>
      <c r="G86" s="72">
        <v>167</v>
      </c>
      <c r="H86" s="94" t="s">
        <v>107</v>
      </c>
    </row>
    <row r="87" spans="1:9" ht="24.95" customHeight="1" outlineLevel="1" x14ac:dyDescent="0.2">
      <c r="A87" s="74" t="s">
        <v>854</v>
      </c>
      <c r="B87" s="94" t="s">
        <v>820</v>
      </c>
      <c r="C87" s="93" t="s">
        <v>94</v>
      </c>
      <c r="D87" s="94" t="s">
        <v>73</v>
      </c>
      <c r="E87" s="74" t="s">
        <v>855</v>
      </c>
      <c r="F87" s="218">
        <v>45717</v>
      </c>
      <c r="G87" s="72">
        <v>99</v>
      </c>
      <c r="H87" s="94" t="s">
        <v>107</v>
      </c>
    </row>
    <row r="88" spans="1:9" ht="24.95" customHeight="1" outlineLevel="1" x14ac:dyDescent="0.2">
      <c r="A88" s="173" t="s">
        <v>826</v>
      </c>
      <c r="B88" s="230" t="s">
        <v>829</v>
      </c>
      <c r="C88" s="177" t="s">
        <v>94</v>
      </c>
      <c r="D88" s="173" t="s">
        <v>73</v>
      </c>
      <c r="E88" s="173" t="s">
        <v>834</v>
      </c>
      <c r="F88" s="224">
        <v>45717</v>
      </c>
      <c r="G88" s="131">
        <v>130</v>
      </c>
      <c r="H88" s="173" t="s">
        <v>284</v>
      </c>
    </row>
    <row r="89" spans="1:9" ht="15" customHeight="1" x14ac:dyDescent="0.2"/>
    <row r="90" spans="1:9" ht="15" customHeight="1" x14ac:dyDescent="0.2"/>
    <row r="91" spans="1:9" ht="15.75" x14ac:dyDescent="0.25">
      <c r="A91" s="1" t="s">
        <v>76</v>
      </c>
    </row>
    <row r="92" spans="1:9" ht="15" x14ac:dyDescent="0.25">
      <c r="A92" s="386" t="s">
        <v>77</v>
      </c>
      <c r="B92" s="386"/>
      <c r="C92" s="386"/>
      <c r="D92" s="386"/>
      <c r="E92" s="110"/>
      <c r="F92" s="111"/>
    </row>
    <row r="93" spans="1:9" s="104" customFormat="1" outlineLevel="1" x14ac:dyDescent="0.25">
      <c r="A93" s="112" t="s">
        <v>78</v>
      </c>
      <c r="B93" s="112" t="s">
        <v>53</v>
      </c>
      <c r="C93" s="91" t="s">
        <v>4</v>
      </c>
      <c r="D93" s="112" t="s">
        <v>79</v>
      </c>
      <c r="E93" s="91" t="s">
        <v>80</v>
      </c>
      <c r="F93" s="112" t="s">
        <v>81</v>
      </c>
      <c r="G93" s="112" t="s">
        <v>82</v>
      </c>
    </row>
    <row r="94" spans="1:9" ht="24.95" customHeight="1" outlineLevel="1" x14ac:dyDescent="0.2">
      <c r="A94" s="113" t="s">
        <v>24</v>
      </c>
      <c r="B94" s="214"/>
      <c r="C94" s="215"/>
      <c r="D94" s="213"/>
      <c r="E94" s="214"/>
      <c r="F94" s="214"/>
      <c r="G94" s="214"/>
    </row>
    <row r="95" spans="1:9" x14ac:dyDescent="0.2">
      <c r="B95" s="118"/>
    </row>
    <row r="96" spans="1:9" x14ac:dyDescent="0.2">
      <c r="A96" s="118"/>
      <c r="B96" s="118"/>
    </row>
    <row r="97" spans="1:7" ht="15" x14ac:dyDescent="0.25">
      <c r="A97" s="387" t="s">
        <v>83</v>
      </c>
      <c r="B97" s="387"/>
      <c r="C97" s="387"/>
      <c r="D97" s="387"/>
      <c r="E97" s="212"/>
    </row>
    <row r="98" spans="1:7" s="104" customFormat="1" ht="12" customHeight="1" outlineLevel="1" x14ac:dyDescent="0.25">
      <c r="A98" s="112" t="s">
        <v>78</v>
      </c>
      <c r="B98" s="112" t="s">
        <v>53</v>
      </c>
      <c r="C98" s="91" t="s">
        <v>4</v>
      </c>
      <c r="D98" s="112" t="s">
        <v>79</v>
      </c>
      <c r="E98" s="91" t="s">
        <v>80</v>
      </c>
      <c r="F98" s="112" t="s">
        <v>81</v>
      </c>
      <c r="G98" s="112" t="s">
        <v>82</v>
      </c>
    </row>
    <row r="99" spans="1:7" ht="24" customHeight="1" outlineLevel="1" x14ac:dyDescent="0.2">
      <c r="A99" s="109"/>
      <c r="B99" s="116"/>
      <c r="C99" s="119"/>
      <c r="D99" s="129" t="s">
        <v>743</v>
      </c>
      <c r="E99" s="109"/>
      <c r="F99" s="109"/>
      <c r="G99" s="109"/>
    </row>
    <row r="100" spans="1:7" ht="24" customHeight="1" outlineLevel="1" x14ac:dyDescent="0.2">
      <c r="A100" s="187">
        <v>45727</v>
      </c>
      <c r="B100" s="116" t="s">
        <v>724</v>
      </c>
      <c r="C100" s="93" t="s">
        <v>94</v>
      </c>
      <c r="D100" s="191" t="s">
        <v>725</v>
      </c>
      <c r="E100" s="109"/>
      <c r="F100" s="109"/>
      <c r="G100" s="109" t="s">
        <v>726</v>
      </c>
    </row>
    <row r="101" spans="1:7" ht="24" customHeight="1" outlineLevel="1" x14ac:dyDescent="0.2">
      <c r="A101" s="187">
        <v>45728</v>
      </c>
      <c r="B101" s="109" t="s">
        <v>727</v>
      </c>
      <c r="C101" s="93" t="s">
        <v>94</v>
      </c>
      <c r="D101" s="116" t="s">
        <v>728</v>
      </c>
      <c r="E101" s="109"/>
      <c r="F101" s="55"/>
      <c r="G101" s="109" t="s">
        <v>729</v>
      </c>
    </row>
    <row r="102" spans="1:7" ht="24" customHeight="1" outlineLevel="1" x14ac:dyDescent="0.2">
      <c r="A102" s="187">
        <v>45728</v>
      </c>
      <c r="B102" s="109" t="s">
        <v>730</v>
      </c>
      <c r="C102" s="93" t="s">
        <v>94</v>
      </c>
      <c r="D102" s="191" t="s">
        <v>732</v>
      </c>
      <c r="E102" s="109"/>
      <c r="F102" s="55"/>
      <c r="G102" s="109" t="s">
        <v>731</v>
      </c>
    </row>
    <row r="103" spans="1:7" ht="24" customHeight="1" outlineLevel="1" x14ac:dyDescent="0.2">
      <c r="A103" s="187">
        <v>45728</v>
      </c>
      <c r="B103" s="109" t="s">
        <v>733</v>
      </c>
      <c r="C103" s="93" t="s">
        <v>94</v>
      </c>
      <c r="D103" s="116" t="s">
        <v>734</v>
      </c>
      <c r="E103" s="109"/>
      <c r="F103" s="55"/>
      <c r="G103" s="109" t="s">
        <v>735</v>
      </c>
    </row>
    <row r="104" spans="1:7" ht="24" customHeight="1" outlineLevel="1" x14ac:dyDescent="0.2">
      <c r="A104" s="187">
        <v>45728</v>
      </c>
      <c r="B104" s="109" t="s">
        <v>736</v>
      </c>
      <c r="C104" s="93" t="s">
        <v>94</v>
      </c>
      <c r="D104" s="191" t="s">
        <v>737</v>
      </c>
      <c r="E104" s="109"/>
      <c r="F104" s="55"/>
      <c r="G104" s="109" t="s">
        <v>738</v>
      </c>
    </row>
    <row r="105" spans="1:7" ht="24" customHeight="1" outlineLevel="1" x14ac:dyDescent="0.2">
      <c r="A105" s="187">
        <v>45728</v>
      </c>
      <c r="B105" s="109" t="s">
        <v>622</v>
      </c>
      <c r="C105" s="93" t="s">
        <v>94</v>
      </c>
      <c r="D105" s="116" t="s">
        <v>740</v>
      </c>
      <c r="E105" s="109"/>
      <c r="F105" s="55"/>
      <c r="G105" s="109" t="s">
        <v>739</v>
      </c>
    </row>
    <row r="106" spans="1:7" ht="24" customHeight="1" outlineLevel="1" x14ac:dyDescent="0.2">
      <c r="A106" s="187">
        <v>45719</v>
      </c>
      <c r="B106" s="116" t="s">
        <v>687</v>
      </c>
      <c r="C106" s="93" t="s">
        <v>94</v>
      </c>
      <c r="D106" s="116" t="s">
        <v>688</v>
      </c>
      <c r="E106" s="109"/>
      <c r="F106" s="55"/>
      <c r="G106" s="109" t="s">
        <v>686</v>
      </c>
    </row>
    <row r="107" spans="1:7" ht="24" customHeight="1" outlineLevel="1" x14ac:dyDescent="0.2">
      <c r="A107" s="187">
        <v>45721</v>
      </c>
      <c r="B107" s="116" t="s">
        <v>692</v>
      </c>
      <c r="C107" s="93" t="s">
        <v>94</v>
      </c>
      <c r="D107" s="116" t="s">
        <v>693</v>
      </c>
      <c r="E107" s="109"/>
      <c r="F107" s="109"/>
      <c r="G107" s="109" t="s">
        <v>694</v>
      </c>
    </row>
    <row r="108" spans="1:7" ht="24" customHeight="1" outlineLevel="1" x14ac:dyDescent="0.2">
      <c r="A108" s="187">
        <v>45721</v>
      </c>
      <c r="B108" s="116" t="s">
        <v>671</v>
      </c>
      <c r="C108" s="93" t="s">
        <v>94</v>
      </c>
      <c r="D108" s="191" t="s">
        <v>673</v>
      </c>
      <c r="E108" s="109"/>
      <c r="F108" s="55"/>
      <c r="G108" s="109" t="s">
        <v>672</v>
      </c>
    </row>
    <row r="109" spans="1:7" ht="24" customHeight="1" outlineLevel="1" x14ac:dyDescent="0.2">
      <c r="A109" s="187">
        <v>45721</v>
      </c>
      <c r="B109" s="116" t="s">
        <v>675</v>
      </c>
      <c r="C109" s="93" t="s">
        <v>94</v>
      </c>
      <c r="D109" s="191" t="s">
        <v>674</v>
      </c>
      <c r="E109" s="109"/>
      <c r="F109" s="55"/>
      <c r="G109" s="109" t="s">
        <v>676</v>
      </c>
    </row>
    <row r="110" spans="1:7" ht="24" customHeight="1" outlineLevel="1" x14ac:dyDescent="0.2">
      <c r="A110" s="187">
        <v>45721</v>
      </c>
      <c r="B110" s="116" t="s">
        <v>677</v>
      </c>
      <c r="C110" s="93" t="s">
        <v>94</v>
      </c>
      <c r="D110" s="191" t="s">
        <v>678</v>
      </c>
      <c r="E110" s="109"/>
      <c r="F110" s="55"/>
      <c r="G110" s="109" t="s">
        <v>679</v>
      </c>
    </row>
    <row r="111" spans="1:7" ht="24" customHeight="1" outlineLevel="1" x14ac:dyDescent="0.2">
      <c r="A111" s="187">
        <v>45721</v>
      </c>
      <c r="B111" s="116" t="s">
        <v>680</v>
      </c>
      <c r="C111" s="93" t="s">
        <v>94</v>
      </c>
      <c r="D111" s="191" t="s">
        <v>682</v>
      </c>
      <c r="E111" s="109"/>
      <c r="F111" s="55"/>
      <c r="G111" s="109" t="s">
        <v>681</v>
      </c>
    </row>
    <row r="112" spans="1:7" ht="24" customHeight="1" outlineLevel="1" x14ac:dyDescent="0.2">
      <c r="A112" s="187">
        <v>45722</v>
      </c>
      <c r="B112" s="116" t="s">
        <v>684</v>
      </c>
      <c r="C112" s="93" t="s">
        <v>94</v>
      </c>
      <c r="D112" s="191" t="s">
        <v>683</v>
      </c>
      <c r="E112" s="109"/>
      <c r="F112" s="55"/>
      <c r="G112" s="109" t="s">
        <v>685</v>
      </c>
    </row>
    <row r="113" spans="1:7" ht="24" customHeight="1" outlineLevel="1" x14ac:dyDescent="0.2">
      <c r="A113" s="187">
        <v>45722</v>
      </c>
      <c r="B113" s="116" t="s">
        <v>689</v>
      </c>
      <c r="C113" s="93" t="s">
        <v>94</v>
      </c>
      <c r="D113" s="116" t="s">
        <v>690</v>
      </c>
      <c r="E113" s="109"/>
      <c r="F113" s="55"/>
      <c r="G113" s="109" t="s">
        <v>691</v>
      </c>
    </row>
    <row r="114" spans="1:7" ht="24" customHeight="1" outlineLevel="1" x14ac:dyDescent="0.2">
      <c r="A114" s="187">
        <v>45734</v>
      </c>
      <c r="B114" s="116" t="s">
        <v>746</v>
      </c>
      <c r="C114" s="93" t="s">
        <v>94</v>
      </c>
      <c r="D114" s="116" t="s">
        <v>146</v>
      </c>
      <c r="E114" s="109"/>
      <c r="F114" s="109"/>
      <c r="G114" s="109" t="s">
        <v>747</v>
      </c>
    </row>
    <row r="115" spans="1:7" ht="24" customHeight="1" outlineLevel="1" x14ac:dyDescent="0.2">
      <c r="A115" s="187">
        <v>45734</v>
      </c>
      <c r="B115" s="116" t="s">
        <v>749</v>
      </c>
      <c r="C115" s="93" t="s">
        <v>94</v>
      </c>
      <c r="D115" s="116" t="s">
        <v>314</v>
      </c>
      <c r="E115" s="109"/>
      <c r="F115" s="109"/>
      <c r="G115" s="109" t="s">
        <v>748</v>
      </c>
    </row>
    <row r="116" spans="1:7" ht="24" customHeight="1" outlineLevel="1" x14ac:dyDescent="0.2">
      <c r="A116" s="187">
        <v>45734</v>
      </c>
      <c r="B116" s="116" t="s">
        <v>751</v>
      </c>
      <c r="C116" s="93" t="s">
        <v>94</v>
      </c>
      <c r="D116" s="191" t="s">
        <v>750</v>
      </c>
      <c r="E116" s="109"/>
      <c r="F116" s="109"/>
      <c r="G116" s="109" t="s">
        <v>752</v>
      </c>
    </row>
    <row r="117" spans="1:7" ht="24" customHeight="1" outlineLevel="1" x14ac:dyDescent="0.2">
      <c r="A117" s="187">
        <v>45734</v>
      </c>
      <c r="B117" s="116" t="s">
        <v>754</v>
      </c>
      <c r="C117" s="93" t="s">
        <v>94</v>
      </c>
      <c r="D117" s="116" t="s">
        <v>755</v>
      </c>
      <c r="E117" s="109"/>
      <c r="F117" s="109"/>
      <c r="G117" s="109" t="s">
        <v>753</v>
      </c>
    </row>
    <row r="118" spans="1:7" ht="24" customHeight="1" outlineLevel="1" x14ac:dyDescent="0.2">
      <c r="A118" s="187">
        <v>45734</v>
      </c>
      <c r="B118" s="116" t="s">
        <v>757</v>
      </c>
      <c r="C118" s="93" t="s">
        <v>94</v>
      </c>
      <c r="D118" s="191" t="s">
        <v>758</v>
      </c>
      <c r="E118" s="109"/>
      <c r="F118" s="109"/>
      <c r="G118" s="109" t="s">
        <v>756</v>
      </c>
    </row>
    <row r="119" spans="1:7" ht="24" customHeight="1" outlineLevel="1" x14ac:dyDescent="0.2">
      <c r="A119" s="187">
        <v>45734</v>
      </c>
      <c r="B119" s="116" t="s">
        <v>762</v>
      </c>
      <c r="C119" s="93" t="s">
        <v>94</v>
      </c>
      <c r="D119" s="116" t="s">
        <v>764</v>
      </c>
      <c r="E119" s="109"/>
      <c r="F119" s="109"/>
      <c r="G119" s="109" t="s">
        <v>763</v>
      </c>
    </row>
    <row r="120" spans="1:7" ht="24" customHeight="1" outlineLevel="1" x14ac:dyDescent="0.2">
      <c r="A120" s="187">
        <v>45734</v>
      </c>
      <c r="B120" s="116" t="s">
        <v>765</v>
      </c>
      <c r="C120" s="93" t="s">
        <v>94</v>
      </c>
      <c r="D120" s="191" t="s">
        <v>766</v>
      </c>
      <c r="E120" s="109"/>
      <c r="F120" s="109"/>
      <c r="G120" s="109" t="s">
        <v>767</v>
      </c>
    </row>
    <row r="121" spans="1:7" ht="24" customHeight="1" outlineLevel="1" x14ac:dyDescent="0.2">
      <c r="A121" s="187">
        <v>45740</v>
      </c>
      <c r="B121" s="116" t="s">
        <v>775</v>
      </c>
      <c r="C121" s="93" t="s">
        <v>94</v>
      </c>
      <c r="D121" s="116" t="s">
        <v>776</v>
      </c>
      <c r="E121" s="109"/>
      <c r="F121" s="109"/>
      <c r="G121" s="109" t="s">
        <v>774</v>
      </c>
    </row>
    <row r="122" spans="1:7" ht="24" customHeight="1" outlineLevel="1" x14ac:dyDescent="0.2">
      <c r="A122" s="187">
        <v>45740</v>
      </c>
      <c r="B122" s="116" t="s">
        <v>778</v>
      </c>
      <c r="C122" s="93" t="s">
        <v>94</v>
      </c>
      <c r="D122" s="191" t="s">
        <v>779</v>
      </c>
      <c r="E122" s="109"/>
      <c r="F122" s="109"/>
      <c r="G122" s="109" t="s">
        <v>777</v>
      </c>
    </row>
    <row r="123" spans="1:7" ht="24" customHeight="1" outlineLevel="1" x14ac:dyDescent="0.2">
      <c r="A123" s="187">
        <v>45740</v>
      </c>
      <c r="B123" s="116" t="s">
        <v>784</v>
      </c>
      <c r="C123" s="93" t="s">
        <v>94</v>
      </c>
      <c r="D123" s="116" t="s">
        <v>785</v>
      </c>
      <c r="E123" s="109"/>
      <c r="F123" s="109"/>
      <c r="G123" s="109" t="s">
        <v>783</v>
      </c>
    </row>
    <row r="124" spans="1:7" ht="24" customHeight="1" outlineLevel="1" x14ac:dyDescent="0.2">
      <c r="A124" s="187">
        <v>45740</v>
      </c>
      <c r="B124" s="116" t="s">
        <v>780</v>
      </c>
      <c r="C124" s="93" t="s">
        <v>94</v>
      </c>
      <c r="D124" s="191" t="s">
        <v>782</v>
      </c>
      <c r="E124" s="109"/>
      <c r="F124" s="109"/>
      <c r="G124" s="109" t="s">
        <v>781</v>
      </c>
    </row>
    <row r="125" spans="1:7" ht="24" customHeight="1" outlineLevel="1" x14ac:dyDescent="0.2">
      <c r="A125" s="187">
        <v>45741</v>
      </c>
      <c r="B125" s="116" t="s">
        <v>786</v>
      </c>
      <c r="C125" s="93" t="s">
        <v>94</v>
      </c>
      <c r="D125" s="191" t="s">
        <v>788</v>
      </c>
      <c r="E125" s="109"/>
      <c r="F125" s="109"/>
      <c r="G125" s="109" t="s">
        <v>787</v>
      </c>
    </row>
    <row r="126" spans="1:7" ht="24" customHeight="1" outlineLevel="1" x14ac:dyDescent="0.2">
      <c r="A126" s="187">
        <v>45741</v>
      </c>
      <c r="B126" s="116" t="s">
        <v>847</v>
      </c>
      <c r="C126" s="93" t="s">
        <v>94</v>
      </c>
      <c r="D126" s="116" t="s">
        <v>789</v>
      </c>
      <c r="E126" s="109"/>
      <c r="F126" s="109"/>
      <c r="G126" s="109" t="s">
        <v>790</v>
      </c>
    </row>
    <row r="127" spans="1:7" ht="24" customHeight="1" outlineLevel="1" x14ac:dyDescent="0.2">
      <c r="A127" s="187">
        <v>45741</v>
      </c>
      <c r="B127" s="116" t="s">
        <v>791</v>
      </c>
      <c r="C127" s="93" t="s">
        <v>94</v>
      </c>
      <c r="D127" s="116" t="s">
        <v>792</v>
      </c>
      <c r="E127" s="109"/>
      <c r="F127" s="109"/>
      <c r="G127" s="109" t="s">
        <v>793</v>
      </c>
    </row>
    <row r="128" spans="1:7" ht="24" customHeight="1" outlineLevel="1" x14ac:dyDescent="0.2">
      <c r="A128" s="187">
        <v>45742</v>
      </c>
      <c r="B128" s="116" t="s">
        <v>794</v>
      </c>
      <c r="C128" s="93" t="s">
        <v>94</v>
      </c>
      <c r="D128" s="191" t="s">
        <v>796</v>
      </c>
      <c r="E128" s="109"/>
      <c r="F128" s="109"/>
      <c r="G128" s="109" t="s">
        <v>795</v>
      </c>
    </row>
    <row r="129" spans="1:7" ht="24" customHeight="1" outlineLevel="1" x14ac:dyDescent="0.2">
      <c r="A129" s="187">
        <v>45742</v>
      </c>
      <c r="B129" s="116" t="s">
        <v>797</v>
      </c>
      <c r="C129" s="93" t="s">
        <v>94</v>
      </c>
      <c r="D129" s="116" t="s">
        <v>799</v>
      </c>
      <c r="E129" s="109"/>
      <c r="F129" s="109"/>
      <c r="G129" s="109" t="s">
        <v>798</v>
      </c>
    </row>
    <row r="130" spans="1:7" ht="24" customHeight="1" outlineLevel="1" x14ac:dyDescent="0.2">
      <c r="A130" s="187">
        <v>45742</v>
      </c>
      <c r="B130" s="116" t="s">
        <v>841</v>
      </c>
      <c r="C130" s="93" t="s">
        <v>94</v>
      </c>
      <c r="D130" s="116" t="s">
        <v>843</v>
      </c>
      <c r="E130" s="109"/>
      <c r="F130" s="109"/>
      <c r="G130" s="109" t="s">
        <v>842</v>
      </c>
    </row>
    <row r="131" spans="1:7" ht="24" customHeight="1" outlineLevel="1" x14ac:dyDescent="0.2">
      <c r="A131" s="187">
        <v>45743</v>
      </c>
      <c r="B131" s="116" t="s">
        <v>800</v>
      </c>
      <c r="C131" s="93" t="s">
        <v>94</v>
      </c>
      <c r="D131" s="191" t="s">
        <v>802</v>
      </c>
      <c r="E131" s="109"/>
      <c r="F131" s="109"/>
      <c r="G131" s="109" t="s">
        <v>801</v>
      </c>
    </row>
    <row r="132" spans="1:7" ht="24" customHeight="1" outlineLevel="1" x14ac:dyDescent="0.2">
      <c r="A132" s="187">
        <v>45743</v>
      </c>
      <c r="B132" s="227" t="s">
        <v>803</v>
      </c>
      <c r="C132" s="228" t="s">
        <v>94</v>
      </c>
      <c r="D132" s="227" t="s">
        <v>805</v>
      </c>
      <c r="E132" s="226"/>
      <c r="F132" s="226"/>
      <c r="G132" s="226" t="s">
        <v>804</v>
      </c>
    </row>
    <row r="133" spans="1:7" ht="24" customHeight="1" outlineLevel="1" x14ac:dyDescent="0.2">
      <c r="A133" s="187">
        <v>45743</v>
      </c>
      <c r="B133" s="227" t="s">
        <v>806</v>
      </c>
      <c r="C133" s="228" t="s">
        <v>94</v>
      </c>
      <c r="D133" s="229" t="s">
        <v>808</v>
      </c>
      <c r="E133" s="226"/>
      <c r="F133" s="226"/>
      <c r="G133" s="226" t="s">
        <v>807</v>
      </c>
    </row>
    <row r="134" spans="1:7" ht="24" customHeight="1" outlineLevel="1" x14ac:dyDescent="0.2">
      <c r="A134" s="187">
        <v>45743</v>
      </c>
      <c r="B134" s="116" t="s">
        <v>809</v>
      </c>
      <c r="C134" s="93" t="s">
        <v>94</v>
      </c>
      <c r="D134" s="116" t="s">
        <v>811</v>
      </c>
      <c r="E134" s="109"/>
      <c r="F134" s="109"/>
      <c r="G134" s="109" t="s">
        <v>810</v>
      </c>
    </row>
    <row r="135" spans="1:7" ht="24" customHeight="1" outlineLevel="1" x14ac:dyDescent="0.2">
      <c r="A135" s="187">
        <v>45742</v>
      </c>
      <c r="B135" s="114" t="s">
        <v>844</v>
      </c>
      <c r="C135" s="93" t="s">
        <v>94</v>
      </c>
      <c r="D135" s="114" t="s">
        <v>846</v>
      </c>
      <c r="E135" s="226"/>
      <c r="F135" s="226"/>
      <c r="G135" s="55" t="s">
        <v>845</v>
      </c>
    </row>
    <row r="136" spans="1:7" ht="24" customHeight="1" outlineLevel="1" x14ac:dyDescent="0.2">
      <c r="A136" s="187">
        <v>45747</v>
      </c>
      <c r="B136" s="116" t="s">
        <v>838</v>
      </c>
      <c r="C136" s="93" t="s">
        <v>94</v>
      </c>
      <c r="D136" s="116" t="s">
        <v>839</v>
      </c>
      <c r="E136" s="109"/>
      <c r="F136" s="109"/>
      <c r="G136" s="109" t="s">
        <v>840</v>
      </c>
    </row>
    <row r="137" spans="1:7" ht="24" customHeight="1" outlineLevel="1" x14ac:dyDescent="0.2">
      <c r="A137" s="116"/>
      <c r="B137" s="116"/>
      <c r="C137" s="93"/>
      <c r="D137" s="116"/>
      <c r="E137" s="109"/>
      <c r="F137" s="109"/>
      <c r="G137" s="109"/>
    </row>
    <row r="138" spans="1:7" ht="24" customHeight="1" outlineLevel="1" x14ac:dyDescent="0.2">
      <c r="A138" s="116"/>
      <c r="B138" s="116"/>
      <c r="C138" s="93"/>
      <c r="D138" s="232" t="s">
        <v>849</v>
      </c>
      <c r="E138" s="109"/>
      <c r="F138" s="109"/>
      <c r="G138" s="109"/>
    </row>
    <row r="139" spans="1:7" ht="24" customHeight="1" outlineLevel="1" x14ac:dyDescent="0.2">
      <c r="A139" s="187">
        <v>45726</v>
      </c>
      <c r="B139" s="109" t="s">
        <v>695</v>
      </c>
      <c r="C139" s="93" t="s">
        <v>94</v>
      </c>
      <c r="D139" s="191" t="s">
        <v>696</v>
      </c>
      <c r="E139" s="203"/>
      <c r="F139" s="55"/>
      <c r="G139" s="109" t="s">
        <v>697</v>
      </c>
    </row>
    <row r="140" spans="1:7" ht="24" customHeight="1" outlineLevel="1" x14ac:dyDescent="0.2">
      <c r="A140" s="187">
        <v>45726</v>
      </c>
      <c r="B140" s="109" t="s">
        <v>698</v>
      </c>
      <c r="C140" s="93" t="s">
        <v>94</v>
      </c>
      <c r="D140" s="116" t="s">
        <v>699</v>
      </c>
      <c r="E140" s="203"/>
      <c r="F140" s="55"/>
      <c r="G140" s="109" t="s">
        <v>700</v>
      </c>
    </row>
    <row r="141" spans="1:7" ht="24" customHeight="1" outlineLevel="1" x14ac:dyDescent="0.2">
      <c r="A141" s="187">
        <v>45726</v>
      </c>
      <c r="B141" s="109" t="s">
        <v>701</v>
      </c>
      <c r="C141" s="93" t="s">
        <v>94</v>
      </c>
      <c r="D141" s="191" t="s">
        <v>555</v>
      </c>
      <c r="E141" s="203"/>
      <c r="F141" s="55"/>
      <c r="G141" s="109" t="s">
        <v>702</v>
      </c>
    </row>
    <row r="142" spans="1:7" ht="24" customHeight="1" outlineLevel="1" x14ac:dyDescent="0.2">
      <c r="A142" s="187">
        <v>45726</v>
      </c>
      <c r="B142" s="109" t="s">
        <v>703</v>
      </c>
      <c r="C142" s="93" t="s">
        <v>94</v>
      </c>
      <c r="D142" s="116" t="s">
        <v>705</v>
      </c>
      <c r="E142" s="203"/>
      <c r="F142" s="55"/>
      <c r="G142" s="109" t="s">
        <v>704</v>
      </c>
    </row>
    <row r="143" spans="1:7" ht="24" customHeight="1" outlineLevel="1" x14ac:dyDescent="0.2">
      <c r="A143" s="187">
        <v>45726</v>
      </c>
      <c r="B143" s="109" t="s">
        <v>706</v>
      </c>
      <c r="C143" s="93" t="s">
        <v>94</v>
      </c>
      <c r="D143" s="191" t="s">
        <v>708</v>
      </c>
      <c r="E143" s="203"/>
      <c r="F143" s="55"/>
      <c r="G143" s="109" t="s">
        <v>707</v>
      </c>
    </row>
    <row r="144" spans="1:7" ht="24" customHeight="1" outlineLevel="1" x14ac:dyDescent="0.2">
      <c r="A144" s="187">
        <v>45726</v>
      </c>
      <c r="B144" s="109" t="s">
        <v>709</v>
      </c>
      <c r="C144" s="93" t="s">
        <v>94</v>
      </c>
      <c r="D144" s="116" t="s">
        <v>711</v>
      </c>
      <c r="E144" s="203"/>
      <c r="F144" s="55"/>
      <c r="G144" s="109" t="s">
        <v>710</v>
      </c>
    </row>
    <row r="145" spans="1:7" ht="24" customHeight="1" outlineLevel="1" x14ac:dyDescent="0.2">
      <c r="A145" s="187">
        <v>45726</v>
      </c>
      <c r="B145" s="109" t="s">
        <v>712</v>
      </c>
      <c r="C145" s="93" t="s">
        <v>94</v>
      </c>
      <c r="D145" s="191" t="s">
        <v>714</v>
      </c>
      <c r="E145" s="203"/>
      <c r="F145" s="55"/>
      <c r="G145" s="109" t="s">
        <v>713</v>
      </c>
    </row>
    <row r="146" spans="1:7" ht="24" customHeight="1" outlineLevel="1" x14ac:dyDescent="0.2">
      <c r="A146" s="187">
        <v>45728</v>
      </c>
      <c r="B146" s="116" t="s">
        <v>715</v>
      </c>
      <c r="C146" s="93" t="s">
        <v>94</v>
      </c>
      <c r="D146" s="191" t="s">
        <v>717</v>
      </c>
      <c r="E146" s="109"/>
      <c r="F146" s="109"/>
      <c r="G146" s="109" t="s">
        <v>716</v>
      </c>
    </row>
    <row r="147" spans="1:7" ht="24" customHeight="1" outlineLevel="1" x14ac:dyDescent="0.2">
      <c r="A147" s="187">
        <v>45726</v>
      </c>
      <c r="B147" s="116" t="s">
        <v>718</v>
      </c>
      <c r="C147" s="93" t="s">
        <v>94</v>
      </c>
      <c r="D147" s="191" t="s">
        <v>719</v>
      </c>
      <c r="E147" s="109"/>
      <c r="F147" s="109"/>
      <c r="G147" s="109" t="s">
        <v>720</v>
      </c>
    </row>
    <row r="148" spans="1:7" ht="24" customHeight="1" outlineLevel="1" x14ac:dyDescent="0.2">
      <c r="A148" s="187">
        <v>45728</v>
      </c>
      <c r="B148" s="116" t="s">
        <v>721</v>
      </c>
      <c r="C148" s="93" t="s">
        <v>94</v>
      </c>
      <c r="D148" s="116" t="s">
        <v>723</v>
      </c>
      <c r="E148" s="109"/>
      <c r="F148" s="109"/>
      <c r="G148" s="109" t="s">
        <v>722</v>
      </c>
    </row>
    <row r="149" spans="1:7" ht="24" customHeight="1" outlineLevel="1" x14ac:dyDescent="0.2">
      <c r="A149" s="187">
        <v>45734</v>
      </c>
      <c r="B149" s="210" t="s">
        <v>349</v>
      </c>
      <c r="C149" s="93" t="s">
        <v>94</v>
      </c>
      <c r="D149" s="233" t="s">
        <v>350</v>
      </c>
      <c r="E149" s="94"/>
      <c r="F149" s="94"/>
      <c r="G149" s="94" t="s">
        <v>853</v>
      </c>
    </row>
    <row r="150" spans="1:7" ht="24" customHeight="1" outlineLevel="1" x14ac:dyDescent="0.2">
      <c r="A150" s="162"/>
      <c r="B150" s="162"/>
      <c r="C150" s="105"/>
      <c r="D150" s="231"/>
      <c r="E150" s="164"/>
      <c r="F150" s="164"/>
      <c r="G150" s="164"/>
    </row>
    <row r="151" spans="1:7" ht="24" customHeight="1" outlineLevel="1" x14ac:dyDescent="0.2">
      <c r="A151" s="116"/>
      <c r="B151" s="109"/>
      <c r="C151" s="159"/>
      <c r="D151" s="129" t="s">
        <v>744</v>
      </c>
      <c r="E151" s="109"/>
      <c r="F151" s="55"/>
      <c r="G151" s="109"/>
    </row>
    <row r="152" spans="1:7" ht="24" customHeight="1" outlineLevel="1" x14ac:dyDescent="0.2">
      <c r="A152" s="187">
        <v>45729</v>
      </c>
      <c r="B152" s="109" t="s">
        <v>742</v>
      </c>
      <c r="C152" s="93" t="s">
        <v>94</v>
      </c>
      <c r="D152" s="191" t="s">
        <v>560</v>
      </c>
      <c r="E152" s="109"/>
      <c r="F152" s="55"/>
      <c r="G152" s="109" t="s">
        <v>741</v>
      </c>
    </row>
    <row r="153" spans="1:7" ht="24" customHeight="1" outlineLevel="1" x14ac:dyDescent="0.2">
      <c r="A153" s="187">
        <v>45734</v>
      </c>
      <c r="B153" s="109" t="s">
        <v>760</v>
      </c>
      <c r="C153" s="93" t="s">
        <v>94</v>
      </c>
      <c r="D153" s="116" t="s">
        <v>162</v>
      </c>
      <c r="E153" s="109"/>
      <c r="F153" s="55"/>
      <c r="G153" s="109" t="s">
        <v>759</v>
      </c>
    </row>
    <row r="154" spans="1:7" ht="24" customHeight="1" outlineLevel="1" x14ac:dyDescent="0.2">
      <c r="A154" s="187">
        <v>45733</v>
      </c>
      <c r="B154" s="116" t="s">
        <v>768</v>
      </c>
      <c r="C154" s="93" t="s">
        <v>94</v>
      </c>
      <c r="D154" s="116" t="s">
        <v>770</v>
      </c>
      <c r="E154" s="109"/>
      <c r="F154" s="109"/>
      <c r="G154" s="109" t="s">
        <v>769</v>
      </c>
    </row>
    <row r="155" spans="1:7" ht="24" customHeight="1" outlineLevel="1" x14ac:dyDescent="0.2">
      <c r="A155" s="187">
        <v>45733</v>
      </c>
      <c r="B155" s="116" t="s">
        <v>771</v>
      </c>
      <c r="C155" s="93" t="s">
        <v>94</v>
      </c>
      <c r="D155" s="116" t="s">
        <v>773</v>
      </c>
      <c r="E155" s="109"/>
      <c r="F155" s="109"/>
      <c r="G155" s="109" t="s">
        <v>772</v>
      </c>
    </row>
    <row r="158" spans="1:7" s="104" customFormat="1" ht="15.75" x14ac:dyDescent="0.25">
      <c r="A158" s="1" t="s">
        <v>84</v>
      </c>
      <c r="B158" s="2"/>
      <c r="C158" s="2"/>
      <c r="D158" s="2"/>
      <c r="E158" s="2"/>
      <c r="F158" s="2"/>
      <c r="G158" s="2"/>
    </row>
    <row r="159" spans="1:7" ht="15" x14ac:dyDescent="0.25">
      <c r="A159" s="386" t="s">
        <v>85</v>
      </c>
      <c r="B159" s="386"/>
      <c r="C159" s="386"/>
      <c r="D159" s="386"/>
    </row>
    <row r="160" spans="1:7" s="17" customFormat="1" outlineLevel="1" x14ac:dyDescent="0.2">
      <c r="A160" s="120" t="s">
        <v>81</v>
      </c>
      <c r="B160" s="120" t="s">
        <v>86</v>
      </c>
      <c r="C160" s="120" t="s">
        <v>87</v>
      </c>
      <c r="D160" s="120" t="s">
        <v>88</v>
      </c>
      <c r="E160" s="120" t="s">
        <v>89</v>
      </c>
      <c r="F160" s="120" t="s">
        <v>4</v>
      </c>
      <c r="G160" s="120" t="s">
        <v>90</v>
      </c>
    </row>
    <row r="161" spans="1:15" ht="60" customHeight="1" outlineLevel="1" x14ac:dyDescent="0.2">
      <c r="A161" s="94"/>
      <c r="B161" s="94" t="s">
        <v>812</v>
      </c>
      <c r="C161" s="238" t="s">
        <v>160</v>
      </c>
      <c r="D161" s="72" t="s">
        <v>813</v>
      </c>
      <c r="E161" s="132" t="s">
        <v>663</v>
      </c>
      <c r="F161" s="74" t="s">
        <v>94</v>
      </c>
      <c r="G161" s="72">
        <f>12000*1.2</f>
        <v>14400</v>
      </c>
    </row>
    <row r="162" spans="1:15" ht="90" customHeight="1" outlineLevel="1" x14ac:dyDescent="0.2">
      <c r="A162" s="130"/>
      <c r="B162" s="148" t="s">
        <v>666</v>
      </c>
      <c r="C162" s="238" t="s">
        <v>160</v>
      </c>
      <c r="D162" s="150" t="s">
        <v>850</v>
      </c>
      <c r="E162" s="121" t="s">
        <v>664</v>
      </c>
      <c r="F162" s="74" t="s">
        <v>94</v>
      </c>
      <c r="G162" s="72">
        <v>5000</v>
      </c>
    </row>
    <row r="163" spans="1:15" ht="60" customHeight="1" outlineLevel="1" x14ac:dyDescent="0.2">
      <c r="A163" s="130"/>
      <c r="B163" s="148" t="s">
        <v>745</v>
      </c>
      <c r="C163" s="238" t="s">
        <v>160</v>
      </c>
      <c r="D163" s="96" t="s">
        <v>851</v>
      </c>
      <c r="E163" s="121" t="s">
        <v>665</v>
      </c>
      <c r="F163" s="74" t="s">
        <v>94</v>
      </c>
      <c r="G163" s="72">
        <f>6000/50*52</f>
        <v>6240</v>
      </c>
    </row>
    <row r="164" spans="1:15" ht="54.75" customHeight="1" outlineLevel="1" x14ac:dyDescent="0.2">
      <c r="A164" s="94"/>
      <c r="B164" s="94" t="s">
        <v>668</v>
      </c>
      <c r="C164" s="238" t="s">
        <v>761</v>
      </c>
      <c r="D164" s="94" t="s">
        <v>814</v>
      </c>
      <c r="E164" s="132" t="s">
        <v>667</v>
      </c>
      <c r="F164" s="74" t="s">
        <v>94</v>
      </c>
      <c r="G164" s="9">
        <v>0</v>
      </c>
    </row>
    <row r="165" spans="1:15" ht="122.25" customHeight="1" outlineLevel="1" x14ac:dyDescent="0.2">
      <c r="A165" s="201"/>
      <c r="B165" s="148" t="s">
        <v>670</v>
      </c>
      <c r="C165" s="238" t="s">
        <v>160</v>
      </c>
      <c r="D165" s="94" t="s">
        <v>848</v>
      </c>
      <c r="E165" s="132" t="s">
        <v>669</v>
      </c>
      <c r="F165" s="74" t="s">
        <v>94</v>
      </c>
      <c r="G165" s="72">
        <f>6000/8*7</f>
        <v>5250</v>
      </c>
    </row>
    <row r="166" spans="1:15" x14ac:dyDescent="0.2">
      <c r="B166" s="122"/>
      <c r="C166" s="123"/>
      <c r="F166" s="122"/>
    </row>
    <row r="167" spans="1:15" x14ac:dyDescent="0.2">
      <c r="A167" s="122"/>
      <c r="B167" s="122"/>
      <c r="C167" s="123"/>
      <c r="F167" s="122"/>
    </row>
    <row r="168" spans="1:15" ht="15" x14ac:dyDescent="0.25">
      <c r="A168" s="386" t="s">
        <v>92</v>
      </c>
      <c r="B168" s="386"/>
      <c r="C168" s="386"/>
      <c r="D168" s="386"/>
    </row>
    <row r="169" spans="1:15" s="124" customFormat="1" ht="12.75" customHeight="1" outlineLevel="1" x14ac:dyDescent="0.2">
      <c r="A169" s="120" t="s">
        <v>81</v>
      </c>
      <c r="B169" s="120" t="s">
        <v>86</v>
      </c>
      <c r="C169" s="120" t="s">
        <v>87</v>
      </c>
      <c r="D169" s="120" t="s">
        <v>88</v>
      </c>
      <c r="E169" s="120" t="s">
        <v>89</v>
      </c>
      <c r="F169" s="120" t="s">
        <v>4</v>
      </c>
      <c r="G169" s="120" t="s">
        <v>90</v>
      </c>
      <c r="H169" s="2"/>
      <c r="I169" s="2"/>
      <c r="J169" s="2"/>
      <c r="K169" s="2"/>
      <c r="L169" s="2"/>
      <c r="M169" s="2"/>
      <c r="N169" s="2"/>
      <c r="O169" s="2"/>
    </row>
    <row r="170" spans="1:15" ht="60" customHeight="1" outlineLevel="1" x14ac:dyDescent="0.25">
      <c r="A170" s="94"/>
      <c r="B170" s="94"/>
      <c r="C170" s="125"/>
      <c r="D170"/>
      <c r="E170" s="121"/>
      <c r="F170" s="74" t="s">
        <v>94</v>
      </c>
      <c r="G170" s="9"/>
    </row>
    <row r="171" spans="1:15" ht="60" customHeight="1" outlineLevel="1" x14ac:dyDescent="0.25">
      <c r="A171" s="94"/>
      <c r="B171" s="94"/>
      <c r="C171" s="125"/>
      <c r="D171"/>
      <c r="E171" s="121"/>
      <c r="F171" s="74" t="s">
        <v>94</v>
      </c>
      <c r="G171" s="126"/>
    </row>
  </sheetData>
  <mergeCells count="14">
    <mergeCell ref="A159:D159"/>
    <mergeCell ref="A168:D168"/>
    <mergeCell ref="A54:D54"/>
    <mergeCell ref="A61:D61"/>
    <mergeCell ref="A70:D70"/>
    <mergeCell ref="A78:D78"/>
    <mergeCell ref="A92:D92"/>
    <mergeCell ref="A97:D97"/>
    <mergeCell ref="A44:D44"/>
    <mergeCell ref="A5:D5"/>
    <mergeCell ref="A10:D10"/>
    <mergeCell ref="A15:D15"/>
    <mergeCell ref="A20:D20"/>
    <mergeCell ref="A38:D38"/>
  </mergeCells>
  <conditionalFormatting sqref="G171 G164">
    <cfRule type="cellIs" dxfId="572" priority="26" operator="equal">
      <formula>"ДА"</formula>
    </cfRule>
    <cfRule type="cellIs" dxfId="571" priority="27" operator="equal">
      <formula>"НЕТ"</formula>
    </cfRule>
    <cfRule type="cellIs" dxfId="570" priority="28" operator="equal">
      <formula>"Нет"</formula>
    </cfRule>
    <cfRule type="cellIs" dxfId="569" priority="29" operator="equal">
      <formula>"нет"</formula>
    </cfRule>
    <cfRule type="cellIs" dxfId="568" priority="30" operator="equal">
      <formula>"ДА"</formula>
    </cfRule>
    <cfRule type="containsText" dxfId="567" priority="31" operator="containsText" text="Да">
      <formula>NOT(ISERROR(SEARCH("Да",G164)))</formula>
    </cfRule>
  </conditionalFormatting>
  <conditionalFormatting sqref="E7 E12">
    <cfRule type="cellIs" dxfId="566" priority="38" operator="lessThan">
      <formula>0</formula>
    </cfRule>
    <cfRule type="cellIs" dxfId="565" priority="39" operator="greaterThan">
      <formula>0</formula>
    </cfRule>
  </conditionalFormatting>
  <conditionalFormatting sqref="D7 D12 E17">
    <cfRule type="cellIs" dxfId="564" priority="36" operator="lessThan">
      <formula>0</formula>
    </cfRule>
    <cfRule type="cellIs" dxfId="563" priority="37" operator="greaterThan">
      <formula>0</formula>
    </cfRule>
  </conditionalFormatting>
  <conditionalFormatting sqref="H63">
    <cfRule type="cellIs" dxfId="562" priority="34" operator="lessThan">
      <formula>1</formula>
    </cfRule>
    <cfRule type="cellIs" dxfId="561" priority="35" operator="greaterThan">
      <formula>1</formula>
    </cfRule>
  </conditionalFormatting>
  <conditionalFormatting sqref="H66">
    <cfRule type="cellIs" dxfId="560" priority="32" operator="lessThan">
      <formula>1</formula>
    </cfRule>
    <cfRule type="cellIs" dxfId="559" priority="33" operator="greaterThan">
      <formula>1</formula>
    </cfRule>
  </conditionalFormatting>
  <conditionalFormatting sqref="G170">
    <cfRule type="cellIs" dxfId="558" priority="20" operator="equal">
      <formula>"ДА"</formula>
    </cfRule>
    <cfRule type="cellIs" dxfId="557" priority="21" operator="equal">
      <formula>"НЕТ"</formula>
    </cfRule>
    <cfRule type="cellIs" dxfId="556" priority="22" operator="equal">
      <formula>"Нет"</formula>
    </cfRule>
    <cfRule type="cellIs" dxfId="555" priority="23" operator="equal">
      <formula>"нет"</formula>
    </cfRule>
    <cfRule type="cellIs" dxfId="554" priority="24" operator="equal">
      <formula>"ДА"</formula>
    </cfRule>
    <cfRule type="containsText" dxfId="553" priority="25" operator="containsText" text="Да">
      <formula>NOT(ISERROR(SEARCH("Да",G170)))</formula>
    </cfRule>
  </conditionalFormatting>
  <conditionalFormatting sqref="G161:G164">
    <cfRule type="cellIs" dxfId="552" priority="14" operator="equal">
      <formula>"ДА"</formula>
    </cfRule>
    <cfRule type="cellIs" dxfId="551" priority="15" operator="equal">
      <formula>"НЕТ"</formula>
    </cfRule>
    <cfRule type="cellIs" dxfId="550" priority="16" operator="equal">
      <formula>"Нет"</formula>
    </cfRule>
    <cfRule type="cellIs" dxfId="549" priority="17" operator="equal">
      <formula>"нет"</formula>
    </cfRule>
    <cfRule type="cellIs" dxfId="548" priority="18" operator="equal">
      <formula>"ДА"</formula>
    </cfRule>
    <cfRule type="containsText" dxfId="547" priority="19" operator="containsText" text="Да">
      <formula>NOT(ISERROR(SEARCH("Да",G161)))</formula>
    </cfRule>
  </conditionalFormatting>
  <conditionalFormatting sqref="B100:B105 B114:B129 B136:B153 B131:B134">
    <cfRule type="duplicateValues" dxfId="546" priority="67"/>
  </conditionalFormatting>
  <conditionalFormatting sqref="C161:C165">
    <cfRule type="cellIs" dxfId="545" priority="1" operator="equal">
      <formula>"ДА"</formula>
    </cfRule>
    <cfRule type="cellIs" dxfId="544" priority="2" operator="equal">
      <formula>"НЕТ"</formula>
    </cfRule>
    <cfRule type="cellIs" dxfId="543" priority="3" operator="equal">
      <formula>"Нет"</formula>
    </cfRule>
    <cfRule type="cellIs" dxfId="542" priority="4" operator="equal">
      <formula>"нет"</formula>
    </cfRule>
    <cfRule type="cellIs" dxfId="541" priority="5" operator="equal">
      <formula>"ДА"</formula>
    </cfRule>
    <cfRule type="containsText" dxfId="540" priority="6" operator="containsText" text="Да">
      <formula>NOT(ISERROR(SEARCH("Да",C161)))</formula>
    </cfRule>
  </conditionalFormatting>
  <pageMargins left="0.7" right="0.7" top="0.75" bottom="0.75" header="0.3" footer="0.3"/>
  <pageSetup paperSize="9" orientation="portrait" r:id="rId1"/>
  <legacy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DB4A-D671-4240-9AC4-C0D8CDABD3BC}">
  <dimension ref="A1:O177"/>
  <sheetViews>
    <sheetView zoomScale="85" zoomScaleNormal="85" workbookViewId="0">
      <selection activeCell="D27" sqref="D27"/>
    </sheetView>
  </sheetViews>
  <sheetFormatPr defaultColWidth="9.140625" defaultRowHeight="12.75" outlineLevelRow="1" x14ac:dyDescent="0.2"/>
  <cols>
    <col min="1" max="1" width="30.28515625" style="2" customWidth="1"/>
    <col min="2" max="2" width="31.7109375" style="2" customWidth="1"/>
    <col min="3" max="3" width="31.5703125" style="2" bestFit="1" customWidth="1"/>
    <col min="4" max="4" width="49.5703125" style="2" customWidth="1"/>
    <col min="5" max="5" width="34.85546875" style="2" customWidth="1"/>
    <col min="6" max="6" width="27.140625" style="2" customWidth="1"/>
    <col min="7" max="7" width="27.42578125" style="2" customWidth="1"/>
    <col min="8" max="8" width="36" style="2" customWidth="1"/>
    <col min="9" max="16384" width="9.140625" style="2"/>
  </cols>
  <sheetData>
    <row r="1" spans="1:7" ht="24.75" customHeight="1" x14ac:dyDescent="0.25">
      <c r="A1" s="134" t="s">
        <v>94</v>
      </c>
    </row>
    <row r="2" spans="1:7" ht="15.75" x14ac:dyDescent="0.25">
      <c r="A2" s="134" t="s">
        <v>856</v>
      </c>
    </row>
    <row r="3" spans="1:7" x14ac:dyDescent="0.2">
      <c r="A3" s="3"/>
    </row>
    <row r="4" spans="1:7" ht="15.75" x14ac:dyDescent="0.25">
      <c r="A4" s="1" t="s">
        <v>0</v>
      </c>
      <c r="B4" s="2" t="s">
        <v>1</v>
      </c>
      <c r="C4" s="2" t="s">
        <v>2</v>
      </c>
    </row>
    <row r="5" spans="1:7" ht="15" x14ac:dyDescent="0.25">
      <c r="A5" s="386" t="s">
        <v>3</v>
      </c>
      <c r="B5" s="386"/>
      <c r="C5" s="386"/>
      <c r="D5" s="386"/>
      <c r="F5" s="4"/>
    </row>
    <row r="6" spans="1:7" s="6" customFormat="1" outlineLevel="1" x14ac:dyDescent="0.2">
      <c r="A6" s="5" t="s">
        <v>4</v>
      </c>
      <c r="B6" s="5" t="s">
        <v>5</v>
      </c>
      <c r="C6" s="5" t="s">
        <v>6</v>
      </c>
      <c r="D6" s="5" t="s">
        <v>7</v>
      </c>
      <c r="E6" s="5" t="s">
        <v>8</v>
      </c>
      <c r="F6" s="5" t="s">
        <v>10</v>
      </c>
      <c r="G6" s="186"/>
    </row>
    <row r="7" spans="1:7" outlineLevel="1" x14ac:dyDescent="0.2">
      <c r="A7" s="7" t="s">
        <v>94</v>
      </c>
      <c r="B7" s="8">
        <f>C22</f>
        <v>170000</v>
      </c>
      <c r="C7" s="9">
        <f>B22</f>
        <v>255961.25</v>
      </c>
      <c r="D7" s="10">
        <f>Таблица110291630374451586572233037445158657279869310092235486276901041071271391511631831529476379951111271431591751834506682981141301465455615775896056196356516676837007171632476277[Факт, руб.]/Таблица110291630374451586572233037445158657279869310092235486276901041071271391511631831529476379951111271431591751834506682981141301465455615775896056196356516676837007171632476277[План, руб.]-100%</f>
        <v>0.50565441176470594</v>
      </c>
      <c r="E7" s="11">
        <f>Таблица110291630374451586572233037445158657279869310092235486276901041071271391511631831529476379951111271431591751834506682981141301465455615775896056196356516676837007171632476277[Факт, руб.]-Таблица110291630374451586572233037445158657279869310092235486276901041071271391511631831529476379951111271431591751834506682981141301465455615775896056196356516676837007171632476277[План, руб.]</f>
        <v>85961.25</v>
      </c>
      <c r="F7" s="9">
        <v>112351</v>
      </c>
      <c r="G7" s="185"/>
    </row>
    <row r="8" spans="1:7" x14ac:dyDescent="0.2">
      <c r="A8" s="12"/>
      <c r="B8" s="13"/>
      <c r="C8" s="13"/>
      <c r="D8" s="14"/>
      <c r="F8" s="15"/>
      <c r="G8" s="16"/>
    </row>
    <row r="9" spans="1:7" ht="15" customHeight="1" x14ac:dyDescent="0.2">
      <c r="A9" s="12"/>
      <c r="B9" s="13"/>
      <c r="C9" s="13"/>
      <c r="D9" s="14"/>
      <c r="F9" s="17"/>
    </row>
    <row r="10" spans="1:7" ht="15" x14ac:dyDescent="0.25">
      <c r="A10" s="386" t="s">
        <v>11</v>
      </c>
      <c r="B10" s="386"/>
      <c r="C10" s="386"/>
      <c r="D10" s="386"/>
      <c r="F10" s="17"/>
    </row>
    <row r="11" spans="1:7" s="6" customFormat="1" outlineLevel="1" x14ac:dyDescent="0.2">
      <c r="A11" s="18" t="s">
        <v>4</v>
      </c>
      <c r="B11" s="19" t="s">
        <v>12</v>
      </c>
      <c r="C11" s="19" t="s">
        <v>13</v>
      </c>
      <c r="D11" s="19" t="s">
        <v>7</v>
      </c>
      <c r="E11" s="19" t="s">
        <v>8</v>
      </c>
      <c r="F11" s="20"/>
    </row>
    <row r="12" spans="1:7" outlineLevel="1" x14ac:dyDescent="0.2">
      <c r="A12" s="7" t="s">
        <v>94</v>
      </c>
      <c r="B12" s="8">
        <f>SUM(C22)</f>
        <v>170000</v>
      </c>
      <c r="C12" s="8">
        <f>B34</f>
        <v>255961.25</v>
      </c>
      <c r="D12" s="21">
        <f>C12/B12-100%</f>
        <v>0.50565441176470594</v>
      </c>
      <c r="E12" s="8">
        <f>C12-B12</f>
        <v>85961.25</v>
      </c>
      <c r="F12" s="17"/>
      <c r="G12" s="22"/>
    </row>
    <row r="13" spans="1:7" x14ac:dyDescent="0.2">
      <c r="A13" s="12"/>
      <c r="B13" s="13"/>
      <c r="C13" s="13"/>
      <c r="D13" s="14"/>
      <c r="F13" s="17"/>
    </row>
    <row r="14" spans="1:7" x14ac:dyDescent="0.2">
      <c r="A14" s="13"/>
      <c r="B14" s="13"/>
      <c r="C14" s="13"/>
      <c r="D14" s="14"/>
      <c r="F14" s="17"/>
      <c r="G14" s="22"/>
    </row>
    <row r="15" spans="1:7" ht="15" x14ac:dyDescent="0.25">
      <c r="A15" s="386" t="s">
        <v>393</v>
      </c>
      <c r="B15" s="386"/>
      <c r="C15" s="386"/>
      <c r="D15" s="386"/>
      <c r="F15" s="17"/>
    </row>
    <row r="16" spans="1:7" s="6" customFormat="1" outlineLevel="1" x14ac:dyDescent="0.2">
      <c r="A16" s="5" t="s">
        <v>4</v>
      </c>
      <c r="B16" s="5" t="s">
        <v>16</v>
      </c>
      <c r="C16" s="5" t="s">
        <v>93</v>
      </c>
      <c r="D16" s="5" t="s">
        <v>1037</v>
      </c>
      <c r="E16" s="5" t="s">
        <v>17</v>
      </c>
      <c r="F16" s="23"/>
    </row>
    <row r="17" spans="1:5" outlineLevel="1" x14ac:dyDescent="0.2">
      <c r="A17" s="7" t="s">
        <v>94</v>
      </c>
      <c r="B17" s="8">
        <v>0</v>
      </c>
      <c r="C17" s="24">
        <v>0</v>
      </c>
      <c r="D17" s="24">
        <f>B34</f>
        <v>255961.25</v>
      </c>
      <c r="E17" s="21" t="e">
        <f>Таблица2113017313845525966732431384552596673808794101102336496377911051091281401521641841632486480961121281441601761935516783991151311475465625785906066206366526686847017181733486378[Профит ФГ 25-26]/Таблица2113017313845525966732431384552596673808794101102336496377911051091281401521641841632486480961121281441601761935516783991151311475465625785906066206366526686847017181733486378[Профит ФГ 24-25]</f>
        <v>#DIV/0!</v>
      </c>
    </row>
    <row r="20" spans="1:5" ht="15" x14ac:dyDescent="0.25">
      <c r="A20" s="386" t="s">
        <v>18</v>
      </c>
      <c r="B20" s="386"/>
      <c r="C20" s="386"/>
      <c r="D20" s="386"/>
    </row>
    <row r="21" spans="1:5" outlineLevel="1" x14ac:dyDescent="0.2">
      <c r="A21" s="25" t="s">
        <v>19</v>
      </c>
      <c r="B21" s="26" t="s">
        <v>20</v>
      </c>
      <c r="C21" s="26" t="s">
        <v>21</v>
      </c>
      <c r="D21" s="25" t="s">
        <v>22</v>
      </c>
    </row>
    <row r="22" spans="1:5" outlineLevel="1" x14ac:dyDescent="0.2">
      <c r="A22" s="30" t="s">
        <v>23</v>
      </c>
      <c r="B22" s="31">
        <v>255961.25</v>
      </c>
      <c r="C22" s="31">
        <v>170000</v>
      </c>
      <c r="D22" s="32">
        <f>Таблица4936997167333146617691[[#This Row],[Профит]]/Таблица4936997167333146617691[[#This Row],[План]]</f>
        <v>1.5056544117647059</v>
      </c>
    </row>
    <row r="23" spans="1:5" outlineLevel="1" x14ac:dyDescent="0.2">
      <c r="A23" s="30" t="s">
        <v>25</v>
      </c>
      <c r="B23" s="31">
        <v>0</v>
      </c>
      <c r="C23" s="31">
        <v>190000</v>
      </c>
      <c r="D23" s="32">
        <f>Таблица4936997167333146617691[[#This Row],[Профит]]/Таблица4936997167333146617691[[#This Row],[План]]</f>
        <v>0</v>
      </c>
    </row>
    <row r="24" spans="1:5" outlineLevel="1" x14ac:dyDescent="0.2">
      <c r="A24" s="30" t="s">
        <v>26</v>
      </c>
      <c r="B24" s="31">
        <v>0</v>
      </c>
      <c r="C24" s="31">
        <v>210000</v>
      </c>
      <c r="D24" s="32">
        <f>Таблица4936997167333146617691[[#This Row],[Профит]]/Таблица4936997167333146617691[[#This Row],[План]]</f>
        <v>0</v>
      </c>
    </row>
    <row r="25" spans="1:5" outlineLevel="1" x14ac:dyDescent="0.2">
      <c r="A25" s="30" t="s">
        <v>27</v>
      </c>
      <c r="B25" s="31">
        <v>0</v>
      </c>
      <c r="C25" s="31">
        <v>220000</v>
      </c>
      <c r="D25" s="32">
        <f>Таблица4936997167333146617691[[#This Row],[Профит]]/Таблица4936997167333146617691[[#This Row],[План]]</f>
        <v>0</v>
      </c>
    </row>
    <row r="26" spans="1:5" outlineLevel="1" x14ac:dyDescent="0.2">
      <c r="A26" s="30" t="s">
        <v>28</v>
      </c>
      <c r="B26" s="31">
        <v>0</v>
      </c>
      <c r="C26" s="31">
        <v>250000</v>
      </c>
      <c r="D26" s="32">
        <f>Таблица4936997167333146617691[[#This Row],[Профит]]/Таблица4936997167333146617691[[#This Row],[План]]</f>
        <v>0</v>
      </c>
    </row>
    <row r="27" spans="1:5" outlineLevel="1" x14ac:dyDescent="0.2">
      <c r="A27" s="30" t="s">
        <v>29</v>
      </c>
      <c r="B27" s="31">
        <v>0</v>
      </c>
      <c r="C27" s="31">
        <v>270000</v>
      </c>
      <c r="D27" s="32">
        <f>Таблица4936997167333146617691[[#This Row],[Профит]]/Таблица4936997167333146617691[[#This Row],[План]]</f>
        <v>0</v>
      </c>
    </row>
    <row r="28" spans="1:5" outlineLevel="1" x14ac:dyDescent="0.2">
      <c r="A28" s="30" t="s">
        <v>30</v>
      </c>
      <c r="B28" s="31">
        <v>0</v>
      </c>
      <c r="C28" s="31">
        <v>270000</v>
      </c>
      <c r="D28" s="32">
        <f>Таблица4936997167333146617691[[#This Row],[Профит]]/Таблица4936997167333146617691[[#This Row],[План]]</f>
        <v>0</v>
      </c>
    </row>
    <row r="29" spans="1:5" outlineLevel="1" x14ac:dyDescent="0.2">
      <c r="A29" s="30" t="s">
        <v>31</v>
      </c>
      <c r="B29" s="31">
        <v>0</v>
      </c>
      <c r="C29" s="31">
        <v>330000</v>
      </c>
      <c r="D29" s="32">
        <f>Таблица4936997167333146617691[[#This Row],[Профит]]/Таблица4936997167333146617691[[#This Row],[План]]</f>
        <v>0</v>
      </c>
    </row>
    <row r="30" spans="1:5" outlineLevel="1" x14ac:dyDescent="0.2">
      <c r="A30" s="30" t="s">
        <v>32</v>
      </c>
      <c r="B30" s="34">
        <v>0</v>
      </c>
      <c r="C30" s="34">
        <v>390000</v>
      </c>
      <c r="D30" s="32">
        <f>Таблица4936997167333146617691[[#This Row],[Профит]]/Таблица4936997167333146617691[[#This Row],[План]]</f>
        <v>0</v>
      </c>
    </row>
    <row r="31" spans="1:5" outlineLevel="1" x14ac:dyDescent="0.2">
      <c r="A31" s="30" t="s">
        <v>33</v>
      </c>
      <c r="B31" s="34">
        <v>0</v>
      </c>
      <c r="C31" s="34">
        <v>300000</v>
      </c>
      <c r="D31" s="32">
        <f>Таблица4936997167333146617691[[#This Row],[Профит]]/Таблица4936997167333146617691[[#This Row],[План]]</f>
        <v>0</v>
      </c>
    </row>
    <row r="32" spans="1:5" outlineLevel="1" x14ac:dyDescent="0.2">
      <c r="A32" s="30" t="s">
        <v>34</v>
      </c>
      <c r="B32" s="34">
        <v>0</v>
      </c>
      <c r="C32" s="34">
        <v>330000</v>
      </c>
      <c r="D32" s="32">
        <f>Таблица4936997167333146617691[[#This Row],[Профит]]/Таблица4936997167333146617691[[#This Row],[План]]</f>
        <v>0</v>
      </c>
    </row>
    <row r="33" spans="1:8" outlineLevel="1" x14ac:dyDescent="0.2">
      <c r="A33" s="33" t="s">
        <v>35</v>
      </c>
      <c r="B33" s="34">
        <v>0</v>
      </c>
      <c r="C33" s="34">
        <v>360000</v>
      </c>
      <c r="D33" s="32">
        <f>Таблица4936997167333146617691[[#This Row],[Профит]]/Таблица4936997167333146617691[[#This Row],[План]]</f>
        <v>0</v>
      </c>
      <c r="H33" s="35"/>
    </row>
    <row r="34" spans="1:8" ht="15" outlineLevel="1" x14ac:dyDescent="0.25">
      <c r="A34" s="36" t="s">
        <v>36</v>
      </c>
      <c r="B34" s="37">
        <f>SUM(B22:B33)</f>
        <v>255961.25</v>
      </c>
      <c r="C34" s="38">
        <f>SUM(C22:C33)</f>
        <v>3290000</v>
      </c>
      <c r="D34" s="39"/>
    </row>
    <row r="35" spans="1:8" outlineLevel="1" x14ac:dyDescent="0.2">
      <c r="A35" s="41" t="s">
        <v>37</v>
      </c>
      <c r="B35" s="42">
        <f>AVERAGE(B22)</f>
        <v>255961.25</v>
      </c>
      <c r="C35" s="42">
        <f>AVERAGE(C22:C33)</f>
        <v>274166.66666666669</v>
      </c>
      <c r="D35" s="43">
        <f>B35/C35</f>
        <v>0.93359726443768987</v>
      </c>
    </row>
    <row r="38" spans="1:8" ht="15" x14ac:dyDescent="0.25">
      <c r="A38" s="386" t="s">
        <v>38</v>
      </c>
      <c r="B38" s="386"/>
      <c r="C38" s="386"/>
      <c r="D38" s="386"/>
    </row>
    <row r="39" spans="1:8" s="45" customFormat="1" outlineLevel="1" x14ac:dyDescent="0.2">
      <c r="A39" s="44" t="s">
        <v>39</v>
      </c>
      <c r="B39" s="44" t="s">
        <v>40</v>
      </c>
      <c r="C39" s="44" t="s">
        <v>41</v>
      </c>
      <c r="D39" s="44" t="s">
        <v>42</v>
      </c>
      <c r="E39" s="44" t="s">
        <v>43</v>
      </c>
      <c r="F39" s="2"/>
    </row>
    <row r="40" spans="1:8" outlineLevel="1" x14ac:dyDescent="0.2">
      <c r="A40" s="8">
        <f>B22</f>
        <v>255961.25</v>
      </c>
      <c r="B40" s="46">
        <f>50000</f>
        <v>50000</v>
      </c>
      <c r="C40" s="136">
        <f>A40*0.06</f>
        <v>15357.674999999999</v>
      </c>
      <c r="D40" s="47">
        <f>SUM(G169:G171)</f>
        <v>22100</v>
      </c>
      <c r="E40" s="48">
        <v>0</v>
      </c>
    </row>
    <row r="41" spans="1:8" outlineLevel="1" x14ac:dyDescent="0.2">
      <c r="A41" s="49" t="s">
        <v>44</v>
      </c>
      <c r="B41" s="137">
        <f>Таблица294459759110712313915517118730466278941101261421585565725886026166306466626786947117282843587388[Оклад]+Таблица294459759110712313915517118730466278941101261421585565725886026166306466626786947117282843587388[Премия]+Таблица294459759110712313915517118730466278941101261421585565725886026166306466626786947117282843587388[Штрафы]+Таблица294459759110712313915517118730466278941101261421585565725886026166306466626786947117282843587388[Доплата за Задачи]</f>
        <v>87457.675000000003</v>
      </c>
      <c r="C41" s="50"/>
    </row>
    <row r="42" spans="1:8" x14ac:dyDescent="0.2">
      <c r="A42" s="40"/>
      <c r="B42" s="40"/>
    </row>
    <row r="43" spans="1:8" x14ac:dyDescent="0.2">
      <c r="A43" s="51"/>
      <c r="B43" s="51"/>
      <c r="C43" s="51"/>
      <c r="D43" s="52"/>
      <c r="E43" s="53"/>
      <c r="F43" s="53"/>
      <c r="H43" s="22"/>
    </row>
    <row r="44" spans="1:8" ht="15" x14ac:dyDescent="0.25">
      <c r="A44" s="386" t="s">
        <v>45</v>
      </c>
      <c r="B44" s="386"/>
      <c r="C44" s="386"/>
      <c r="D44" s="386"/>
      <c r="E44" s="53"/>
      <c r="F44" s="53"/>
      <c r="H44" s="22"/>
    </row>
    <row r="45" spans="1:8" outlineLevel="1" x14ac:dyDescent="0.2">
      <c r="A45" s="5" t="s">
        <v>46</v>
      </c>
      <c r="B45" s="5" t="s">
        <v>47</v>
      </c>
      <c r="C45" s="5" t="s">
        <v>48</v>
      </c>
      <c r="D45" s="54" t="s">
        <v>49</v>
      </c>
      <c r="G45" s="40"/>
    </row>
    <row r="46" spans="1:8" ht="24.95" customHeight="1" outlineLevel="1" x14ac:dyDescent="0.2">
      <c r="A46" s="55"/>
      <c r="B46" s="56">
        <v>0</v>
      </c>
      <c r="C46" s="56">
        <v>0</v>
      </c>
      <c r="D46" s="57">
        <v>0</v>
      </c>
      <c r="G46" s="40"/>
    </row>
    <row r="47" spans="1:8" ht="24.95" customHeight="1" outlineLevel="1" x14ac:dyDescent="0.2">
      <c r="A47" s="55" t="s">
        <v>24</v>
      </c>
      <c r="B47" s="58"/>
      <c r="C47" s="58"/>
      <c r="D47" s="57">
        <v>0</v>
      </c>
      <c r="G47" s="40"/>
    </row>
    <row r="48" spans="1:8" ht="24.95" customHeight="1" outlineLevel="1" x14ac:dyDescent="0.2">
      <c r="A48" s="55" t="s">
        <v>24</v>
      </c>
      <c r="B48" s="60"/>
      <c r="C48" s="60"/>
      <c r="D48" s="61">
        <v>0</v>
      </c>
      <c r="G48" s="62"/>
      <c r="H48" s="6"/>
    </row>
    <row r="49" spans="1:8" outlineLevel="1" x14ac:dyDescent="0.2">
      <c r="A49" s="63"/>
      <c r="B49" s="64" t="s">
        <v>50</v>
      </c>
      <c r="C49" s="65">
        <f>SUM(Таблица5462433183239465360677425323946536067748188951021124375064789210611012914115316518517334965819711312914516117720365268841001161321485475635795936076216376536696857027191934496479[Общая сумма долга])</f>
        <v>0</v>
      </c>
      <c r="D49" s="66">
        <v>0.59960000000000002</v>
      </c>
      <c r="E49" s="67" t="s">
        <v>51</v>
      </c>
      <c r="F49" s="51"/>
      <c r="G49" s="51"/>
      <c r="H49" s="51"/>
    </row>
    <row r="50" spans="1:8" outlineLevel="1" x14ac:dyDescent="0.2">
      <c r="A50" s="63"/>
      <c r="B50" s="64"/>
      <c r="C50" s="65"/>
      <c r="D50" s="51"/>
      <c r="E50" s="51"/>
      <c r="F50" s="51"/>
      <c r="G50" s="51"/>
      <c r="H50" s="51"/>
    </row>
    <row r="51" spans="1:8" x14ac:dyDescent="0.2">
      <c r="A51" s="63"/>
      <c r="B51" s="51"/>
      <c r="C51" s="51"/>
      <c r="D51" s="52"/>
      <c r="E51" s="51"/>
      <c r="F51" s="53"/>
      <c r="G51" s="51"/>
      <c r="H51" s="68"/>
    </row>
    <row r="52" spans="1:8" x14ac:dyDescent="0.2">
      <c r="A52" s="63"/>
      <c r="B52" s="51"/>
      <c r="C52" s="51"/>
      <c r="D52" s="52"/>
      <c r="E52" s="51"/>
      <c r="F52" s="53"/>
      <c r="G52" s="51"/>
      <c r="H52" s="68"/>
    </row>
    <row r="53" spans="1:8" ht="15" x14ac:dyDescent="0.25">
      <c r="A53" s="386" t="s">
        <v>52</v>
      </c>
      <c r="B53" s="386"/>
      <c r="C53" s="386"/>
      <c r="D53" s="386"/>
      <c r="E53" s="53"/>
      <c r="F53" s="53"/>
      <c r="G53" s="51"/>
    </row>
    <row r="54" spans="1:8" s="6" customFormat="1" outlineLevel="1" x14ac:dyDescent="0.2">
      <c r="A54" s="18" t="s">
        <v>53</v>
      </c>
      <c r="B54" s="19" t="s">
        <v>54</v>
      </c>
      <c r="C54" s="19" t="s">
        <v>55</v>
      </c>
      <c r="D54" s="69" t="s">
        <v>56</v>
      </c>
      <c r="E54" s="69" t="s">
        <v>4</v>
      </c>
      <c r="F54" s="70" t="s">
        <v>57</v>
      </c>
    </row>
    <row r="55" spans="1:8" s="6" customFormat="1" ht="26.25" customHeight="1" outlineLevel="1" x14ac:dyDescent="0.2">
      <c r="A55" s="173" t="s">
        <v>991</v>
      </c>
      <c r="B55" s="131">
        <v>67669.33</v>
      </c>
      <c r="C55" s="131">
        <v>67669.33</v>
      </c>
      <c r="D55" s="251">
        <v>1</v>
      </c>
      <c r="E55" s="177" t="s">
        <v>94</v>
      </c>
      <c r="F55" s="177" t="s">
        <v>994</v>
      </c>
    </row>
    <row r="56" spans="1:8" s="6" customFormat="1" ht="24" customHeight="1" outlineLevel="1" x14ac:dyDescent="0.2">
      <c r="A56" s="94" t="s">
        <v>818</v>
      </c>
      <c r="B56" s="246">
        <v>229707</v>
      </c>
      <c r="C56" s="131">
        <v>62229.43</v>
      </c>
      <c r="D56" s="247">
        <v>0.372</v>
      </c>
      <c r="E56" s="177" t="s">
        <v>94</v>
      </c>
      <c r="F56" s="248" t="s">
        <v>987</v>
      </c>
    </row>
    <row r="57" spans="1:8" ht="24.95" customHeight="1" outlineLevel="1" x14ac:dyDescent="0.2">
      <c r="A57" s="173" t="s">
        <v>992</v>
      </c>
      <c r="B57" s="246">
        <v>39516.67</v>
      </c>
      <c r="C57" s="131">
        <v>39516.67</v>
      </c>
      <c r="D57" s="249">
        <v>1</v>
      </c>
      <c r="E57" s="177" t="s">
        <v>94</v>
      </c>
      <c r="F57" s="250" t="s">
        <v>993</v>
      </c>
    </row>
    <row r="58" spans="1:8" ht="24.95" customHeight="1" outlineLevel="1" x14ac:dyDescent="0.2">
      <c r="A58" s="230" t="s">
        <v>837</v>
      </c>
      <c r="B58" s="246">
        <v>166500</v>
      </c>
      <c r="C58" s="131">
        <v>26500</v>
      </c>
      <c r="D58" s="247">
        <v>0.189</v>
      </c>
      <c r="E58" s="177" t="s">
        <v>94</v>
      </c>
      <c r="F58" s="248" t="s">
        <v>184</v>
      </c>
    </row>
    <row r="59" spans="1:8" ht="24.95" customHeight="1" outlineLevel="1" x14ac:dyDescent="0.2">
      <c r="A59" s="173" t="s">
        <v>96</v>
      </c>
      <c r="B59" s="246">
        <v>125235.67</v>
      </c>
      <c r="C59" s="131">
        <v>20490.150000000001</v>
      </c>
      <c r="D59" s="249">
        <v>0.19600000000000001</v>
      </c>
      <c r="E59" s="177" t="s">
        <v>94</v>
      </c>
      <c r="F59" s="250" t="s">
        <v>990</v>
      </c>
    </row>
    <row r="60" spans="1:8" ht="24.95" customHeight="1" outlineLevel="1" x14ac:dyDescent="0.2">
      <c r="A60" s="173" t="s">
        <v>820</v>
      </c>
      <c r="B60" s="131">
        <v>99000</v>
      </c>
      <c r="C60" s="131">
        <v>15876</v>
      </c>
      <c r="D60" s="251">
        <v>0.191</v>
      </c>
      <c r="E60" s="177" t="s">
        <v>94</v>
      </c>
      <c r="F60" s="250" t="s">
        <v>989</v>
      </c>
    </row>
    <row r="61" spans="1:8" ht="24.95" customHeight="1" outlineLevel="1" x14ac:dyDescent="0.2">
      <c r="A61" s="177" t="s">
        <v>985</v>
      </c>
      <c r="B61" s="131">
        <v>97360</v>
      </c>
      <c r="C61" s="131">
        <v>10611.28</v>
      </c>
      <c r="D61" s="251">
        <v>0.122</v>
      </c>
      <c r="E61" s="177" t="s">
        <v>94</v>
      </c>
      <c r="F61" s="250" t="s">
        <v>988</v>
      </c>
    </row>
    <row r="62" spans="1:8" ht="24.95" customHeight="1" outlineLevel="1" x14ac:dyDescent="0.2">
      <c r="A62" s="173" t="s">
        <v>986</v>
      </c>
      <c r="B62" s="131">
        <v>58000</v>
      </c>
      <c r="C62" s="131">
        <v>4956.66</v>
      </c>
      <c r="D62" s="251">
        <v>9.2999999999999999E-2</v>
      </c>
      <c r="E62" s="177" t="s">
        <v>94</v>
      </c>
      <c r="F62" s="252" t="s">
        <v>990</v>
      </c>
    </row>
    <row r="63" spans="1:8" x14ac:dyDescent="0.2">
      <c r="A63" s="51"/>
      <c r="B63" s="51"/>
      <c r="C63" s="51"/>
      <c r="D63" s="52"/>
      <c r="E63" s="51"/>
      <c r="F63" s="53"/>
      <c r="G63" s="51"/>
    </row>
    <row r="64" spans="1:8" ht="15" x14ac:dyDescent="0.25">
      <c r="A64" s="386" t="s">
        <v>58</v>
      </c>
      <c r="B64" s="386"/>
      <c r="C64" s="386"/>
      <c r="D64" s="386"/>
      <c r="E64" s="79"/>
      <c r="F64" s="79"/>
    </row>
    <row r="65" spans="1:9" ht="15" customHeight="1" outlineLevel="1" x14ac:dyDescent="0.2">
      <c r="A65" s="80">
        <v>45778</v>
      </c>
      <c r="B65" s="81" t="s">
        <v>21</v>
      </c>
      <c r="C65" s="81" t="s">
        <v>59</v>
      </c>
      <c r="D65" s="81" t="s">
        <v>60</v>
      </c>
      <c r="E65" s="81" t="s">
        <v>61</v>
      </c>
      <c r="F65" s="81" t="s">
        <v>62</v>
      </c>
      <c r="G65" s="81" t="s">
        <v>63</v>
      </c>
      <c r="H65" s="81" t="s">
        <v>64</v>
      </c>
    </row>
    <row r="66" spans="1:9" outlineLevel="1" x14ac:dyDescent="0.2">
      <c r="A66" s="82"/>
      <c r="B66" s="83">
        <v>190000</v>
      </c>
      <c r="C66" s="24">
        <v>0</v>
      </c>
      <c r="D66" s="83">
        <v>42000</v>
      </c>
      <c r="E66" s="83">
        <v>107000</v>
      </c>
      <c r="F66" s="84">
        <v>440000</v>
      </c>
      <c r="G66" s="84">
        <f>C66+D66+E66*0.5+F66*0.05</f>
        <v>117500</v>
      </c>
      <c r="H66" s="85">
        <f>Таблица9132738193340475461687582899682891101171241311381451521591661731801871945121926334047546168758289961031101171241311381451521591661741821902052131241361481601721922440627894110126142158174190334965819711312914516155957559160361763164766367969571789[[#This Row],[Столбец6]]/Таблица9132738193340475461687582899682891101171241311381451521591661731801871945121926334047546168758289961031101171241311381451521591661741821902052131241361481601721922440627894110126142158174190334965819711312914516155957559160361763164766367969571789[[#This Row],[Столбец1]]</f>
        <v>0.61842105263157898</v>
      </c>
    </row>
    <row r="67" spans="1:9" outlineLevel="1" x14ac:dyDescent="0.2">
      <c r="A67" s="40"/>
      <c r="B67" s="40"/>
      <c r="C67" s="40"/>
      <c r="D67" s="40"/>
      <c r="E67" s="40"/>
      <c r="F67" s="40"/>
      <c r="G67" s="40"/>
      <c r="H67" s="86"/>
    </row>
    <row r="68" spans="1:9" outlineLevel="1" x14ac:dyDescent="0.2">
      <c r="A68" s="80">
        <v>45809</v>
      </c>
      <c r="B68" s="81" t="s">
        <v>21</v>
      </c>
      <c r="C68" s="81" t="s">
        <v>59</v>
      </c>
      <c r="D68" s="81" t="s">
        <v>60</v>
      </c>
      <c r="E68" s="81" t="s">
        <v>61</v>
      </c>
      <c r="F68" s="81" t="s">
        <v>62</v>
      </c>
      <c r="G68" s="81" t="s">
        <v>63</v>
      </c>
      <c r="H68" s="81" t="s">
        <v>64</v>
      </c>
    </row>
    <row r="69" spans="1:9" ht="15" customHeight="1" outlineLevel="1" x14ac:dyDescent="0.2">
      <c r="A69" s="87"/>
      <c r="B69" s="83">
        <v>210000</v>
      </c>
      <c r="C69" s="24">
        <v>0</v>
      </c>
      <c r="D69" s="24">
        <v>0</v>
      </c>
      <c r="E69" s="83">
        <v>40000</v>
      </c>
      <c r="F69" s="234">
        <v>82700</v>
      </c>
      <c r="G69" s="83">
        <f>D69+C69+E69*0.5+F69*0.05</f>
        <v>24135</v>
      </c>
      <c r="H69" s="85">
        <f>Таблица9132738193340475461687582899682891101171241311381451521591661731801871945121926334047546168758289961031101171241311381451521591661741821902052131191251371491611731932541567288104120136152168184274359759110712313915555356958559961362764365967569785[[#This Row],[Столбец6]]/Таблица9132738193340475461687582899682891101171241311381451521591661731801871945121926334047546168758289961031101171241311381451521591661741821902052131191251371491611731932541567288104120136152168184274359759110712313915555356958559961362764365967569785[[#This Row],[Столбец1]]</f>
        <v>0.11492857142857144</v>
      </c>
    </row>
    <row r="70" spans="1:9" x14ac:dyDescent="0.2">
      <c r="A70" s="63"/>
      <c r="B70" s="51"/>
      <c r="C70" s="51"/>
      <c r="D70" s="52"/>
      <c r="E70" s="51"/>
    </row>
    <row r="71" spans="1:9" x14ac:dyDescent="0.2">
      <c r="A71" s="51"/>
      <c r="B71" s="51"/>
      <c r="C71" s="51"/>
      <c r="D71" s="52"/>
      <c r="E71" s="51"/>
    </row>
    <row r="72" spans="1:9" ht="15.75" x14ac:dyDescent="0.25">
      <c r="A72" s="88" t="s">
        <v>65</v>
      </c>
      <c r="B72" s="89"/>
    </row>
    <row r="73" spans="1:9" ht="15" x14ac:dyDescent="0.25">
      <c r="A73" s="387" t="s">
        <v>66</v>
      </c>
      <c r="B73" s="387"/>
      <c r="C73" s="387"/>
      <c r="D73" s="387"/>
      <c r="E73" s="90"/>
      <c r="F73" s="90"/>
      <c r="G73" s="235">
        <f>SUM(Таблица4211720344148556269768390978390111118125132139146153160167174181188195613202734414855626976839097104111118125132139146153160167175183198206214123135147159171191233955718710311913515116718326425874901061221381545525685845986126266426586746907077284[Сумма, тыс. руб.])*1000</f>
        <v>3624000</v>
      </c>
    </row>
    <row r="74" spans="1:9" outlineLevel="1" x14ac:dyDescent="0.2">
      <c r="A74" s="91" t="s">
        <v>67</v>
      </c>
      <c r="B74" s="91" t="s">
        <v>53</v>
      </c>
      <c r="C74" s="91" t="s">
        <v>4</v>
      </c>
      <c r="D74" s="91" t="s">
        <v>68</v>
      </c>
      <c r="E74" s="91" t="s">
        <v>69</v>
      </c>
      <c r="F74" s="91" t="s">
        <v>70</v>
      </c>
      <c r="G74" s="91" t="s">
        <v>71</v>
      </c>
      <c r="H74" s="91" t="s">
        <v>72</v>
      </c>
    </row>
    <row r="75" spans="1:9" ht="24.95" customHeight="1" outlineLevel="1" x14ac:dyDescent="0.2">
      <c r="A75" s="230" t="s">
        <v>995</v>
      </c>
      <c r="B75" s="230" t="s">
        <v>1008</v>
      </c>
      <c r="C75" s="177" t="s">
        <v>94</v>
      </c>
      <c r="D75" s="173" t="s">
        <v>573</v>
      </c>
      <c r="E75" s="230" t="s">
        <v>994</v>
      </c>
      <c r="F75" s="224">
        <v>45778</v>
      </c>
      <c r="G75" s="131">
        <v>500</v>
      </c>
      <c r="H75" s="173" t="s">
        <v>996</v>
      </c>
    </row>
    <row r="76" spans="1:9" ht="24.95" customHeight="1" outlineLevel="1" x14ac:dyDescent="0.2">
      <c r="A76" s="190" t="s">
        <v>1020</v>
      </c>
      <c r="B76" s="176" t="s">
        <v>954</v>
      </c>
      <c r="C76" s="177" t="s">
        <v>94</v>
      </c>
      <c r="D76" s="173" t="s">
        <v>73</v>
      </c>
      <c r="E76" s="178" t="s">
        <v>102</v>
      </c>
      <c r="F76" s="224">
        <v>45778</v>
      </c>
      <c r="G76" s="131">
        <v>456</v>
      </c>
      <c r="H76" s="173" t="s">
        <v>1019</v>
      </c>
    </row>
    <row r="77" spans="1:9" ht="24.95" customHeight="1" outlineLevel="1" x14ac:dyDescent="0.2">
      <c r="A77" s="190" t="s">
        <v>999</v>
      </c>
      <c r="B77" s="176" t="s">
        <v>992</v>
      </c>
      <c r="C77" s="177" t="s">
        <v>94</v>
      </c>
      <c r="D77" s="177" t="s">
        <v>73</v>
      </c>
      <c r="E77" s="178" t="s">
        <v>1000</v>
      </c>
      <c r="F77" s="179">
        <v>45809</v>
      </c>
      <c r="G77" s="131">
        <v>450</v>
      </c>
      <c r="H77" s="173" t="s">
        <v>996</v>
      </c>
      <c r="I77" s="236"/>
    </row>
    <row r="78" spans="1:9" ht="24.95" customHeight="1" outlineLevel="1" x14ac:dyDescent="0.2">
      <c r="A78" s="173" t="s">
        <v>1002</v>
      </c>
      <c r="B78" s="173" t="s">
        <v>818</v>
      </c>
      <c r="C78" s="177" t="s">
        <v>94</v>
      </c>
      <c r="D78" s="173" t="s">
        <v>73</v>
      </c>
      <c r="E78" s="173" t="s">
        <v>1003</v>
      </c>
      <c r="F78" s="224">
        <v>45778</v>
      </c>
      <c r="G78" s="225">
        <v>400</v>
      </c>
      <c r="H78" s="173" t="s">
        <v>168</v>
      </c>
      <c r="I78" s="236"/>
    </row>
    <row r="79" spans="1:9" ht="24.95" customHeight="1" outlineLevel="1" x14ac:dyDescent="0.2">
      <c r="A79" s="230" t="s">
        <v>1005</v>
      </c>
      <c r="B79" s="230" t="s">
        <v>1006</v>
      </c>
      <c r="C79" s="177" t="s">
        <v>94</v>
      </c>
      <c r="D79" s="173" t="s">
        <v>573</v>
      </c>
      <c r="E79" s="230" t="s">
        <v>1004</v>
      </c>
      <c r="F79" s="224">
        <v>45778</v>
      </c>
      <c r="G79" s="131">
        <v>386</v>
      </c>
      <c r="H79" s="173" t="s">
        <v>168</v>
      </c>
      <c r="I79" s="236"/>
    </row>
    <row r="80" spans="1:9" ht="24.95" customHeight="1" outlineLevel="1" x14ac:dyDescent="0.2">
      <c r="A80" s="173" t="s">
        <v>1021</v>
      </c>
      <c r="B80" s="220" t="s">
        <v>1022</v>
      </c>
      <c r="C80" s="177" t="s">
        <v>94</v>
      </c>
      <c r="D80" s="93" t="s">
        <v>573</v>
      </c>
      <c r="E80" s="221" t="s">
        <v>994</v>
      </c>
      <c r="F80" s="224">
        <v>45778</v>
      </c>
      <c r="G80" s="72">
        <v>380</v>
      </c>
      <c r="H80" s="173" t="s">
        <v>996</v>
      </c>
      <c r="I80" s="236"/>
    </row>
    <row r="81" spans="1:9" ht="24.95" customHeight="1" outlineLevel="1" x14ac:dyDescent="0.2">
      <c r="A81" s="74" t="s">
        <v>822</v>
      </c>
      <c r="B81" s="220" t="s">
        <v>1038</v>
      </c>
      <c r="C81" s="93" t="s">
        <v>94</v>
      </c>
      <c r="D81" s="94" t="s">
        <v>573</v>
      </c>
      <c r="E81" s="74" t="s">
        <v>1004</v>
      </c>
      <c r="F81" s="218">
        <v>45778</v>
      </c>
      <c r="G81" s="72">
        <v>351</v>
      </c>
      <c r="H81" s="94" t="s">
        <v>168</v>
      </c>
      <c r="I81" s="236"/>
    </row>
    <row r="82" spans="1:9" ht="24.95" customHeight="1" outlineLevel="1" x14ac:dyDescent="0.2">
      <c r="A82" s="230" t="s">
        <v>1015</v>
      </c>
      <c r="B82" s="230" t="s">
        <v>1014</v>
      </c>
      <c r="C82" s="177" t="s">
        <v>94</v>
      </c>
      <c r="D82" s="173" t="s">
        <v>73</v>
      </c>
      <c r="E82" s="173" t="s">
        <v>1016</v>
      </c>
      <c r="F82" s="224">
        <v>45778</v>
      </c>
      <c r="G82" s="131">
        <v>350</v>
      </c>
      <c r="H82" s="173" t="s">
        <v>168</v>
      </c>
      <c r="I82" s="236"/>
    </row>
    <row r="83" spans="1:9" ht="24.95" customHeight="1" outlineLevel="1" x14ac:dyDescent="0.2">
      <c r="A83" s="190" t="s">
        <v>637</v>
      </c>
      <c r="B83" s="220" t="s">
        <v>638</v>
      </c>
      <c r="C83" s="177" t="s">
        <v>94</v>
      </c>
      <c r="D83" s="221" t="s">
        <v>73</v>
      </c>
      <c r="E83" s="221" t="s">
        <v>1043</v>
      </c>
      <c r="F83" s="224">
        <v>45778</v>
      </c>
      <c r="G83" s="72">
        <v>294</v>
      </c>
      <c r="H83" s="173" t="s">
        <v>168</v>
      </c>
      <c r="I83" s="236"/>
    </row>
    <row r="84" spans="1:9" ht="24.95" customHeight="1" outlineLevel="1" x14ac:dyDescent="0.2">
      <c r="A84" s="74" t="s">
        <v>1039</v>
      </c>
      <c r="B84" s="74" t="s">
        <v>1040</v>
      </c>
      <c r="C84" s="93" t="s">
        <v>94</v>
      </c>
      <c r="D84" s="94" t="s">
        <v>73</v>
      </c>
      <c r="E84" s="74" t="s">
        <v>1000</v>
      </c>
      <c r="F84" s="224">
        <v>45778</v>
      </c>
      <c r="G84" s="72">
        <v>57</v>
      </c>
      <c r="H84" s="94" t="s">
        <v>280</v>
      </c>
      <c r="I84" s="236"/>
    </row>
    <row r="85" spans="1:9" x14ac:dyDescent="0.2">
      <c r="A85" s="223"/>
      <c r="B85" s="104"/>
      <c r="C85" s="105"/>
      <c r="D85" s="106"/>
      <c r="E85" s="106"/>
      <c r="F85" s="107"/>
      <c r="G85" s="108"/>
      <c r="H85" s="106"/>
    </row>
    <row r="86" spans="1:9" x14ac:dyDescent="0.2">
      <c r="A86" s="104"/>
      <c r="B86" s="104"/>
      <c r="C86" s="105"/>
      <c r="D86" s="106"/>
      <c r="E86" s="106"/>
      <c r="F86" s="107"/>
      <c r="G86" s="108"/>
      <c r="H86" s="106"/>
    </row>
    <row r="87" spans="1:9" ht="15" x14ac:dyDescent="0.25">
      <c r="A87" s="387" t="s">
        <v>74</v>
      </c>
      <c r="B87" s="387"/>
      <c r="C87" s="387"/>
      <c r="D87" s="387"/>
      <c r="G87" s="235">
        <f>SUM(Таблица125138150162174194264257738910512113715316918528446076921081241401565545705866006146286446606766927097262641567186[Сумма])*1000</f>
        <v>4583000</v>
      </c>
    </row>
    <row r="88" spans="1:9" outlineLevel="1" x14ac:dyDescent="0.2">
      <c r="A88" s="91" t="s">
        <v>67</v>
      </c>
      <c r="B88" s="91" t="s">
        <v>53</v>
      </c>
      <c r="C88" s="91" t="s">
        <v>4</v>
      </c>
      <c r="D88" s="91" t="s">
        <v>68</v>
      </c>
      <c r="E88" s="91" t="s">
        <v>69</v>
      </c>
      <c r="F88" s="91" t="s">
        <v>70</v>
      </c>
      <c r="G88" s="91" t="s">
        <v>75</v>
      </c>
      <c r="H88" s="91" t="s">
        <v>72</v>
      </c>
    </row>
    <row r="89" spans="1:9" ht="24.95" customHeight="1" outlineLevel="1" x14ac:dyDescent="0.2">
      <c r="A89" s="74" t="s">
        <v>997</v>
      </c>
      <c r="B89" s="74" t="s">
        <v>1009</v>
      </c>
      <c r="C89" s="93" t="s">
        <v>94</v>
      </c>
      <c r="D89" s="94" t="s">
        <v>73</v>
      </c>
      <c r="E89" s="74" t="s">
        <v>998</v>
      </c>
      <c r="F89" s="218">
        <v>45748</v>
      </c>
      <c r="G89" s="72">
        <v>728</v>
      </c>
      <c r="H89" s="94" t="s">
        <v>284</v>
      </c>
    </row>
    <row r="90" spans="1:9" ht="24.95" customHeight="1" outlineLevel="1" x14ac:dyDescent="0.2">
      <c r="A90" s="74" t="s">
        <v>995</v>
      </c>
      <c r="B90" s="74" t="s">
        <v>1008</v>
      </c>
      <c r="C90" s="93" t="s">
        <v>94</v>
      </c>
      <c r="D90" s="94" t="s">
        <v>573</v>
      </c>
      <c r="E90" s="74" t="s">
        <v>994</v>
      </c>
      <c r="F90" s="218">
        <v>45778</v>
      </c>
      <c r="G90" s="72">
        <v>500</v>
      </c>
      <c r="H90" s="94" t="s">
        <v>996</v>
      </c>
    </row>
    <row r="91" spans="1:9" ht="24.95" customHeight="1" outlineLevel="1" x14ac:dyDescent="0.2">
      <c r="A91" s="190" t="s">
        <v>1020</v>
      </c>
      <c r="B91" s="176" t="s">
        <v>954</v>
      </c>
      <c r="C91" s="177" t="s">
        <v>94</v>
      </c>
      <c r="D91" s="173" t="s">
        <v>73</v>
      </c>
      <c r="E91" s="178" t="s">
        <v>102</v>
      </c>
      <c r="F91" s="224">
        <v>45778</v>
      </c>
      <c r="G91" s="131">
        <v>456</v>
      </c>
      <c r="H91" s="173" t="s">
        <v>1019</v>
      </c>
    </row>
    <row r="92" spans="1:9" ht="24.95" customHeight="1" outlineLevel="1" x14ac:dyDescent="0.2">
      <c r="A92" s="74" t="s">
        <v>999</v>
      </c>
      <c r="B92" s="74" t="s">
        <v>992</v>
      </c>
      <c r="C92" s="93" t="s">
        <v>94</v>
      </c>
      <c r="D92" s="94" t="s">
        <v>73</v>
      </c>
      <c r="E92" s="94" t="s">
        <v>1000</v>
      </c>
      <c r="F92" s="218">
        <v>45778</v>
      </c>
      <c r="G92" s="72">
        <v>450</v>
      </c>
      <c r="H92" s="94" t="s">
        <v>996</v>
      </c>
      <c r="I92" s="236"/>
    </row>
    <row r="93" spans="1:9" ht="24.95" customHeight="1" outlineLevel="1" x14ac:dyDescent="0.2">
      <c r="A93" s="94" t="s">
        <v>1001</v>
      </c>
      <c r="B93" s="94" t="s">
        <v>1007</v>
      </c>
      <c r="C93" s="93" t="s">
        <v>94</v>
      </c>
      <c r="D93" s="94" t="s">
        <v>573</v>
      </c>
      <c r="E93" s="94" t="s">
        <v>994</v>
      </c>
      <c r="F93" s="218">
        <v>45778</v>
      </c>
      <c r="G93" s="219">
        <v>400</v>
      </c>
      <c r="H93" s="94" t="s">
        <v>252</v>
      </c>
    </row>
    <row r="94" spans="1:9" ht="24.95" customHeight="1" outlineLevel="1" x14ac:dyDescent="0.2">
      <c r="A94" s="94" t="s">
        <v>1002</v>
      </c>
      <c r="B94" s="94" t="s">
        <v>818</v>
      </c>
      <c r="C94" s="93" t="s">
        <v>94</v>
      </c>
      <c r="D94" s="94" t="s">
        <v>73</v>
      </c>
      <c r="E94" s="94" t="s">
        <v>1003</v>
      </c>
      <c r="F94" s="218">
        <v>45778</v>
      </c>
      <c r="G94" s="219">
        <v>400</v>
      </c>
      <c r="H94" s="94" t="s">
        <v>168</v>
      </c>
    </row>
    <row r="95" spans="1:9" ht="24.95" customHeight="1" outlineLevel="1" x14ac:dyDescent="0.2">
      <c r="A95" s="74" t="s">
        <v>1005</v>
      </c>
      <c r="B95" s="74" t="s">
        <v>1006</v>
      </c>
      <c r="C95" s="93" t="s">
        <v>94</v>
      </c>
      <c r="D95" s="94" t="s">
        <v>573</v>
      </c>
      <c r="E95" s="74" t="s">
        <v>1004</v>
      </c>
      <c r="F95" s="218">
        <v>45778</v>
      </c>
      <c r="G95" s="72">
        <v>386</v>
      </c>
      <c r="H95" s="94" t="s">
        <v>168</v>
      </c>
    </row>
    <row r="96" spans="1:9" ht="24.95" customHeight="1" outlineLevel="1" x14ac:dyDescent="0.2">
      <c r="A96" s="173" t="s">
        <v>1021</v>
      </c>
      <c r="B96" s="220" t="s">
        <v>1022</v>
      </c>
      <c r="C96" s="177" t="s">
        <v>94</v>
      </c>
      <c r="D96" s="93" t="s">
        <v>573</v>
      </c>
      <c r="E96" s="221" t="s">
        <v>994</v>
      </c>
      <c r="F96" s="224">
        <v>45778</v>
      </c>
      <c r="G96" s="72">
        <v>380</v>
      </c>
      <c r="H96" s="173" t="s">
        <v>996</v>
      </c>
    </row>
    <row r="97" spans="1:8" ht="24.95" customHeight="1" outlineLevel="1" x14ac:dyDescent="0.2">
      <c r="A97" s="74" t="s">
        <v>1015</v>
      </c>
      <c r="B97" s="74" t="s">
        <v>1014</v>
      </c>
      <c r="C97" s="93" t="s">
        <v>94</v>
      </c>
      <c r="D97" s="94" t="s">
        <v>73</v>
      </c>
      <c r="E97" s="94" t="s">
        <v>1016</v>
      </c>
      <c r="F97" s="218">
        <v>45778</v>
      </c>
      <c r="G97" s="72">
        <v>350</v>
      </c>
      <c r="H97" s="94" t="s">
        <v>168</v>
      </c>
    </row>
    <row r="98" spans="1:8" ht="24.95" customHeight="1" outlineLevel="1" x14ac:dyDescent="0.2">
      <c r="A98" s="74" t="s">
        <v>1017</v>
      </c>
      <c r="B98" s="74" t="s">
        <v>986</v>
      </c>
      <c r="C98" s="93" t="s">
        <v>94</v>
      </c>
      <c r="D98" s="94" t="s">
        <v>73</v>
      </c>
      <c r="E98" s="94" t="s">
        <v>1018</v>
      </c>
      <c r="F98" s="218">
        <v>45748</v>
      </c>
      <c r="G98" s="72">
        <v>132</v>
      </c>
      <c r="H98" s="94" t="s">
        <v>284</v>
      </c>
    </row>
    <row r="99" spans="1:8" ht="24.95" customHeight="1" outlineLevel="1" x14ac:dyDescent="0.2">
      <c r="A99" s="74" t="s">
        <v>1011</v>
      </c>
      <c r="B99" s="74" t="s">
        <v>96</v>
      </c>
      <c r="C99" s="93" t="s">
        <v>94</v>
      </c>
      <c r="D99" s="94" t="s">
        <v>73</v>
      </c>
      <c r="E99" s="94" t="s">
        <v>1012</v>
      </c>
      <c r="F99" s="218">
        <v>45748</v>
      </c>
      <c r="G99" s="72">
        <v>122</v>
      </c>
      <c r="H99" s="94" t="s">
        <v>107</v>
      </c>
    </row>
    <row r="100" spans="1:8" ht="24.95" customHeight="1" outlineLevel="1" x14ac:dyDescent="0.2">
      <c r="A100" s="244" t="s">
        <v>1010</v>
      </c>
      <c r="B100" s="220" t="s">
        <v>985</v>
      </c>
      <c r="C100" s="93" t="s">
        <v>94</v>
      </c>
      <c r="D100" s="94" t="s">
        <v>73</v>
      </c>
      <c r="E100" s="221" t="s">
        <v>102</v>
      </c>
      <c r="F100" s="218">
        <v>45748</v>
      </c>
      <c r="G100" s="72">
        <v>101</v>
      </c>
      <c r="H100" s="94" t="s">
        <v>107</v>
      </c>
    </row>
    <row r="101" spans="1:8" ht="24.95" customHeight="1" outlineLevel="1" x14ac:dyDescent="0.2">
      <c r="A101" s="244" t="s">
        <v>1042</v>
      </c>
      <c r="B101" s="220" t="s">
        <v>1041</v>
      </c>
      <c r="C101" s="93" t="s">
        <v>94</v>
      </c>
      <c r="D101" s="94" t="s">
        <v>73</v>
      </c>
      <c r="E101" s="221" t="s">
        <v>834</v>
      </c>
      <c r="F101" s="218">
        <v>45748</v>
      </c>
      <c r="G101" s="72">
        <v>63</v>
      </c>
      <c r="H101" s="94" t="s">
        <v>107</v>
      </c>
    </row>
    <row r="102" spans="1:8" ht="24.95" customHeight="1" outlineLevel="1" x14ac:dyDescent="0.2">
      <c r="A102" s="74" t="s">
        <v>1013</v>
      </c>
      <c r="B102" s="74" t="s">
        <v>986</v>
      </c>
      <c r="C102" s="93" t="s">
        <v>94</v>
      </c>
      <c r="D102" s="94" t="s">
        <v>73</v>
      </c>
      <c r="E102" s="74" t="s">
        <v>1012</v>
      </c>
      <c r="F102" s="218">
        <v>45748</v>
      </c>
      <c r="G102" s="72">
        <v>58</v>
      </c>
      <c r="H102" s="94" t="s">
        <v>107</v>
      </c>
    </row>
    <row r="103" spans="1:8" ht="24.95" customHeight="1" outlineLevel="1" x14ac:dyDescent="0.2">
      <c r="A103" s="74" t="s">
        <v>1039</v>
      </c>
      <c r="B103" s="74" t="s">
        <v>1040</v>
      </c>
      <c r="C103" s="93" t="s">
        <v>94</v>
      </c>
      <c r="D103" s="94" t="s">
        <v>73</v>
      </c>
      <c r="E103" s="74" t="s">
        <v>1000</v>
      </c>
      <c r="F103" s="224">
        <v>45778</v>
      </c>
      <c r="G103" s="72">
        <v>57</v>
      </c>
      <c r="H103" s="94" t="s">
        <v>280</v>
      </c>
    </row>
    <row r="104" spans="1:8" ht="15" customHeight="1" x14ac:dyDescent="0.2"/>
    <row r="105" spans="1:8" ht="15" customHeight="1" x14ac:dyDescent="0.2"/>
    <row r="106" spans="1:8" ht="15.75" x14ac:dyDescent="0.25">
      <c r="A106" s="1" t="s">
        <v>76</v>
      </c>
    </row>
    <row r="107" spans="1:8" ht="15" x14ac:dyDescent="0.25">
      <c r="A107" s="386" t="s">
        <v>77</v>
      </c>
      <c r="B107" s="386"/>
      <c r="C107" s="386"/>
      <c r="D107" s="386"/>
      <c r="E107" s="110"/>
      <c r="F107" s="111"/>
    </row>
    <row r="108" spans="1:8" s="104" customFormat="1" outlineLevel="1" x14ac:dyDescent="0.25">
      <c r="A108" s="112" t="s">
        <v>78</v>
      </c>
      <c r="B108" s="112" t="s">
        <v>53</v>
      </c>
      <c r="C108" s="91" t="s">
        <v>4</v>
      </c>
      <c r="D108" s="112" t="s">
        <v>79</v>
      </c>
      <c r="E108" s="91" t="s">
        <v>80</v>
      </c>
      <c r="F108" s="112" t="s">
        <v>81</v>
      </c>
      <c r="G108" s="112" t="s">
        <v>82</v>
      </c>
    </row>
    <row r="109" spans="1:8" s="104" customFormat="1" ht="24.75" customHeight="1" outlineLevel="1" x14ac:dyDescent="0.25">
      <c r="A109" s="253">
        <v>45755</v>
      </c>
      <c r="B109" s="230" t="s">
        <v>1014</v>
      </c>
      <c r="C109" s="93" t="s">
        <v>94</v>
      </c>
      <c r="D109" s="173" t="s">
        <v>1024</v>
      </c>
      <c r="E109" s="173" t="s">
        <v>1015</v>
      </c>
      <c r="F109" s="173" t="s">
        <v>1032</v>
      </c>
      <c r="G109" s="173" t="s">
        <v>1034</v>
      </c>
    </row>
    <row r="110" spans="1:8" ht="24.75" customHeight="1" x14ac:dyDescent="0.2">
      <c r="A110" s="253">
        <v>45755</v>
      </c>
      <c r="B110" s="173" t="s">
        <v>1029</v>
      </c>
      <c r="C110" s="93" t="s">
        <v>94</v>
      </c>
      <c r="D110" s="173" t="s">
        <v>1031</v>
      </c>
      <c r="E110" s="173" t="s">
        <v>1002</v>
      </c>
      <c r="F110" s="173" t="s">
        <v>1032</v>
      </c>
      <c r="G110" s="173" t="s">
        <v>1033</v>
      </c>
    </row>
    <row r="111" spans="1:8" ht="24.75" customHeight="1" x14ac:dyDescent="0.2">
      <c r="A111" s="253">
        <v>45755</v>
      </c>
      <c r="B111" s="173" t="s">
        <v>1028</v>
      </c>
      <c r="C111" s="93" t="s">
        <v>94</v>
      </c>
      <c r="D111" s="173" t="s">
        <v>1023</v>
      </c>
      <c r="E111" s="173" t="s">
        <v>997</v>
      </c>
      <c r="F111" s="173" t="s">
        <v>1032</v>
      </c>
      <c r="G111" s="173" t="s">
        <v>1035</v>
      </c>
    </row>
    <row r="112" spans="1:8" ht="24.75" customHeight="1" x14ac:dyDescent="0.2">
      <c r="A112" s="253">
        <v>45755</v>
      </c>
      <c r="B112" s="171" t="s">
        <v>986</v>
      </c>
      <c r="C112" s="93" t="s">
        <v>94</v>
      </c>
      <c r="D112" s="254" t="s">
        <v>1036</v>
      </c>
      <c r="E112" s="173" t="s">
        <v>1017</v>
      </c>
      <c r="F112" s="173" t="s">
        <v>1032</v>
      </c>
      <c r="G112" s="173" t="s">
        <v>1032</v>
      </c>
    </row>
    <row r="113" spans="1:7" ht="27.75" customHeight="1" x14ac:dyDescent="0.2">
      <c r="A113" s="253">
        <v>45761</v>
      </c>
      <c r="B113" s="173" t="s">
        <v>1030</v>
      </c>
      <c r="C113" s="93" t="s">
        <v>94</v>
      </c>
      <c r="D113" s="254" t="s">
        <v>1025</v>
      </c>
      <c r="E113" s="173" t="s">
        <v>999</v>
      </c>
      <c r="F113" s="173" t="s">
        <v>1027</v>
      </c>
      <c r="G113" s="173" t="s">
        <v>1026</v>
      </c>
    </row>
    <row r="114" spans="1:7" s="104" customFormat="1" ht="12" customHeight="1" outlineLevel="1" x14ac:dyDescent="0.2">
      <c r="A114" s="2"/>
      <c r="B114" s="118"/>
      <c r="C114" s="2"/>
      <c r="D114" s="2"/>
      <c r="E114" s="2"/>
      <c r="F114" s="2"/>
      <c r="G114" s="2"/>
    </row>
    <row r="115" spans="1:7" ht="24" customHeight="1" outlineLevel="1" x14ac:dyDescent="0.2">
      <c r="A115" s="118"/>
      <c r="B115" s="118"/>
    </row>
    <row r="116" spans="1:7" ht="24" customHeight="1" outlineLevel="1" x14ac:dyDescent="0.25">
      <c r="A116" s="387" t="s">
        <v>83</v>
      </c>
      <c r="B116" s="387"/>
      <c r="C116" s="387"/>
      <c r="D116" s="387"/>
      <c r="E116" s="212"/>
    </row>
    <row r="117" spans="1:7" ht="24" customHeight="1" outlineLevel="1" x14ac:dyDescent="0.2">
      <c r="A117" s="112" t="s">
        <v>78</v>
      </c>
      <c r="B117" s="112" t="s">
        <v>53</v>
      </c>
      <c r="C117" s="91" t="s">
        <v>4</v>
      </c>
      <c r="D117" s="112" t="s">
        <v>79</v>
      </c>
      <c r="E117" s="91" t="s">
        <v>80</v>
      </c>
      <c r="F117" s="112" t="s">
        <v>81</v>
      </c>
      <c r="G117" s="112" t="s">
        <v>82</v>
      </c>
    </row>
    <row r="118" spans="1:7" ht="24" customHeight="1" outlineLevel="1" x14ac:dyDescent="0.2">
      <c r="A118" s="109"/>
      <c r="B118" s="116"/>
      <c r="C118" s="119"/>
      <c r="D118" s="129" t="s">
        <v>743</v>
      </c>
      <c r="E118" s="109"/>
      <c r="F118" s="109"/>
      <c r="G118" s="109"/>
    </row>
    <row r="119" spans="1:7" ht="24" customHeight="1" outlineLevel="1" x14ac:dyDescent="0.2">
      <c r="A119" s="243">
        <v>45748</v>
      </c>
      <c r="B119" s="210" t="s">
        <v>857</v>
      </c>
      <c r="C119" s="93" t="s">
        <v>94</v>
      </c>
      <c r="D119" s="233" t="s">
        <v>858</v>
      </c>
      <c r="E119" s="94"/>
      <c r="F119" s="94"/>
      <c r="G119" s="94" t="s">
        <v>859</v>
      </c>
    </row>
    <row r="120" spans="1:7" ht="24" customHeight="1" outlineLevel="1" x14ac:dyDescent="0.2">
      <c r="A120" s="243">
        <v>45748</v>
      </c>
      <c r="B120" s="94" t="s">
        <v>860</v>
      </c>
      <c r="C120" s="93" t="s">
        <v>94</v>
      </c>
      <c r="D120" s="210" t="s">
        <v>862</v>
      </c>
      <c r="E120" s="94"/>
      <c r="F120" s="94"/>
      <c r="G120" s="94" t="s">
        <v>861</v>
      </c>
    </row>
    <row r="121" spans="1:7" ht="24" customHeight="1" outlineLevel="1" x14ac:dyDescent="0.2">
      <c r="A121" s="243">
        <v>45748</v>
      </c>
      <c r="B121" s="94" t="s">
        <v>863</v>
      </c>
      <c r="C121" s="93" t="s">
        <v>94</v>
      </c>
      <c r="D121" s="233" t="s">
        <v>865</v>
      </c>
      <c r="E121" s="94"/>
      <c r="F121" s="94"/>
      <c r="G121" s="94" t="s">
        <v>864</v>
      </c>
    </row>
    <row r="122" spans="1:7" ht="24" customHeight="1" outlineLevel="1" x14ac:dyDescent="0.2">
      <c r="A122" s="243">
        <v>45748</v>
      </c>
      <c r="B122" s="94" t="s">
        <v>866</v>
      </c>
      <c r="C122" s="93" t="s">
        <v>94</v>
      </c>
      <c r="D122" s="210" t="s">
        <v>868</v>
      </c>
      <c r="E122" s="94"/>
      <c r="F122" s="94"/>
      <c r="G122" s="94" t="s">
        <v>867</v>
      </c>
    </row>
    <row r="123" spans="1:7" ht="24" customHeight="1" outlineLevel="1" x14ac:dyDescent="0.2">
      <c r="A123" s="243">
        <v>45748</v>
      </c>
      <c r="B123" s="94" t="s">
        <v>869</v>
      </c>
      <c r="C123" s="93" t="s">
        <v>94</v>
      </c>
      <c r="D123" s="233" t="s">
        <v>870</v>
      </c>
      <c r="E123" s="94"/>
      <c r="F123" s="94"/>
      <c r="G123" s="94" t="s">
        <v>871</v>
      </c>
    </row>
    <row r="124" spans="1:7" ht="24" customHeight="1" outlineLevel="1" x14ac:dyDescent="0.2">
      <c r="A124" s="187">
        <v>45749</v>
      </c>
      <c r="B124" s="109" t="s">
        <v>872</v>
      </c>
      <c r="C124" s="93" t="s">
        <v>94</v>
      </c>
      <c r="D124" s="116" t="s">
        <v>873</v>
      </c>
      <c r="E124" s="109"/>
      <c r="F124" s="55"/>
      <c r="G124" s="109" t="s">
        <v>874</v>
      </c>
    </row>
    <row r="125" spans="1:7" ht="24" customHeight="1" outlineLevel="1" x14ac:dyDescent="0.2">
      <c r="A125" s="242">
        <v>45749</v>
      </c>
      <c r="B125" s="171" t="s">
        <v>875</v>
      </c>
      <c r="C125" s="177" t="s">
        <v>94</v>
      </c>
      <c r="D125" s="171" t="s">
        <v>876</v>
      </c>
      <c r="E125" s="173"/>
      <c r="F125" s="173"/>
      <c r="G125" s="173" t="s">
        <v>877</v>
      </c>
    </row>
    <row r="126" spans="1:7" ht="24" customHeight="1" outlineLevel="1" x14ac:dyDescent="0.2">
      <c r="A126" s="187">
        <v>45751</v>
      </c>
      <c r="B126" s="116" t="s">
        <v>888</v>
      </c>
      <c r="C126" s="93" t="s">
        <v>94</v>
      </c>
      <c r="D126" s="191" t="s">
        <v>889</v>
      </c>
      <c r="E126" s="109"/>
      <c r="F126" s="55"/>
      <c r="G126" s="109" t="s">
        <v>887</v>
      </c>
    </row>
    <row r="127" spans="1:7" ht="24" customHeight="1" outlineLevel="1" x14ac:dyDescent="0.2">
      <c r="A127" s="187">
        <v>45751</v>
      </c>
      <c r="B127" s="116" t="s">
        <v>885</v>
      </c>
      <c r="C127" s="93" t="s">
        <v>94</v>
      </c>
      <c r="D127" s="191" t="s">
        <v>886</v>
      </c>
      <c r="E127" s="109"/>
      <c r="F127" s="55"/>
      <c r="G127" s="109" t="s">
        <v>884</v>
      </c>
    </row>
    <row r="128" spans="1:7" ht="24" customHeight="1" outlineLevel="1" x14ac:dyDescent="0.2">
      <c r="A128" s="187">
        <v>45751</v>
      </c>
      <c r="B128" s="116" t="s">
        <v>883</v>
      </c>
      <c r="C128" s="93" t="s">
        <v>94</v>
      </c>
      <c r="D128" s="191" t="s">
        <v>882</v>
      </c>
      <c r="E128" s="109"/>
      <c r="F128" s="55"/>
      <c r="G128" s="109" t="s">
        <v>881</v>
      </c>
    </row>
    <row r="129" spans="1:7" ht="24" customHeight="1" outlineLevel="1" x14ac:dyDescent="0.2">
      <c r="A129" s="187">
        <v>45751</v>
      </c>
      <c r="B129" s="116" t="s">
        <v>878</v>
      </c>
      <c r="C129" s="93" t="s">
        <v>94</v>
      </c>
      <c r="D129" s="191" t="s">
        <v>880</v>
      </c>
      <c r="E129" s="109"/>
      <c r="F129" s="55"/>
      <c r="G129" s="109" t="s">
        <v>879</v>
      </c>
    </row>
    <row r="130" spans="1:7" ht="24" customHeight="1" outlineLevel="1" x14ac:dyDescent="0.2">
      <c r="A130" s="187">
        <v>45761</v>
      </c>
      <c r="B130" s="116" t="s">
        <v>890</v>
      </c>
      <c r="C130" s="93" t="s">
        <v>94</v>
      </c>
      <c r="D130" s="116" t="s">
        <v>892</v>
      </c>
      <c r="E130" s="109"/>
      <c r="F130" s="109"/>
      <c r="G130" s="109" t="s">
        <v>891</v>
      </c>
    </row>
    <row r="131" spans="1:7" ht="24" customHeight="1" outlineLevel="1" x14ac:dyDescent="0.2">
      <c r="A131" s="187">
        <v>45761</v>
      </c>
      <c r="B131" s="116" t="s">
        <v>894</v>
      </c>
      <c r="C131" s="93" t="s">
        <v>94</v>
      </c>
      <c r="D131" s="191" t="s">
        <v>895</v>
      </c>
      <c r="E131" s="109"/>
      <c r="F131" s="109"/>
      <c r="G131" s="109" t="s">
        <v>893</v>
      </c>
    </row>
    <row r="132" spans="1:7" ht="24" customHeight="1" outlineLevel="1" x14ac:dyDescent="0.2">
      <c r="A132" s="187">
        <v>45762</v>
      </c>
      <c r="B132" s="116" t="s">
        <v>897</v>
      </c>
      <c r="C132" s="93" t="s">
        <v>94</v>
      </c>
      <c r="D132" s="191" t="s">
        <v>898</v>
      </c>
      <c r="E132" s="109"/>
      <c r="F132" s="109"/>
      <c r="G132" s="109" t="s">
        <v>896</v>
      </c>
    </row>
    <row r="133" spans="1:7" ht="24" customHeight="1" outlineLevel="1" x14ac:dyDescent="0.2">
      <c r="A133" s="187">
        <v>45762</v>
      </c>
      <c r="B133" s="240" t="s">
        <v>902</v>
      </c>
      <c r="C133" s="93" t="s">
        <v>94</v>
      </c>
      <c r="D133" s="114" t="s">
        <v>903</v>
      </c>
      <c r="E133" s="239"/>
      <c r="F133" s="239"/>
      <c r="G133" s="239" t="s">
        <v>901</v>
      </c>
    </row>
    <row r="134" spans="1:7" ht="24" customHeight="1" outlineLevel="1" x14ac:dyDescent="0.2">
      <c r="A134" s="187">
        <v>45762</v>
      </c>
      <c r="B134" s="116" t="s">
        <v>899</v>
      </c>
      <c r="C134" s="93" t="s">
        <v>94</v>
      </c>
      <c r="D134" s="116" t="s">
        <v>904</v>
      </c>
      <c r="E134" s="109"/>
      <c r="F134" s="109"/>
      <c r="G134" s="109" t="s">
        <v>900</v>
      </c>
    </row>
    <row r="135" spans="1:7" ht="24" customHeight="1" outlineLevel="1" x14ac:dyDescent="0.2">
      <c r="A135" s="187">
        <v>45762</v>
      </c>
      <c r="B135" s="116" t="s">
        <v>905</v>
      </c>
      <c r="C135" s="93" t="s">
        <v>94</v>
      </c>
      <c r="D135" s="116" t="s">
        <v>906</v>
      </c>
      <c r="E135" s="109"/>
      <c r="F135" s="109"/>
      <c r="G135" s="109" t="s">
        <v>907</v>
      </c>
    </row>
    <row r="136" spans="1:7" ht="24" customHeight="1" outlineLevel="1" x14ac:dyDescent="0.2">
      <c r="A136" s="187">
        <v>45762</v>
      </c>
      <c r="B136" s="116" t="s">
        <v>908</v>
      </c>
      <c r="C136" s="93" t="s">
        <v>94</v>
      </c>
      <c r="D136" s="191" t="s">
        <v>909</v>
      </c>
      <c r="E136" s="109"/>
      <c r="F136" s="109"/>
      <c r="G136" s="109" t="s">
        <v>910</v>
      </c>
    </row>
    <row r="137" spans="1:7" ht="24" customHeight="1" outlineLevel="1" x14ac:dyDescent="0.2">
      <c r="A137" s="187">
        <v>45763</v>
      </c>
      <c r="B137" s="116" t="s">
        <v>919</v>
      </c>
      <c r="C137" s="93" t="s">
        <v>94</v>
      </c>
      <c r="D137" s="191" t="s">
        <v>920</v>
      </c>
      <c r="E137" s="109"/>
      <c r="F137" s="109"/>
      <c r="G137" s="109" t="s">
        <v>921</v>
      </c>
    </row>
    <row r="138" spans="1:7" ht="24" customHeight="1" outlineLevel="1" x14ac:dyDescent="0.2">
      <c r="A138" s="187">
        <v>45763</v>
      </c>
      <c r="B138" s="116" t="s">
        <v>917</v>
      </c>
      <c r="C138" s="93" t="s">
        <v>94</v>
      </c>
      <c r="D138" s="116" t="s">
        <v>918</v>
      </c>
      <c r="E138" s="109"/>
      <c r="F138" s="109"/>
      <c r="G138" s="109" t="s">
        <v>916</v>
      </c>
    </row>
    <row r="139" spans="1:7" ht="24" customHeight="1" outlineLevel="1" x14ac:dyDescent="0.2">
      <c r="A139" s="241">
        <v>45763</v>
      </c>
      <c r="B139" s="116" t="s">
        <v>961</v>
      </c>
      <c r="C139" s="93" t="s">
        <v>94</v>
      </c>
      <c r="D139" s="116" t="s">
        <v>963</v>
      </c>
      <c r="E139" s="109"/>
      <c r="F139" s="109"/>
      <c r="G139" s="109" t="s">
        <v>962</v>
      </c>
    </row>
    <row r="140" spans="1:7" ht="24" customHeight="1" outlineLevel="1" x14ac:dyDescent="0.2">
      <c r="A140" s="241">
        <v>45763</v>
      </c>
      <c r="B140" s="116" t="s">
        <v>964</v>
      </c>
      <c r="C140" s="93" t="s">
        <v>94</v>
      </c>
      <c r="D140" s="116" t="s">
        <v>966</v>
      </c>
      <c r="E140" s="109"/>
      <c r="F140" s="109"/>
      <c r="G140" s="109" t="s">
        <v>965</v>
      </c>
    </row>
    <row r="141" spans="1:7" ht="24" customHeight="1" outlineLevel="1" x14ac:dyDescent="0.2">
      <c r="A141" s="241">
        <v>45763</v>
      </c>
      <c r="B141" s="116" t="s">
        <v>923</v>
      </c>
      <c r="C141" s="119" t="s">
        <v>94</v>
      </c>
      <c r="D141" s="116" t="s">
        <v>924</v>
      </c>
      <c r="E141" s="109"/>
      <c r="F141" s="109"/>
      <c r="G141" s="109" t="s">
        <v>922</v>
      </c>
    </row>
    <row r="142" spans="1:7" ht="24" customHeight="1" outlineLevel="1" x14ac:dyDescent="0.2">
      <c r="A142" s="241">
        <v>45764</v>
      </c>
      <c r="B142" s="116" t="s">
        <v>454</v>
      </c>
      <c r="C142" s="119" t="s">
        <v>94</v>
      </c>
      <c r="D142" s="116" t="s">
        <v>926</v>
      </c>
      <c r="E142" s="109"/>
      <c r="F142" s="109"/>
      <c r="G142" s="109" t="s">
        <v>925</v>
      </c>
    </row>
    <row r="143" spans="1:7" ht="24" customHeight="1" outlineLevel="1" x14ac:dyDescent="0.2">
      <c r="A143" s="241">
        <v>45765</v>
      </c>
      <c r="B143" s="116" t="s">
        <v>932</v>
      </c>
      <c r="C143" s="119" t="s">
        <v>94</v>
      </c>
      <c r="D143" s="116" t="s">
        <v>933</v>
      </c>
      <c r="E143" s="109"/>
      <c r="F143" s="109"/>
      <c r="G143" s="109" t="s">
        <v>934</v>
      </c>
    </row>
    <row r="144" spans="1:7" ht="24" customHeight="1" outlineLevel="1" x14ac:dyDescent="0.2">
      <c r="A144" s="241">
        <v>45765</v>
      </c>
      <c r="B144" s="116" t="s">
        <v>199</v>
      </c>
      <c r="C144" s="119" t="s">
        <v>94</v>
      </c>
      <c r="D144" s="191" t="s">
        <v>928</v>
      </c>
      <c r="E144" s="109"/>
      <c r="F144" s="109"/>
      <c r="G144" s="109" t="s">
        <v>927</v>
      </c>
    </row>
    <row r="145" spans="1:7" ht="24" customHeight="1" outlineLevel="1" x14ac:dyDescent="0.2">
      <c r="A145" s="241">
        <v>45765</v>
      </c>
      <c r="B145" s="116" t="s">
        <v>929</v>
      </c>
      <c r="C145" s="119" t="s">
        <v>94</v>
      </c>
      <c r="D145" s="116" t="s">
        <v>931</v>
      </c>
      <c r="E145" s="109"/>
      <c r="F145" s="109"/>
      <c r="G145" s="109" t="s">
        <v>930</v>
      </c>
    </row>
    <row r="146" spans="1:7" ht="24" customHeight="1" outlineLevel="1" x14ac:dyDescent="0.2">
      <c r="A146" s="241">
        <v>45768</v>
      </c>
      <c r="B146" s="116" t="s">
        <v>936</v>
      </c>
      <c r="C146" s="119" t="s">
        <v>94</v>
      </c>
      <c r="D146" s="116" t="s">
        <v>937</v>
      </c>
      <c r="E146" s="109"/>
      <c r="F146" s="109"/>
      <c r="G146" s="109" t="s">
        <v>935</v>
      </c>
    </row>
    <row r="147" spans="1:7" ht="24" customHeight="1" outlineLevel="1" x14ac:dyDescent="0.2">
      <c r="A147" s="241">
        <v>45768</v>
      </c>
      <c r="B147" s="116" t="s">
        <v>939</v>
      </c>
      <c r="C147" s="119" t="s">
        <v>94</v>
      </c>
      <c r="D147" s="116" t="s">
        <v>940</v>
      </c>
      <c r="E147" s="109"/>
      <c r="F147" s="109"/>
      <c r="G147" s="109" t="s">
        <v>938</v>
      </c>
    </row>
    <row r="148" spans="1:7" ht="24" customHeight="1" outlineLevel="1" x14ac:dyDescent="0.2">
      <c r="A148" s="241">
        <v>45768</v>
      </c>
      <c r="B148" s="116" t="s">
        <v>942</v>
      </c>
      <c r="C148" s="119" t="s">
        <v>94</v>
      </c>
      <c r="D148" s="116" t="s">
        <v>943</v>
      </c>
      <c r="E148" s="109"/>
      <c r="F148" s="109"/>
      <c r="G148" s="109" t="s">
        <v>941</v>
      </c>
    </row>
    <row r="149" spans="1:7" ht="24" customHeight="1" outlineLevel="1" x14ac:dyDescent="0.2">
      <c r="A149" s="241">
        <v>45768</v>
      </c>
      <c r="B149" s="116" t="s">
        <v>945</v>
      </c>
      <c r="C149" s="119" t="s">
        <v>94</v>
      </c>
      <c r="D149" s="116" t="s">
        <v>946</v>
      </c>
      <c r="E149" s="109"/>
      <c r="F149" s="109"/>
      <c r="G149" s="109" t="s">
        <v>944</v>
      </c>
    </row>
    <row r="150" spans="1:7" ht="24" customHeight="1" outlineLevel="1" x14ac:dyDescent="0.2">
      <c r="A150" s="241">
        <v>45770</v>
      </c>
      <c r="B150" s="116" t="s">
        <v>950</v>
      </c>
      <c r="C150" s="119" t="s">
        <v>94</v>
      </c>
      <c r="D150" s="116" t="s">
        <v>951</v>
      </c>
      <c r="E150" s="109"/>
      <c r="F150" s="109"/>
      <c r="G150" s="109" t="s">
        <v>949</v>
      </c>
    </row>
    <row r="151" spans="1:7" ht="24" customHeight="1" outlineLevel="1" x14ac:dyDescent="0.2">
      <c r="A151" s="241">
        <v>45771</v>
      </c>
      <c r="B151" s="116" t="s">
        <v>959</v>
      </c>
      <c r="C151" s="119" t="s">
        <v>94</v>
      </c>
      <c r="D151" s="116" t="s">
        <v>960</v>
      </c>
      <c r="E151" s="109"/>
      <c r="F151" s="109"/>
      <c r="G151" s="109" t="s">
        <v>958</v>
      </c>
    </row>
    <row r="152" spans="1:7" ht="24" customHeight="1" outlineLevel="1" x14ac:dyDescent="0.2">
      <c r="A152" s="109"/>
      <c r="B152" s="116"/>
      <c r="C152" s="119"/>
      <c r="D152" s="116"/>
      <c r="E152" s="109"/>
      <c r="F152" s="109"/>
      <c r="G152" s="109"/>
    </row>
    <row r="153" spans="1:7" ht="24" customHeight="1" outlineLevel="1" x14ac:dyDescent="0.2">
      <c r="A153" s="242">
        <v>45775</v>
      </c>
      <c r="B153" s="116" t="s">
        <v>967</v>
      </c>
      <c r="C153" s="177" t="s">
        <v>94</v>
      </c>
      <c r="D153" s="255" t="s">
        <v>968</v>
      </c>
      <c r="E153" s="109"/>
      <c r="F153" s="109"/>
      <c r="G153" s="109" t="s">
        <v>974</v>
      </c>
    </row>
    <row r="154" spans="1:7" ht="24" customHeight="1" outlineLevel="1" x14ac:dyDescent="0.2">
      <c r="A154" s="242">
        <v>45775</v>
      </c>
      <c r="B154" s="116" t="s">
        <v>970</v>
      </c>
      <c r="C154" s="177" t="s">
        <v>94</v>
      </c>
      <c r="D154" s="255" t="s">
        <v>975</v>
      </c>
      <c r="E154" s="109"/>
      <c r="F154" s="109"/>
      <c r="G154" s="109" t="s">
        <v>969</v>
      </c>
    </row>
    <row r="155" spans="1:7" ht="24" customHeight="1" outlineLevel="1" x14ac:dyDescent="0.2">
      <c r="A155" s="242">
        <v>45775</v>
      </c>
      <c r="B155" s="116" t="s">
        <v>972</v>
      </c>
      <c r="C155" s="177" t="s">
        <v>94</v>
      </c>
      <c r="D155" s="255" t="s">
        <v>973</v>
      </c>
      <c r="E155" s="109"/>
      <c r="F155" s="109"/>
      <c r="G155" s="109" t="s">
        <v>971</v>
      </c>
    </row>
    <row r="156" spans="1:7" ht="24" customHeight="1" outlineLevel="1" x14ac:dyDescent="0.2">
      <c r="A156" s="242">
        <v>45775</v>
      </c>
      <c r="B156" s="240" t="s">
        <v>976</v>
      </c>
      <c r="C156" s="177" t="s">
        <v>94</v>
      </c>
      <c r="D156" s="255" t="s">
        <v>977</v>
      </c>
      <c r="E156" s="239"/>
      <c r="F156" s="239"/>
      <c r="G156" s="55" t="s">
        <v>978</v>
      </c>
    </row>
    <row r="157" spans="1:7" ht="24" customHeight="1" outlineLevel="1" x14ac:dyDescent="0.2">
      <c r="A157" s="241">
        <v>45775</v>
      </c>
      <c r="B157" s="116" t="s">
        <v>980</v>
      </c>
      <c r="C157" s="119" t="s">
        <v>94</v>
      </c>
      <c r="D157" s="255" t="s">
        <v>981</v>
      </c>
      <c r="E157" s="109"/>
      <c r="F157" s="109"/>
      <c r="G157" s="109" t="s">
        <v>979</v>
      </c>
    </row>
    <row r="158" spans="1:7" ht="24" customHeight="1" outlineLevel="1" x14ac:dyDescent="0.2">
      <c r="A158" s="241">
        <v>45775</v>
      </c>
      <c r="B158" s="116" t="s">
        <v>982</v>
      </c>
      <c r="C158" s="119" t="s">
        <v>94</v>
      </c>
      <c r="D158" s="255" t="s">
        <v>983</v>
      </c>
      <c r="E158" s="109"/>
      <c r="F158" s="109"/>
      <c r="G158" s="109" t="s">
        <v>984</v>
      </c>
    </row>
    <row r="159" spans="1:7" ht="24" customHeight="1" outlineLevel="1" x14ac:dyDescent="0.2">
      <c r="A159" s="109"/>
      <c r="B159" s="116"/>
      <c r="C159" s="119"/>
      <c r="D159" s="116"/>
      <c r="E159" s="109"/>
      <c r="F159" s="109"/>
      <c r="G159" s="109"/>
    </row>
    <row r="160" spans="1:7" ht="24" customHeight="1" outlineLevel="1" x14ac:dyDescent="0.2">
      <c r="A160" s="242">
        <v>45770</v>
      </c>
      <c r="B160" s="171" t="s">
        <v>288</v>
      </c>
      <c r="C160" s="177" t="s">
        <v>94</v>
      </c>
      <c r="D160" s="256" t="s">
        <v>947</v>
      </c>
      <c r="E160" s="173"/>
      <c r="F160" s="173"/>
      <c r="G160" s="173" t="s">
        <v>948</v>
      </c>
    </row>
    <row r="161" spans="1:15" ht="28.5" customHeight="1" x14ac:dyDescent="0.2">
      <c r="A161" s="242">
        <v>45771</v>
      </c>
      <c r="B161" s="171" t="s">
        <v>954</v>
      </c>
      <c r="C161" s="177" t="s">
        <v>94</v>
      </c>
      <c r="D161" s="257" t="s">
        <v>953</v>
      </c>
      <c r="E161" s="173"/>
      <c r="F161" s="173"/>
      <c r="G161" s="173" t="s">
        <v>952</v>
      </c>
    </row>
    <row r="162" spans="1:15" ht="28.5" customHeight="1" x14ac:dyDescent="0.2">
      <c r="A162" s="242">
        <v>45771</v>
      </c>
      <c r="B162" s="171" t="s">
        <v>957</v>
      </c>
      <c r="C162" s="177" t="s">
        <v>94</v>
      </c>
      <c r="D162" s="256" t="s">
        <v>955</v>
      </c>
      <c r="E162" s="173"/>
      <c r="F162" s="173"/>
      <c r="G162" s="173" t="s">
        <v>956</v>
      </c>
    </row>
    <row r="163" spans="1:15" s="104" customFormat="1" x14ac:dyDescent="0.25">
      <c r="A163" s="239"/>
      <c r="B163" s="240"/>
      <c r="C163" s="245"/>
      <c r="D163" s="240"/>
      <c r="E163" s="239"/>
      <c r="F163" s="239"/>
      <c r="G163" s="239"/>
    </row>
    <row r="165" spans="1:15" s="17" customFormat="1" outlineLevel="1" x14ac:dyDescent="0.2">
      <c r="A165" s="2"/>
      <c r="B165" s="2"/>
      <c r="C165" s="2"/>
      <c r="D165" s="2"/>
      <c r="E165" s="2"/>
      <c r="F165" s="2"/>
      <c r="G165" s="2"/>
    </row>
    <row r="166" spans="1:15" ht="60" customHeight="1" outlineLevel="1" x14ac:dyDescent="0.25">
      <c r="A166" s="1" t="s">
        <v>84</v>
      </c>
    </row>
    <row r="167" spans="1:15" ht="12.6" customHeight="1" outlineLevel="1" x14ac:dyDescent="0.25">
      <c r="A167" s="386" t="s">
        <v>85</v>
      </c>
      <c r="B167" s="386"/>
      <c r="C167" s="386"/>
      <c r="D167" s="386"/>
    </row>
    <row r="168" spans="1:15" ht="33" customHeight="1" outlineLevel="1" x14ac:dyDescent="0.2">
      <c r="A168" s="120" t="s">
        <v>81</v>
      </c>
      <c r="B168" s="120" t="s">
        <v>86</v>
      </c>
      <c r="C168" s="120" t="s">
        <v>87</v>
      </c>
      <c r="D168" s="120" t="s">
        <v>88</v>
      </c>
      <c r="E168" s="120" t="s">
        <v>89</v>
      </c>
      <c r="F168" s="120" t="s">
        <v>4</v>
      </c>
      <c r="G168" s="120" t="s">
        <v>90</v>
      </c>
    </row>
    <row r="169" spans="1:15" ht="153" x14ac:dyDescent="0.2">
      <c r="A169" s="94"/>
      <c r="B169" s="94" t="s">
        <v>1054</v>
      </c>
      <c r="C169" s="238" t="s">
        <v>160</v>
      </c>
      <c r="D169" s="219" t="s">
        <v>1045</v>
      </c>
      <c r="E169" s="132" t="s">
        <v>911</v>
      </c>
      <c r="F169" s="74" t="s">
        <v>94</v>
      </c>
      <c r="G169" s="72">
        <v>4800</v>
      </c>
    </row>
    <row r="170" spans="1:15" ht="51" x14ac:dyDescent="0.2">
      <c r="A170" s="130"/>
      <c r="B170" s="148" t="s">
        <v>912</v>
      </c>
      <c r="C170" s="238" t="s">
        <v>160</v>
      </c>
      <c r="D170" s="96" t="s">
        <v>1044</v>
      </c>
      <c r="E170" s="132" t="s">
        <v>913</v>
      </c>
      <c r="F170" s="74" t="s">
        <v>94</v>
      </c>
      <c r="G170" s="72">
        <v>6300</v>
      </c>
    </row>
    <row r="171" spans="1:15" ht="153" x14ac:dyDescent="0.2">
      <c r="A171" s="130"/>
      <c r="B171" s="148" t="s">
        <v>914</v>
      </c>
      <c r="C171" s="238" t="s">
        <v>160</v>
      </c>
      <c r="D171" s="94" t="s">
        <v>1046</v>
      </c>
      <c r="E171" s="132" t="s">
        <v>915</v>
      </c>
      <c r="F171" s="74" t="s">
        <v>94</v>
      </c>
      <c r="G171" s="72">
        <v>11000</v>
      </c>
    </row>
    <row r="172" spans="1:15" s="124" customFormat="1" ht="12.75" customHeight="1" outlineLevel="1" x14ac:dyDescent="0.2">
      <c r="A172" s="2"/>
      <c r="B172" s="122"/>
      <c r="C172" s="123"/>
      <c r="D172" s="2"/>
      <c r="E172" s="2"/>
      <c r="F172" s="122"/>
      <c r="G172" s="2"/>
      <c r="H172" s="2"/>
      <c r="I172" s="2"/>
      <c r="J172" s="2"/>
      <c r="K172" s="2"/>
      <c r="L172" s="2"/>
      <c r="M172" s="2"/>
      <c r="N172" s="2"/>
      <c r="O172" s="2"/>
    </row>
    <row r="173" spans="1:15" ht="60" customHeight="1" outlineLevel="1" x14ac:dyDescent="0.2">
      <c r="A173" s="122"/>
      <c r="B173" s="122"/>
      <c r="C173" s="123"/>
      <c r="F173" s="122"/>
    </row>
    <row r="174" spans="1:15" ht="60" customHeight="1" outlineLevel="1" x14ac:dyDescent="0.25">
      <c r="A174" s="386" t="s">
        <v>92</v>
      </c>
      <c r="B174" s="386"/>
      <c r="C174" s="386"/>
      <c r="D174" s="386"/>
    </row>
    <row r="175" spans="1:15" x14ac:dyDescent="0.2">
      <c r="A175" s="120" t="s">
        <v>81</v>
      </c>
      <c r="B175" s="120" t="s">
        <v>86</v>
      </c>
      <c r="C175" s="120" t="s">
        <v>87</v>
      </c>
      <c r="D175" s="120" t="s">
        <v>88</v>
      </c>
      <c r="E175" s="120" t="s">
        <v>89</v>
      </c>
      <c r="F175" s="120" t="s">
        <v>4</v>
      </c>
      <c r="G175" s="120" t="s">
        <v>90</v>
      </c>
    </row>
    <row r="176" spans="1:15" ht="15" x14ac:dyDescent="0.25">
      <c r="A176" s="94"/>
      <c r="B176" s="94"/>
      <c r="C176" s="125"/>
      <c r="D176"/>
      <c r="E176" s="121"/>
      <c r="F176" s="74" t="s">
        <v>94</v>
      </c>
      <c r="G176" s="9"/>
    </row>
    <row r="177" spans="1:7" ht="15" x14ac:dyDescent="0.25">
      <c r="A177" s="94"/>
      <c r="B177" s="94"/>
      <c r="C177" s="125"/>
      <c r="D177"/>
      <c r="E177" s="121"/>
      <c r="F177" s="74" t="s">
        <v>94</v>
      </c>
      <c r="G177" s="126"/>
    </row>
  </sheetData>
  <mergeCells count="14">
    <mergeCell ref="A44:D44"/>
    <mergeCell ref="A5:D5"/>
    <mergeCell ref="A10:D10"/>
    <mergeCell ref="A15:D15"/>
    <mergeCell ref="A20:D20"/>
    <mergeCell ref="A38:D38"/>
    <mergeCell ref="A167:D167"/>
    <mergeCell ref="A174:D174"/>
    <mergeCell ref="A53:D53"/>
    <mergeCell ref="A64:D64"/>
    <mergeCell ref="A73:D73"/>
    <mergeCell ref="A87:D87"/>
    <mergeCell ref="A107:D107"/>
    <mergeCell ref="A116:D116"/>
  </mergeCells>
  <conditionalFormatting sqref="G177">
    <cfRule type="cellIs" dxfId="539" priority="19" operator="equal">
      <formula>"ДА"</formula>
    </cfRule>
    <cfRule type="cellIs" dxfId="538" priority="20" operator="equal">
      <formula>"НЕТ"</formula>
    </cfRule>
    <cfRule type="cellIs" dxfId="537" priority="21" operator="equal">
      <formula>"Нет"</formula>
    </cfRule>
    <cfRule type="cellIs" dxfId="536" priority="22" operator="equal">
      <formula>"нет"</formula>
    </cfRule>
    <cfRule type="cellIs" dxfId="535" priority="23" operator="equal">
      <formula>"ДА"</formula>
    </cfRule>
    <cfRule type="containsText" dxfId="534" priority="24" operator="containsText" text="Да">
      <formula>NOT(ISERROR(SEARCH("Да",G177)))</formula>
    </cfRule>
  </conditionalFormatting>
  <conditionalFormatting sqref="E7 E12">
    <cfRule type="cellIs" dxfId="533" priority="31" operator="lessThan">
      <formula>0</formula>
    </cfRule>
    <cfRule type="cellIs" dxfId="532" priority="32" operator="greaterThan">
      <formula>0</formula>
    </cfRule>
  </conditionalFormatting>
  <conditionalFormatting sqref="D7 D12 E17">
    <cfRule type="cellIs" dxfId="531" priority="29" operator="lessThan">
      <formula>0</formula>
    </cfRule>
    <cfRule type="cellIs" dxfId="530" priority="30" operator="greaterThan">
      <formula>0</formula>
    </cfRule>
  </conditionalFormatting>
  <conditionalFormatting sqref="H66">
    <cfRule type="cellIs" dxfId="529" priority="27" operator="lessThan">
      <formula>1</formula>
    </cfRule>
    <cfRule type="cellIs" dxfId="528" priority="28" operator="greaterThan">
      <formula>1</formula>
    </cfRule>
  </conditionalFormatting>
  <conditionalFormatting sqref="H69">
    <cfRule type="cellIs" dxfId="527" priority="25" operator="lessThan">
      <formula>1</formula>
    </cfRule>
    <cfRule type="cellIs" dxfId="526" priority="26" operator="greaterThan">
      <formula>1</formula>
    </cfRule>
  </conditionalFormatting>
  <conditionalFormatting sqref="G176">
    <cfRule type="cellIs" dxfId="525" priority="13" operator="equal">
      <formula>"ДА"</formula>
    </cfRule>
    <cfRule type="cellIs" dxfId="524" priority="14" operator="equal">
      <formula>"НЕТ"</formula>
    </cfRule>
    <cfRule type="cellIs" dxfId="523" priority="15" operator="equal">
      <formula>"Нет"</formula>
    </cfRule>
    <cfRule type="cellIs" dxfId="522" priority="16" operator="equal">
      <formula>"нет"</formula>
    </cfRule>
    <cfRule type="cellIs" dxfId="521" priority="17" operator="equal">
      <formula>"ДА"</formula>
    </cfRule>
    <cfRule type="containsText" dxfId="520" priority="18" operator="containsText" text="Да">
      <formula>NOT(ISERROR(SEARCH("Да",G176)))</formula>
    </cfRule>
  </conditionalFormatting>
  <conditionalFormatting sqref="G169:G171">
    <cfRule type="cellIs" dxfId="519" priority="7" operator="equal">
      <formula>"ДА"</formula>
    </cfRule>
    <cfRule type="cellIs" dxfId="518" priority="8" operator="equal">
      <formula>"НЕТ"</formula>
    </cfRule>
    <cfRule type="cellIs" dxfId="517" priority="9" operator="equal">
      <formula>"Нет"</formula>
    </cfRule>
    <cfRule type="cellIs" dxfId="516" priority="10" operator="equal">
      <formula>"нет"</formula>
    </cfRule>
    <cfRule type="cellIs" dxfId="515" priority="11" operator="equal">
      <formula>"ДА"</formula>
    </cfRule>
    <cfRule type="containsText" dxfId="514" priority="12" operator="containsText" text="Да">
      <formula>NOT(ISERROR(SEARCH("Да",G169)))</formula>
    </cfRule>
  </conditionalFormatting>
  <conditionalFormatting sqref="C169:C171">
    <cfRule type="cellIs" dxfId="513" priority="1" operator="equal">
      <formula>"ДА"</formula>
    </cfRule>
    <cfRule type="cellIs" dxfId="512" priority="2" operator="equal">
      <formula>"НЕТ"</formula>
    </cfRule>
    <cfRule type="cellIs" dxfId="511" priority="3" operator="equal">
      <formula>"Нет"</formula>
    </cfRule>
    <cfRule type="cellIs" dxfId="510" priority="4" operator="equal">
      <formula>"нет"</formula>
    </cfRule>
    <cfRule type="cellIs" dxfId="509" priority="5" operator="equal">
      <formula>"ДА"</formula>
    </cfRule>
    <cfRule type="containsText" dxfId="508" priority="6" operator="containsText" text="Да">
      <formula>NOT(ISERROR(SEARCH("Да",C169)))</formula>
    </cfRule>
  </conditionalFormatting>
  <conditionalFormatting sqref="B160:B161 B148:B150 B144:B145 B119:B124 B130:B132 B134:B138 B141">
    <cfRule type="duplicateValues" dxfId="507" priority="76"/>
  </conditionalFormatting>
  <pageMargins left="0.7" right="0.7" top="0.75" bottom="0.75" header="0.3" footer="0.3"/>
  <pageSetup paperSize="9" orientation="portrait" r:id="rId1"/>
  <legacy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88503-84F3-4121-9B8F-FA3037AA2F52}">
  <dimension ref="A1:O159"/>
  <sheetViews>
    <sheetView zoomScale="85" zoomScaleNormal="85" workbookViewId="0">
      <selection activeCell="G23" sqref="G23"/>
    </sheetView>
  </sheetViews>
  <sheetFormatPr defaultColWidth="9.140625" defaultRowHeight="12.75" outlineLevelRow="1" x14ac:dyDescent="0.2"/>
  <cols>
    <col min="1" max="1" width="30.28515625" style="2" customWidth="1"/>
    <col min="2" max="2" width="31.7109375" style="2" customWidth="1"/>
    <col min="3" max="3" width="31.5703125" style="2" bestFit="1" customWidth="1"/>
    <col min="4" max="4" width="49.5703125" style="2" customWidth="1"/>
    <col min="5" max="5" width="34.85546875" style="2" customWidth="1"/>
    <col min="6" max="6" width="27.140625" style="2" customWidth="1"/>
    <col min="7" max="7" width="27.42578125" style="2" customWidth="1"/>
    <col min="8" max="8" width="36" style="2" customWidth="1"/>
    <col min="9" max="16384" width="9.140625" style="2"/>
  </cols>
  <sheetData>
    <row r="1" spans="1:7" ht="24.75" customHeight="1" x14ac:dyDescent="0.25">
      <c r="A1" s="134" t="s">
        <v>94</v>
      </c>
    </row>
    <row r="2" spans="1:7" ht="15.75" x14ac:dyDescent="0.25">
      <c r="A2" s="134" t="s">
        <v>1047</v>
      </c>
    </row>
    <row r="3" spans="1:7" x14ac:dyDescent="0.2">
      <c r="A3" s="3"/>
    </row>
    <row r="4" spans="1:7" ht="15.75" x14ac:dyDescent="0.25">
      <c r="A4" s="1" t="s">
        <v>0</v>
      </c>
      <c r="B4" s="2" t="s">
        <v>1</v>
      </c>
      <c r="C4" s="2" t="s">
        <v>2</v>
      </c>
    </row>
    <row r="5" spans="1:7" ht="15" x14ac:dyDescent="0.25">
      <c r="A5" s="386" t="s">
        <v>3</v>
      </c>
      <c r="B5" s="386"/>
      <c r="C5" s="386"/>
      <c r="D5" s="386"/>
      <c r="F5" s="4"/>
    </row>
    <row r="6" spans="1:7" s="6" customFormat="1" outlineLevel="1" x14ac:dyDescent="0.2">
      <c r="A6" s="5" t="s">
        <v>4</v>
      </c>
      <c r="B6" s="5" t="s">
        <v>5</v>
      </c>
      <c r="C6" s="5" t="s">
        <v>6</v>
      </c>
      <c r="D6" s="5" t="s">
        <v>7</v>
      </c>
      <c r="E6" s="5" t="s">
        <v>8</v>
      </c>
      <c r="F6" s="5" t="s">
        <v>10</v>
      </c>
      <c r="G6" s="186"/>
    </row>
    <row r="7" spans="1:7" outlineLevel="1" x14ac:dyDescent="0.2">
      <c r="A7" s="7" t="s">
        <v>94</v>
      </c>
      <c r="B7" s="8">
        <v>190000</v>
      </c>
      <c r="C7" s="9">
        <f>B23</f>
        <v>85933.41</v>
      </c>
      <c r="D7" s="10">
        <f>Таблица11029163037445158657223303744515865727986931009223548627690104107127139151163183152947637995111127143159175183450668298114130146545561577589605619635651667683700717163247627792[Факт, руб.]/Таблица11029163037445158657223303744515865727986931009223548627690104107127139151163183152947637995111127143159175183450668298114130146545561577589605619635651667683700717163247627792[План, руб.]-100%</f>
        <v>-0.5477188947368421</v>
      </c>
      <c r="E7" s="11">
        <f>Таблица11029163037445158657223303744515865727986931009223548627690104107127139151163183152947637995111127143159175183450668298114130146545561577589605619635651667683700717163247627792[Факт, руб.]-Таблица11029163037445158657223303744515865727986931009223548627690104107127139151163183152947637995111127143159175183450668298114130146545561577589605619635651667683700717163247627792[План, руб.]</f>
        <v>-104066.59</v>
      </c>
      <c r="F7" s="9">
        <f>B22</f>
        <v>255961.25</v>
      </c>
      <c r="G7" s="185"/>
    </row>
    <row r="8" spans="1:7" x14ac:dyDescent="0.2">
      <c r="A8" s="12"/>
      <c r="B8" s="13"/>
      <c r="C8" s="13"/>
      <c r="D8" s="14"/>
      <c r="F8" s="15"/>
      <c r="G8" s="16"/>
    </row>
    <row r="9" spans="1:7" ht="15" customHeight="1" x14ac:dyDescent="0.2">
      <c r="A9" s="12"/>
      <c r="B9" s="13"/>
      <c r="C9" s="13"/>
      <c r="D9" s="14"/>
      <c r="F9" s="17"/>
    </row>
    <row r="10" spans="1:7" ht="15" x14ac:dyDescent="0.25">
      <c r="A10" s="386" t="s">
        <v>11</v>
      </c>
      <c r="B10" s="386"/>
      <c r="C10" s="386"/>
      <c r="D10" s="386"/>
      <c r="F10" s="17"/>
    </row>
    <row r="11" spans="1:7" s="6" customFormat="1" outlineLevel="1" x14ac:dyDescent="0.2">
      <c r="A11" s="18" t="s">
        <v>4</v>
      </c>
      <c r="B11" s="19" t="s">
        <v>12</v>
      </c>
      <c r="C11" s="19" t="s">
        <v>13</v>
      </c>
      <c r="D11" s="19" t="s">
        <v>7</v>
      </c>
      <c r="E11" s="19" t="s">
        <v>8</v>
      </c>
      <c r="F11" s="20"/>
    </row>
    <row r="12" spans="1:7" outlineLevel="1" x14ac:dyDescent="0.2">
      <c r="A12" s="7" t="s">
        <v>94</v>
      </c>
      <c r="B12" s="8">
        <f>SUM(C22:C23)</f>
        <v>360000</v>
      </c>
      <c r="C12" s="8">
        <f>B34</f>
        <v>341894.66000000003</v>
      </c>
      <c r="D12" s="21">
        <f>C12/B12-100%</f>
        <v>-5.0292611111111052E-2</v>
      </c>
      <c r="E12" s="8">
        <f>C12-B12</f>
        <v>-18105.339999999967</v>
      </c>
      <c r="F12" s="17"/>
      <c r="G12" s="22"/>
    </row>
    <row r="13" spans="1:7" x14ac:dyDescent="0.2">
      <c r="A13" s="12"/>
      <c r="B13" s="13"/>
      <c r="C13" s="13"/>
      <c r="D13" s="14"/>
      <c r="F13" s="17"/>
    </row>
    <row r="14" spans="1:7" x14ac:dyDescent="0.2">
      <c r="A14" s="13"/>
      <c r="B14" s="13"/>
      <c r="C14" s="13"/>
      <c r="D14" s="14"/>
      <c r="F14" s="17"/>
      <c r="G14" s="22"/>
    </row>
    <row r="15" spans="1:7" ht="15" x14ac:dyDescent="0.25">
      <c r="A15" s="386" t="s">
        <v>393</v>
      </c>
      <c r="B15" s="386"/>
      <c r="C15" s="386"/>
      <c r="D15" s="386"/>
      <c r="F15" s="17"/>
    </row>
    <row r="16" spans="1:7" s="6" customFormat="1" outlineLevel="1" x14ac:dyDescent="0.2">
      <c r="A16" s="5" t="s">
        <v>4</v>
      </c>
      <c r="B16" s="5" t="s">
        <v>16</v>
      </c>
      <c r="C16" s="5" t="s">
        <v>93</v>
      </c>
      <c r="D16" s="5" t="s">
        <v>1037</v>
      </c>
      <c r="E16" s="5" t="s">
        <v>17</v>
      </c>
      <c r="F16" s="23"/>
    </row>
    <row r="17" spans="1:5" outlineLevel="1" x14ac:dyDescent="0.2">
      <c r="A17" s="7" t="s">
        <v>94</v>
      </c>
      <c r="B17" s="8">
        <v>0</v>
      </c>
      <c r="C17" s="24">
        <v>0</v>
      </c>
      <c r="D17" s="24">
        <f>B34</f>
        <v>341894.66000000003</v>
      </c>
      <c r="E17" s="21" t="e">
        <f>Таблица211301731384552596673243138455259667380879410110233649637791105109128140152164184163248648096112128144160176193551678399115131147546562578590606620636652668684701718173348637893[Профит ФГ 25-26]/Таблица211301731384552596673243138455259667380879410110233649637791105109128140152164184163248648096112128144160176193551678399115131147546562578590606620636652668684701718173348637893[Профит ФГ 24-25]</f>
        <v>#DIV/0!</v>
      </c>
    </row>
    <row r="20" spans="1:5" ht="15" x14ac:dyDescent="0.25">
      <c r="A20" s="386" t="s">
        <v>18</v>
      </c>
      <c r="B20" s="386"/>
      <c r="C20" s="386"/>
      <c r="D20" s="386"/>
    </row>
    <row r="21" spans="1:5" outlineLevel="1" x14ac:dyDescent="0.2">
      <c r="A21" s="25" t="s">
        <v>19</v>
      </c>
      <c r="B21" s="26" t="s">
        <v>20</v>
      </c>
      <c r="C21" s="26" t="s">
        <v>21</v>
      </c>
      <c r="D21" s="25" t="s">
        <v>22</v>
      </c>
    </row>
    <row r="22" spans="1:5" outlineLevel="1" x14ac:dyDescent="0.2">
      <c r="A22" s="30" t="s">
        <v>23</v>
      </c>
      <c r="B22" s="31">
        <v>255961.25</v>
      </c>
      <c r="C22" s="31">
        <v>170000</v>
      </c>
      <c r="D22" s="32">
        <f>Таблица4936997167333146617691106[[#This Row],[Профит]]/Таблица4936997167333146617691106[[#This Row],[План]]</f>
        <v>1.5056544117647059</v>
      </c>
    </row>
    <row r="23" spans="1:5" outlineLevel="1" x14ac:dyDescent="0.2">
      <c r="A23" s="30" t="s">
        <v>25</v>
      </c>
      <c r="B23" s="135">
        <v>85933.41</v>
      </c>
      <c r="C23" s="31">
        <v>190000</v>
      </c>
      <c r="D23" s="32">
        <f>Таблица4936997167333146617691106[[#This Row],[Профит]]/Таблица4936997167333146617691106[[#This Row],[План]]</f>
        <v>0.4522811052631579</v>
      </c>
    </row>
    <row r="24" spans="1:5" outlineLevel="1" x14ac:dyDescent="0.2">
      <c r="A24" s="30" t="s">
        <v>26</v>
      </c>
      <c r="B24" s="31">
        <v>0</v>
      </c>
      <c r="C24" s="31">
        <v>210000</v>
      </c>
      <c r="D24" s="32">
        <f>Таблица4936997167333146617691106[[#This Row],[Профит]]/Таблица4936997167333146617691106[[#This Row],[План]]</f>
        <v>0</v>
      </c>
    </row>
    <row r="25" spans="1:5" outlineLevel="1" x14ac:dyDescent="0.2">
      <c r="A25" s="30" t="s">
        <v>27</v>
      </c>
      <c r="B25" s="31">
        <v>0</v>
      </c>
      <c r="C25" s="31">
        <v>220000</v>
      </c>
      <c r="D25" s="32">
        <f>Таблица4936997167333146617691106[[#This Row],[Профит]]/Таблица4936997167333146617691106[[#This Row],[План]]</f>
        <v>0</v>
      </c>
    </row>
    <row r="26" spans="1:5" outlineLevel="1" x14ac:dyDescent="0.2">
      <c r="A26" s="30" t="s">
        <v>28</v>
      </c>
      <c r="B26" s="31">
        <v>0</v>
      </c>
      <c r="C26" s="31">
        <v>250000</v>
      </c>
      <c r="D26" s="32">
        <f>Таблица4936997167333146617691106[[#This Row],[Профит]]/Таблица4936997167333146617691106[[#This Row],[План]]</f>
        <v>0</v>
      </c>
    </row>
    <row r="27" spans="1:5" outlineLevel="1" x14ac:dyDescent="0.2">
      <c r="A27" s="30" t="s">
        <v>29</v>
      </c>
      <c r="B27" s="31">
        <v>0</v>
      </c>
      <c r="C27" s="31">
        <v>270000</v>
      </c>
      <c r="D27" s="32">
        <f>Таблица4936997167333146617691106[[#This Row],[Профит]]/Таблица4936997167333146617691106[[#This Row],[План]]</f>
        <v>0</v>
      </c>
    </row>
    <row r="28" spans="1:5" outlineLevel="1" x14ac:dyDescent="0.2">
      <c r="A28" s="30" t="s">
        <v>30</v>
      </c>
      <c r="B28" s="31">
        <v>0</v>
      </c>
      <c r="C28" s="31">
        <v>270000</v>
      </c>
      <c r="D28" s="32">
        <f>Таблица4936997167333146617691106[[#This Row],[Профит]]/Таблица4936997167333146617691106[[#This Row],[План]]</f>
        <v>0</v>
      </c>
    </row>
    <row r="29" spans="1:5" outlineLevel="1" x14ac:dyDescent="0.2">
      <c r="A29" s="30" t="s">
        <v>31</v>
      </c>
      <c r="B29" s="31">
        <v>0</v>
      </c>
      <c r="C29" s="31">
        <v>330000</v>
      </c>
      <c r="D29" s="32">
        <f>Таблица4936997167333146617691106[[#This Row],[Профит]]/Таблица4936997167333146617691106[[#This Row],[План]]</f>
        <v>0</v>
      </c>
    </row>
    <row r="30" spans="1:5" outlineLevel="1" x14ac:dyDescent="0.2">
      <c r="A30" s="30" t="s">
        <v>32</v>
      </c>
      <c r="B30" s="34">
        <v>0</v>
      </c>
      <c r="C30" s="34">
        <v>390000</v>
      </c>
      <c r="D30" s="32">
        <f>Таблица4936997167333146617691106[[#This Row],[Профит]]/Таблица4936997167333146617691106[[#This Row],[План]]</f>
        <v>0</v>
      </c>
    </row>
    <row r="31" spans="1:5" outlineLevel="1" x14ac:dyDescent="0.2">
      <c r="A31" s="30" t="s">
        <v>33</v>
      </c>
      <c r="B31" s="34">
        <v>0</v>
      </c>
      <c r="C31" s="34">
        <v>300000</v>
      </c>
      <c r="D31" s="32">
        <f>Таблица4936997167333146617691106[[#This Row],[Профит]]/Таблица4936997167333146617691106[[#This Row],[План]]</f>
        <v>0</v>
      </c>
    </row>
    <row r="32" spans="1:5" outlineLevel="1" x14ac:dyDescent="0.2">
      <c r="A32" s="30" t="s">
        <v>34</v>
      </c>
      <c r="B32" s="34">
        <v>0</v>
      </c>
      <c r="C32" s="34">
        <v>330000</v>
      </c>
      <c r="D32" s="32">
        <f>Таблица4936997167333146617691106[[#This Row],[Профит]]/Таблица4936997167333146617691106[[#This Row],[План]]</f>
        <v>0</v>
      </c>
    </row>
    <row r="33" spans="1:8" outlineLevel="1" x14ac:dyDescent="0.2">
      <c r="A33" s="33" t="s">
        <v>35</v>
      </c>
      <c r="B33" s="34">
        <v>0</v>
      </c>
      <c r="C33" s="34">
        <v>360000</v>
      </c>
      <c r="D33" s="32">
        <f>Таблица4936997167333146617691106[[#This Row],[Профит]]/Таблица4936997167333146617691106[[#This Row],[План]]</f>
        <v>0</v>
      </c>
      <c r="H33" s="35"/>
    </row>
    <row r="34" spans="1:8" ht="15" outlineLevel="1" x14ac:dyDescent="0.25">
      <c r="A34" s="36" t="s">
        <v>36</v>
      </c>
      <c r="B34" s="37">
        <f>SUM(B22:B33)</f>
        <v>341894.66000000003</v>
      </c>
      <c r="C34" s="38">
        <f>SUM(C22:C33)</f>
        <v>3290000</v>
      </c>
      <c r="D34" s="39"/>
    </row>
    <row r="35" spans="1:8" outlineLevel="1" x14ac:dyDescent="0.2">
      <c r="A35" s="41" t="s">
        <v>37</v>
      </c>
      <c r="B35" s="42">
        <f>AVERAGE(B22:B23)</f>
        <v>170947.33000000002</v>
      </c>
      <c r="C35" s="42">
        <f>AVERAGE(C22:C33)</f>
        <v>274166.66666666669</v>
      </c>
      <c r="D35" s="43">
        <f>B35/C35</f>
        <v>0.62351609726443769</v>
      </c>
    </row>
    <row r="38" spans="1:8" ht="15" x14ac:dyDescent="0.25">
      <c r="A38" s="386" t="s">
        <v>38</v>
      </c>
      <c r="B38" s="386"/>
      <c r="C38" s="386"/>
      <c r="D38" s="386"/>
    </row>
    <row r="39" spans="1:8" s="45" customFormat="1" outlineLevel="1" x14ac:dyDescent="0.2">
      <c r="A39" s="44" t="s">
        <v>39</v>
      </c>
      <c r="B39" s="44" t="s">
        <v>40</v>
      </c>
      <c r="C39" s="44" t="s">
        <v>41</v>
      </c>
      <c r="D39" s="44" t="s">
        <v>42</v>
      </c>
      <c r="E39" s="44" t="s">
        <v>43</v>
      </c>
      <c r="F39" s="2"/>
    </row>
    <row r="40" spans="1:8" outlineLevel="1" x14ac:dyDescent="0.2">
      <c r="A40" s="8">
        <f>B23</f>
        <v>85933.41</v>
      </c>
      <c r="B40" s="46">
        <f>50000</f>
        <v>50000</v>
      </c>
      <c r="C40" s="136">
        <f>A40*0.065*1.1</f>
        <v>6144.2388150000006</v>
      </c>
      <c r="D40" s="47">
        <f>SUM(G150:G153)</f>
        <v>10200</v>
      </c>
      <c r="E40" s="48">
        <v>0</v>
      </c>
    </row>
    <row r="41" spans="1:8" outlineLevel="1" x14ac:dyDescent="0.2">
      <c r="A41" s="49" t="s">
        <v>44</v>
      </c>
      <c r="B41" s="137">
        <f>Таблица294459759110712313915517118730466278941101261421585565725886026166306466626786947117282843587388103[Оклад]+Таблица294459759110712313915517118730466278941101261421585565725886026166306466626786947117282843587388103[Премия]+Таблица294459759110712313915517118730466278941101261421585565725886026166306466626786947117282843587388103[Штрафы]+Таблица294459759110712313915517118730466278941101261421585565725886026166306466626786947117282843587388103[Доплата за Задачи]</f>
        <v>66344.238815000004</v>
      </c>
      <c r="C41" s="50"/>
    </row>
    <row r="42" spans="1:8" x14ac:dyDescent="0.2">
      <c r="A42" s="40"/>
      <c r="B42" s="40"/>
    </row>
    <row r="43" spans="1:8" x14ac:dyDescent="0.2">
      <c r="A43" s="51"/>
      <c r="B43" s="51"/>
      <c r="C43" s="51"/>
      <c r="D43" s="52"/>
      <c r="E43" s="53"/>
      <c r="F43" s="53"/>
      <c r="H43" s="22"/>
    </row>
    <row r="44" spans="1:8" ht="15" x14ac:dyDescent="0.25">
      <c r="A44" s="386" t="s">
        <v>45</v>
      </c>
      <c r="B44" s="386"/>
      <c r="C44" s="386"/>
      <c r="D44" s="386"/>
      <c r="E44" s="53"/>
      <c r="F44" s="53"/>
      <c r="H44" s="22"/>
    </row>
    <row r="45" spans="1:8" outlineLevel="1" x14ac:dyDescent="0.2">
      <c r="A45" s="5" t="s">
        <v>46</v>
      </c>
      <c r="B45" s="5" t="s">
        <v>47</v>
      </c>
      <c r="C45" s="5" t="s">
        <v>48</v>
      </c>
      <c r="D45" s="54" t="s">
        <v>49</v>
      </c>
      <c r="G45" s="40"/>
    </row>
    <row r="46" spans="1:8" ht="24.95" customHeight="1" outlineLevel="1" x14ac:dyDescent="0.2">
      <c r="A46" s="55" t="s">
        <v>1014</v>
      </c>
      <c r="B46" s="56">
        <v>0</v>
      </c>
      <c r="C46" s="58">
        <v>43232.95</v>
      </c>
      <c r="D46" s="57">
        <v>0</v>
      </c>
      <c r="G46" s="40"/>
    </row>
    <row r="47" spans="1:8" ht="24.95" customHeight="1" outlineLevel="1" x14ac:dyDescent="0.2">
      <c r="A47" s="55" t="s">
        <v>24</v>
      </c>
      <c r="B47" s="60"/>
      <c r="C47" s="60"/>
      <c r="D47" s="61">
        <v>0</v>
      </c>
      <c r="G47" s="62"/>
      <c r="H47" s="6"/>
    </row>
    <row r="48" spans="1:8" outlineLevel="1" x14ac:dyDescent="0.2">
      <c r="A48" s="63"/>
      <c r="B48" s="64" t="s">
        <v>50</v>
      </c>
      <c r="C48" s="65">
        <f>SUM(Таблица546243318323946536067742532394653606774818895102112437506478921061101291411531651851733496581971131291451611772036526884100116132148547563579593607621637653669685702719193449647994[Общая сумма долга])</f>
        <v>43232.95</v>
      </c>
      <c r="D48" s="66">
        <v>0</v>
      </c>
      <c r="E48" s="67" t="s">
        <v>51</v>
      </c>
      <c r="F48" s="51"/>
      <c r="G48" s="51"/>
      <c r="H48" s="51"/>
    </row>
    <row r="49" spans="1:8" outlineLevel="1" x14ac:dyDescent="0.2">
      <c r="A49" s="63"/>
      <c r="B49" s="64"/>
      <c r="C49" s="65"/>
      <c r="D49" s="51"/>
      <c r="E49" s="51"/>
      <c r="F49" s="51"/>
      <c r="G49" s="51"/>
      <c r="H49" s="51"/>
    </row>
    <row r="50" spans="1:8" x14ac:dyDescent="0.2">
      <c r="A50" s="63"/>
      <c r="B50" s="51"/>
      <c r="C50" s="51"/>
      <c r="D50" s="52"/>
      <c r="E50" s="51"/>
      <c r="F50" s="53"/>
      <c r="G50" s="51"/>
      <c r="H50" s="68"/>
    </row>
    <row r="51" spans="1:8" x14ac:dyDescent="0.2">
      <c r="A51" s="63"/>
      <c r="B51" s="51"/>
      <c r="C51" s="51"/>
      <c r="D51" s="52"/>
      <c r="E51" s="51"/>
      <c r="F51" s="53"/>
      <c r="G51" s="51"/>
      <c r="H51" s="68"/>
    </row>
    <row r="52" spans="1:8" ht="15" x14ac:dyDescent="0.25">
      <c r="A52" s="387" t="s">
        <v>52</v>
      </c>
      <c r="B52" s="387"/>
      <c r="C52" s="387"/>
      <c r="D52" s="387"/>
      <c r="E52" s="53"/>
      <c r="F52" s="53"/>
      <c r="G52" s="51"/>
    </row>
    <row r="53" spans="1:8" s="6" customFormat="1" outlineLevel="1" x14ac:dyDescent="0.2">
      <c r="A53" s="18" t="s">
        <v>53</v>
      </c>
      <c r="B53" s="19" t="s">
        <v>54</v>
      </c>
      <c r="C53" s="19" t="s">
        <v>55</v>
      </c>
      <c r="D53" s="69" t="s">
        <v>56</v>
      </c>
      <c r="E53" s="69" t="s">
        <v>4</v>
      </c>
      <c r="F53" s="70" t="s">
        <v>57</v>
      </c>
    </row>
    <row r="54" spans="1:8" s="6" customFormat="1" ht="26.25" customHeight="1" outlineLevel="1" x14ac:dyDescent="0.2">
      <c r="A54" s="173" t="s">
        <v>1154</v>
      </c>
      <c r="B54" s="246">
        <v>31333</v>
      </c>
      <c r="C54" s="131">
        <v>31333</v>
      </c>
      <c r="D54" s="249">
        <v>1</v>
      </c>
      <c r="E54" s="177" t="s">
        <v>94</v>
      </c>
      <c r="F54" s="250" t="s">
        <v>1155</v>
      </c>
    </row>
    <row r="55" spans="1:8" s="6" customFormat="1" ht="26.25" customHeight="1" outlineLevel="1" x14ac:dyDescent="0.2">
      <c r="A55" s="173" t="s">
        <v>104</v>
      </c>
      <c r="B55" s="246">
        <v>383428.59</v>
      </c>
      <c r="C55" s="131">
        <v>30419.34</v>
      </c>
      <c r="D55" s="249">
        <v>8.5999999999999993E-2</v>
      </c>
      <c r="E55" s="177" t="s">
        <v>94</v>
      </c>
      <c r="F55" s="250" t="s">
        <v>1151</v>
      </c>
    </row>
    <row r="56" spans="1:8" s="6" customFormat="1" ht="26.25" customHeight="1" outlineLevel="1" x14ac:dyDescent="0.2">
      <c r="A56" s="173" t="s">
        <v>1014</v>
      </c>
      <c r="B56" s="131">
        <v>43232.95</v>
      </c>
      <c r="C56" s="131">
        <v>7666.71</v>
      </c>
      <c r="D56" s="251">
        <v>0.216</v>
      </c>
      <c r="E56" s="177" t="s">
        <v>94</v>
      </c>
      <c r="F56" s="250" t="s">
        <v>1152</v>
      </c>
    </row>
    <row r="57" spans="1:8" s="6" customFormat="1" ht="24" customHeight="1" outlineLevel="1" x14ac:dyDescent="0.2">
      <c r="A57" s="173" t="s">
        <v>1041</v>
      </c>
      <c r="B57" s="246">
        <v>21600</v>
      </c>
      <c r="C57" s="131">
        <v>6111.18</v>
      </c>
      <c r="D57" s="249">
        <v>0.39500000000000002</v>
      </c>
      <c r="E57" s="177" t="s">
        <v>94</v>
      </c>
      <c r="F57" s="250" t="s">
        <v>1153</v>
      </c>
    </row>
    <row r="58" spans="1:8" ht="24.95" customHeight="1" outlineLevel="1" x14ac:dyDescent="0.2">
      <c r="A58" s="173"/>
      <c r="B58" s="246"/>
      <c r="C58" s="131"/>
      <c r="D58" s="249"/>
      <c r="E58" s="177"/>
      <c r="F58" s="250"/>
    </row>
    <row r="59" spans="1:8" x14ac:dyDescent="0.2">
      <c r="A59" s="51"/>
      <c r="B59" s="51"/>
      <c r="C59" s="51"/>
      <c r="D59" s="52"/>
      <c r="E59" s="51"/>
      <c r="F59" s="53"/>
      <c r="G59" s="51"/>
    </row>
    <row r="60" spans="1:8" ht="15" x14ac:dyDescent="0.25">
      <c r="A60" s="386" t="s">
        <v>58</v>
      </c>
      <c r="B60" s="386"/>
      <c r="C60" s="386"/>
      <c r="D60" s="386"/>
      <c r="E60" s="79"/>
      <c r="F60" s="79"/>
    </row>
    <row r="61" spans="1:8" ht="15" customHeight="1" outlineLevel="1" x14ac:dyDescent="0.2">
      <c r="A61" s="80">
        <v>45778</v>
      </c>
      <c r="B61" s="81" t="s">
        <v>21</v>
      </c>
      <c r="C61" s="81" t="s">
        <v>59</v>
      </c>
      <c r="D61" s="81" t="s">
        <v>60</v>
      </c>
      <c r="E61" s="81" t="s">
        <v>61</v>
      </c>
      <c r="F61" s="81" t="s">
        <v>62</v>
      </c>
      <c r="G61" s="81" t="s">
        <v>63</v>
      </c>
      <c r="H61" s="81" t="s">
        <v>64</v>
      </c>
    </row>
    <row r="62" spans="1:8" outlineLevel="1" x14ac:dyDescent="0.2">
      <c r="A62" s="82"/>
      <c r="B62" s="83">
        <v>210000</v>
      </c>
      <c r="C62" s="24">
        <v>0</v>
      </c>
      <c r="D62" s="83">
        <v>40000</v>
      </c>
      <c r="E62" s="83">
        <v>37000</v>
      </c>
      <c r="F62" s="83">
        <v>436000</v>
      </c>
      <c r="G62" s="83">
        <f>C62+D62+E62*0.5+F62*0.05</f>
        <v>80300</v>
      </c>
      <c r="H62" s="85">
        <f>Таблица9132738193340475461687582899682891101171241311381451521591661731801871945121926334047546168758289961031101171241311381451521591661741821902052131241361481601721922440627894110126142158174190334965819711312914516155957559160361763164766367969571104[[#This Row],[Столбец6]]/Таблица9132738193340475461687582899682891101171241311381451521591661731801871945121926334047546168758289961031101171241311381451521591661741821902052131241361481601721922440627894110126142158174190334965819711312914516155957559160361763164766367969571104[[#This Row],[Столбец1]]</f>
        <v>0.38238095238095238</v>
      </c>
    </row>
    <row r="63" spans="1:8" outlineLevel="1" x14ac:dyDescent="0.2">
      <c r="A63" s="40"/>
      <c r="B63" s="40"/>
      <c r="C63" s="40"/>
      <c r="D63" s="40"/>
      <c r="E63" s="40"/>
      <c r="F63" s="40"/>
      <c r="G63" s="40"/>
      <c r="H63" s="86"/>
    </row>
    <row r="64" spans="1:8" outlineLevel="1" x14ac:dyDescent="0.2">
      <c r="A64" s="80">
        <v>45809</v>
      </c>
      <c r="B64" s="81" t="s">
        <v>21</v>
      </c>
      <c r="C64" s="81" t="s">
        <v>59</v>
      </c>
      <c r="D64" s="81" t="s">
        <v>60</v>
      </c>
      <c r="E64" s="81" t="s">
        <v>61</v>
      </c>
      <c r="F64" s="81" t="s">
        <v>62</v>
      </c>
      <c r="G64" s="81" t="s">
        <v>63</v>
      </c>
      <c r="H64" s="81" t="s">
        <v>64</v>
      </c>
    </row>
    <row r="65" spans="1:9" ht="15" customHeight="1" outlineLevel="1" x14ac:dyDescent="0.2">
      <c r="A65" s="87"/>
      <c r="B65" s="83">
        <v>220000</v>
      </c>
      <c r="C65" s="24">
        <v>0</v>
      </c>
      <c r="D65" s="260">
        <v>0</v>
      </c>
      <c r="E65" s="24">
        <v>37000</v>
      </c>
      <c r="F65" s="234">
        <v>0</v>
      </c>
      <c r="G65" s="83">
        <f>C65+D65+E65*0.5+F65*0.05</f>
        <v>18500</v>
      </c>
      <c r="H65" s="85">
        <f>Таблица9132738193340475461687582899682891101171241311381451521591661731801871945121926334047546168758289961031101171241311381451521591661741821902052131191251371491611731932541567288104120136152168184274359759110712313915555356958559961362764365967569100[[#This Row],[Столбец6]]/Таблица9132738193340475461687582899682891101171241311381451521591661731801871945121926334047546168758289961031101171241311381451521591661741821902052131191251371491611731932541567288104120136152168184274359759110712313915555356958559961362764365967569100[[#This Row],[Столбец1]]</f>
        <v>8.4090909090909091E-2</v>
      </c>
    </row>
    <row r="66" spans="1:9" x14ac:dyDescent="0.2">
      <c r="A66" s="63"/>
      <c r="B66" s="51"/>
      <c r="C66" s="51"/>
      <c r="D66" s="52"/>
      <c r="E66" s="51"/>
    </row>
    <row r="67" spans="1:9" x14ac:dyDescent="0.2">
      <c r="A67" s="51"/>
      <c r="B67" s="51"/>
      <c r="C67" s="51"/>
      <c r="D67" s="52"/>
      <c r="E67" s="51"/>
    </row>
    <row r="68" spans="1:9" ht="15.75" x14ac:dyDescent="0.25">
      <c r="A68" s="88" t="s">
        <v>65</v>
      </c>
      <c r="B68" s="89"/>
    </row>
    <row r="69" spans="1:9" ht="15" x14ac:dyDescent="0.25">
      <c r="A69" s="387" t="s">
        <v>66</v>
      </c>
      <c r="B69" s="387"/>
      <c r="C69" s="387"/>
      <c r="D69" s="387"/>
      <c r="E69" s="90"/>
      <c r="F69" s="90"/>
      <c r="G69" s="235">
        <f>SUM(Таблица4211720344148556269768390978390111118125132139146153160167174181188195613202734414855626976839097104111118125132139146153160167175183198206214123135147159171191233955718710311913515116718326425874901061221381545525685845986126266426586746907077299[Сумма, тыс. руб.])*1000</f>
        <v>4075000</v>
      </c>
    </row>
    <row r="70" spans="1:9" outlineLevel="1" x14ac:dyDescent="0.2">
      <c r="A70" s="91" t="s">
        <v>67</v>
      </c>
      <c r="B70" s="91" t="s">
        <v>53</v>
      </c>
      <c r="C70" s="91" t="s">
        <v>4</v>
      </c>
      <c r="D70" s="91" t="s">
        <v>68</v>
      </c>
      <c r="E70" s="91" t="s">
        <v>69</v>
      </c>
      <c r="F70" s="91" t="s">
        <v>70</v>
      </c>
      <c r="G70" s="91" t="s">
        <v>71</v>
      </c>
      <c r="H70" s="91" t="s">
        <v>72</v>
      </c>
    </row>
    <row r="71" spans="1:9" s="258" customFormat="1" ht="24.95" customHeight="1" outlineLevel="1" x14ac:dyDescent="0.2">
      <c r="A71" s="230" t="s">
        <v>997</v>
      </c>
      <c r="B71" s="230" t="s">
        <v>1009</v>
      </c>
      <c r="C71" s="177" t="s">
        <v>94</v>
      </c>
      <c r="D71" s="173" t="s">
        <v>73</v>
      </c>
      <c r="E71" s="230" t="s">
        <v>998</v>
      </c>
      <c r="F71" s="218">
        <v>45809</v>
      </c>
      <c r="G71" s="131">
        <v>728</v>
      </c>
      <c r="H71" s="173" t="s">
        <v>1019</v>
      </c>
    </row>
    <row r="72" spans="1:9" s="258" customFormat="1" ht="24.95" customHeight="1" outlineLevel="1" x14ac:dyDescent="0.2">
      <c r="A72" s="230" t="s">
        <v>995</v>
      </c>
      <c r="B72" s="230" t="s">
        <v>1008</v>
      </c>
      <c r="C72" s="177" t="s">
        <v>94</v>
      </c>
      <c r="D72" s="173" t="s">
        <v>573</v>
      </c>
      <c r="E72" s="230" t="s">
        <v>994</v>
      </c>
      <c r="F72" s="218">
        <v>45809</v>
      </c>
      <c r="G72" s="131">
        <v>500</v>
      </c>
      <c r="H72" s="173" t="s">
        <v>996</v>
      </c>
    </row>
    <row r="73" spans="1:9" s="258" customFormat="1" ht="24.95" customHeight="1" outlineLevel="1" x14ac:dyDescent="0.2">
      <c r="A73" s="190" t="s">
        <v>1020</v>
      </c>
      <c r="B73" s="176" t="s">
        <v>954</v>
      </c>
      <c r="C73" s="177" t="s">
        <v>94</v>
      </c>
      <c r="D73" s="173" t="s">
        <v>73</v>
      </c>
      <c r="E73" s="178" t="s">
        <v>102</v>
      </c>
      <c r="F73" s="218">
        <v>45839</v>
      </c>
      <c r="G73" s="131">
        <v>456</v>
      </c>
      <c r="H73" s="173" t="s">
        <v>280</v>
      </c>
    </row>
    <row r="74" spans="1:9" ht="24.95" customHeight="1" outlineLevel="1" x14ac:dyDescent="0.2">
      <c r="A74" s="74" t="s">
        <v>999</v>
      </c>
      <c r="B74" s="74" t="s">
        <v>992</v>
      </c>
      <c r="C74" s="93" t="s">
        <v>94</v>
      </c>
      <c r="D74" s="94" t="s">
        <v>73</v>
      </c>
      <c r="E74" s="94" t="s">
        <v>1000</v>
      </c>
      <c r="F74" s="218">
        <v>45809</v>
      </c>
      <c r="G74" s="72">
        <v>450</v>
      </c>
      <c r="H74" s="94" t="s">
        <v>996</v>
      </c>
      <c r="I74" s="236"/>
    </row>
    <row r="75" spans="1:9" ht="24.95" customHeight="1" outlineLevel="1" x14ac:dyDescent="0.2">
      <c r="A75" s="190" t="s">
        <v>1002</v>
      </c>
      <c r="B75" s="176" t="s">
        <v>1029</v>
      </c>
      <c r="C75" s="93" t="s">
        <v>94</v>
      </c>
      <c r="D75" s="177" t="s">
        <v>73</v>
      </c>
      <c r="E75" s="178" t="s">
        <v>1157</v>
      </c>
      <c r="F75" s="218">
        <v>45839</v>
      </c>
      <c r="G75" s="131">
        <v>400</v>
      </c>
      <c r="H75" s="173" t="s">
        <v>280</v>
      </c>
      <c r="I75" s="236"/>
    </row>
    <row r="76" spans="1:9" ht="24.95" customHeight="1" outlineLevel="1" x14ac:dyDescent="0.2">
      <c r="A76" s="190" t="s">
        <v>1005</v>
      </c>
      <c r="B76" s="176" t="s">
        <v>1006</v>
      </c>
      <c r="C76" s="177" t="s">
        <v>94</v>
      </c>
      <c r="D76" s="177" t="s">
        <v>573</v>
      </c>
      <c r="E76" s="178" t="s">
        <v>1004</v>
      </c>
      <c r="F76" s="218">
        <v>45809</v>
      </c>
      <c r="G76" s="131">
        <v>386</v>
      </c>
      <c r="H76" s="173" t="s">
        <v>168</v>
      </c>
      <c r="I76" s="236"/>
    </row>
    <row r="77" spans="1:9" ht="24.95" customHeight="1" outlineLevel="1" x14ac:dyDescent="0.2">
      <c r="A77" s="190" t="s">
        <v>1021</v>
      </c>
      <c r="B77" s="176" t="s">
        <v>1022</v>
      </c>
      <c r="C77" s="177" t="s">
        <v>94</v>
      </c>
      <c r="D77" s="177" t="s">
        <v>573</v>
      </c>
      <c r="E77" s="178" t="s">
        <v>994</v>
      </c>
      <c r="F77" s="218">
        <v>45809</v>
      </c>
      <c r="G77" s="131">
        <v>380</v>
      </c>
      <c r="H77" s="173" t="s">
        <v>996</v>
      </c>
      <c r="I77" s="236"/>
    </row>
    <row r="78" spans="1:9" ht="24.95" customHeight="1" outlineLevel="1" x14ac:dyDescent="0.2">
      <c r="A78" s="190" t="s">
        <v>822</v>
      </c>
      <c r="B78" s="176" t="s">
        <v>1038</v>
      </c>
      <c r="C78" s="177" t="s">
        <v>94</v>
      </c>
      <c r="D78" s="177" t="s">
        <v>573</v>
      </c>
      <c r="E78" s="178" t="s">
        <v>1004</v>
      </c>
      <c r="F78" s="218">
        <v>45809</v>
      </c>
      <c r="G78" s="131">
        <v>351</v>
      </c>
      <c r="H78" s="173" t="s">
        <v>168</v>
      </c>
      <c r="I78" s="236"/>
    </row>
    <row r="79" spans="1:9" ht="24.95" customHeight="1" outlineLevel="1" x14ac:dyDescent="0.2">
      <c r="A79" s="190" t="s">
        <v>1146</v>
      </c>
      <c r="B79" s="176" t="s">
        <v>1029</v>
      </c>
      <c r="C79" s="177" t="s">
        <v>94</v>
      </c>
      <c r="D79" s="177" t="s">
        <v>73</v>
      </c>
      <c r="E79" s="178" t="s">
        <v>1147</v>
      </c>
      <c r="F79" s="218">
        <v>45809</v>
      </c>
      <c r="G79" s="131">
        <v>251</v>
      </c>
      <c r="H79" s="173" t="s">
        <v>168</v>
      </c>
      <c r="I79" s="236"/>
    </row>
    <row r="80" spans="1:9" ht="24.95" customHeight="1" outlineLevel="1" x14ac:dyDescent="0.2">
      <c r="A80" s="190" t="s">
        <v>1140</v>
      </c>
      <c r="B80" s="176" t="s">
        <v>1139</v>
      </c>
      <c r="C80" s="177" t="s">
        <v>94</v>
      </c>
      <c r="D80" s="177" t="s">
        <v>184</v>
      </c>
      <c r="E80" s="178" t="s">
        <v>1138</v>
      </c>
      <c r="F80" s="218">
        <v>45809</v>
      </c>
      <c r="G80" s="131">
        <v>94</v>
      </c>
      <c r="H80" s="173" t="s">
        <v>168</v>
      </c>
      <c r="I80" s="236"/>
    </row>
    <row r="81" spans="1:10" ht="24.95" customHeight="1" outlineLevel="1" x14ac:dyDescent="0.2">
      <c r="A81" s="190" t="s">
        <v>1137</v>
      </c>
      <c r="B81" s="176" t="s">
        <v>1136</v>
      </c>
      <c r="C81" s="177" t="s">
        <v>94</v>
      </c>
      <c r="D81" s="177" t="s">
        <v>184</v>
      </c>
      <c r="E81" s="178" t="s">
        <v>1138</v>
      </c>
      <c r="F81" s="218">
        <v>45809</v>
      </c>
      <c r="G81" s="131">
        <v>79</v>
      </c>
      <c r="H81" s="173" t="s">
        <v>168</v>
      </c>
      <c r="I81" s="236"/>
    </row>
    <row r="82" spans="1:10" x14ac:dyDescent="0.2">
      <c r="A82" s="223"/>
      <c r="B82" s="104"/>
      <c r="C82" s="105"/>
      <c r="D82" s="106"/>
      <c r="E82" s="106"/>
      <c r="F82" s="107"/>
      <c r="G82" s="108"/>
      <c r="H82" s="106"/>
    </row>
    <row r="83" spans="1:10" x14ac:dyDescent="0.2">
      <c r="A83" s="104"/>
      <c r="B83" s="104"/>
      <c r="C83" s="105"/>
      <c r="D83" s="106"/>
      <c r="E83" s="106"/>
      <c r="F83" s="107"/>
      <c r="G83" s="108"/>
      <c r="H83" s="106"/>
    </row>
    <row r="84" spans="1:10" ht="15" x14ac:dyDescent="0.25">
      <c r="A84" s="387" t="s">
        <v>74</v>
      </c>
      <c r="B84" s="387"/>
      <c r="C84" s="387"/>
      <c r="D84" s="387"/>
      <c r="G84" s="235">
        <f>SUM(Таблица125138150162174194264257738910512113715316918528446076921081241401565545705866006146286446606766927097262641567186101[Сумма])*1000</f>
        <v>1212000</v>
      </c>
    </row>
    <row r="85" spans="1:10" outlineLevel="1" x14ac:dyDescent="0.2">
      <c r="A85" s="91" t="s">
        <v>67</v>
      </c>
      <c r="B85" s="91" t="s">
        <v>53</v>
      </c>
      <c r="C85" s="91" t="s">
        <v>4</v>
      </c>
      <c r="D85" s="91" t="s">
        <v>68</v>
      </c>
      <c r="E85" s="91" t="s">
        <v>69</v>
      </c>
      <c r="F85" s="91" t="s">
        <v>70</v>
      </c>
      <c r="G85" s="91" t="s">
        <v>75</v>
      </c>
      <c r="H85" s="91" t="s">
        <v>72</v>
      </c>
    </row>
    <row r="86" spans="1:10" ht="24.95" customHeight="1" outlineLevel="1" x14ac:dyDescent="0.2">
      <c r="A86" s="190" t="s">
        <v>1141</v>
      </c>
      <c r="B86" s="220" t="s">
        <v>104</v>
      </c>
      <c r="C86" s="93" t="s">
        <v>94</v>
      </c>
      <c r="D86" s="94" t="s">
        <v>73</v>
      </c>
      <c r="E86" s="221" t="s">
        <v>282</v>
      </c>
      <c r="F86" s="179">
        <v>45778</v>
      </c>
      <c r="G86" s="131">
        <v>251</v>
      </c>
      <c r="H86" s="173" t="s">
        <v>107</v>
      </c>
    </row>
    <row r="87" spans="1:10" ht="24.95" customHeight="1" outlineLevel="1" x14ac:dyDescent="0.2">
      <c r="A87" s="190" t="s">
        <v>1146</v>
      </c>
      <c r="B87" s="220" t="s">
        <v>1029</v>
      </c>
      <c r="C87" s="93" t="s">
        <v>94</v>
      </c>
      <c r="D87" s="94" t="s">
        <v>73</v>
      </c>
      <c r="E87" s="221" t="s">
        <v>1147</v>
      </c>
      <c r="F87" s="224">
        <v>45809</v>
      </c>
      <c r="G87" s="131">
        <v>251</v>
      </c>
      <c r="H87" s="173" t="s">
        <v>168</v>
      </c>
      <c r="J87" s="212"/>
    </row>
    <row r="88" spans="1:10" ht="24.95" customHeight="1" outlineLevel="1" x14ac:dyDescent="0.2">
      <c r="A88" s="74" t="s">
        <v>1148</v>
      </c>
      <c r="B88" s="74" t="s">
        <v>1029</v>
      </c>
      <c r="C88" s="93" t="s">
        <v>94</v>
      </c>
      <c r="D88" s="94" t="s">
        <v>73</v>
      </c>
      <c r="E88" s="74" t="s">
        <v>1149</v>
      </c>
      <c r="F88" s="179">
        <v>45778</v>
      </c>
      <c r="G88" s="72">
        <v>225</v>
      </c>
      <c r="H88" s="94" t="s">
        <v>252</v>
      </c>
      <c r="I88" s="236"/>
    </row>
    <row r="89" spans="1:10" ht="24.95" customHeight="1" outlineLevel="1" x14ac:dyDescent="0.2">
      <c r="A89" s="74" t="s">
        <v>1143</v>
      </c>
      <c r="B89" s="74" t="s">
        <v>104</v>
      </c>
      <c r="C89" s="93" t="s">
        <v>94</v>
      </c>
      <c r="D89" s="94" t="s">
        <v>73</v>
      </c>
      <c r="E89" s="74" t="s">
        <v>1144</v>
      </c>
      <c r="F89" s="179">
        <v>45778</v>
      </c>
      <c r="G89" s="72">
        <v>138</v>
      </c>
      <c r="H89" s="173" t="s">
        <v>107</v>
      </c>
    </row>
    <row r="90" spans="1:10" ht="24.95" customHeight="1" outlineLevel="1" x14ac:dyDescent="0.2">
      <c r="A90" s="173" t="s">
        <v>1140</v>
      </c>
      <c r="B90" s="94" t="s">
        <v>1139</v>
      </c>
      <c r="C90" s="93" t="s">
        <v>94</v>
      </c>
      <c r="D90" s="93" t="s">
        <v>184</v>
      </c>
      <c r="E90" s="221" t="s">
        <v>1138</v>
      </c>
      <c r="F90" s="224">
        <v>45809</v>
      </c>
      <c r="G90" s="225">
        <v>94</v>
      </c>
      <c r="H90" s="173" t="s">
        <v>168</v>
      </c>
    </row>
    <row r="91" spans="1:10" ht="24.95" customHeight="1" outlineLevel="1" x14ac:dyDescent="0.2">
      <c r="A91" s="94" t="s">
        <v>1142</v>
      </c>
      <c r="B91" s="94" t="s">
        <v>985</v>
      </c>
      <c r="C91" s="93" t="s">
        <v>94</v>
      </c>
      <c r="D91" s="94" t="s">
        <v>73</v>
      </c>
      <c r="E91" s="221" t="s">
        <v>251</v>
      </c>
      <c r="F91" s="179">
        <v>45778</v>
      </c>
      <c r="G91" s="219">
        <v>90</v>
      </c>
      <c r="H91" s="173" t="s">
        <v>107</v>
      </c>
    </row>
    <row r="92" spans="1:10" ht="24.95" customHeight="1" outlineLevel="1" x14ac:dyDescent="0.2">
      <c r="A92" s="74" t="s">
        <v>1145</v>
      </c>
      <c r="B92" s="74" t="s">
        <v>104</v>
      </c>
      <c r="C92" s="93" t="s">
        <v>94</v>
      </c>
      <c r="D92" s="94" t="s">
        <v>73</v>
      </c>
      <c r="E92" s="94" t="s">
        <v>1149</v>
      </c>
      <c r="F92" s="259">
        <v>45778</v>
      </c>
      <c r="G92" s="72">
        <v>84</v>
      </c>
      <c r="H92" s="94" t="s">
        <v>252</v>
      </c>
    </row>
    <row r="93" spans="1:10" ht="24.95" customHeight="1" outlineLevel="1" x14ac:dyDescent="0.2">
      <c r="A93" s="244" t="s">
        <v>1137</v>
      </c>
      <c r="B93" s="244" t="s">
        <v>1136</v>
      </c>
      <c r="C93" s="93" t="s">
        <v>94</v>
      </c>
      <c r="D93" s="93" t="s">
        <v>184</v>
      </c>
      <c r="E93" s="221" t="s">
        <v>1138</v>
      </c>
      <c r="F93" s="259">
        <v>45809</v>
      </c>
      <c r="G93" s="72">
        <v>79</v>
      </c>
      <c r="H93" s="94" t="s">
        <v>168</v>
      </c>
    </row>
    <row r="94" spans="1:10" ht="15" customHeight="1" x14ac:dyDescent="0.2"/>
    <row r="95" spans="1:10" ht="15" customHeight="1" x14ac:dyDescent="0.2"/>
    <row r="96" spans="1:10" ht="15.75" x14ac:dyDescent="0.25">
      <c r="A96" s="1" t="s">
        <v>76</v>
      </c>
    </row>
    <row r="97" spans="1:7" ht="15" x14ac:dyDescent="0.25">
      <c r="A97" s="386" t="s">
        <v>77</v>
      </c>
      <c r="B97" s="386"/>
      <c r="C97" s="386"/>
      <c r="D97" s="386"/>
      <c r="E97" s="110"/>
      <c r="F97" s="111"/>
    </row>
    <row r="98" spans="1:7" s="104" customFormat="1" outlineLevel="1" x14ac:dyDescent="0.25">
      <c r="A98" s="112" t="s">
        <v>78</v>
      </c>
      <c r="B98" s="112" t="s">
        <v>53</v>
      </c>
      <c r="C98" s="91" t="s">
        <v>4</v>
      </c>
      <c r="D98" s="112" t="s">
        <v>79</v>
      </c>
      <c r="E98" s="91" t="s">
        <v>80</v>
      </c>
      <c r="F98" s="112" t="s">
        <v>81</v>
      </c>
      <c r="G98" s="112" t="s">
        <v>82</v>
      </c>
    </row>
    <row r="99" spans="1:7" s="104" customFormat="1" ht="24.75" customHeight="1" outlineLevel="1" x14ac:dyDescent="0.25">
      <c r="A99" s="253">
        <v>45797</v>
      </c>
      <c r="B99" s="230" t="s">
        <v>1066</v>
      </c>
      <c r="C99" s="93" t="s">
        <v>94</v>
      </c>
      <c r="D99" s="173" t="s">
        <v>1065</v>
      </c>
      <c r="E99" s="173" t="s">
        <v>995</v>
      </c>
      <c r="F99" s="173" t="s">
        <v>1135</v>
      </c>
      <c r="G99" s="173" t="s">
        <v>1134</v>
      </c>
    </row>
    <row r="100" spans="1:7" s="104" customFormat="1" ht="12" customHeight="1" outlineLevel="1" x14ac:dyDescent="0.2">
      <c r="A100" s="2"/>
      <c r="B100" s="118"/>
      <c r="C100" s="2"/>
      <c r="D100" s="2"/>
      <c r="E100" s="2"/>
      <c r="F100" s="2"/>
      <c r="G100" s="2"/>
    </row>
    <row r="101" spans="1:7" ht="24" customHeight="1" outlineLevel="1" x14ac:dyDescent="0.2">
      <c r="A101" s="118"/>
      <c r="B101" s="118"/>
    </row>
    <row r="102" spans="1:7" ht="24" customHeight="1" outlineLevel="1" x14ac:dyDescent="0.25">
      <c r="A102" s="387" t="s">
        <v>83</v>
      </c>
      <c r="B102" s="387"/>
      <c r="C102" s="387"/>
      <c r="D102" s="387"/>
      <c r="E102" s="212"/>
    </row>
    <row r="103" spans="1:7" ht="24" customHeight="1" outlineLevel="1" x14ac:dyDescent="0.2">
      <c r="A103" s="112" t="s">
        <v>78</v>
      </c>
      <c r="B103" s="112" t="s">
        <v>53</v>
      </c>
      <c r="C103" s="91" t="s">
        <v>4</v>
      </c>
      <c r="D103" s="112" t="s">
        <v>79</v>
      </c>
      <c r="E103" s="91" t="s">
        <v>80</v>
      </c>
      <c r="F103" s="112" t="s">
        <v>81</v>
      </c>
      <c r="G103" s="112" t="s">
        <v>82</v>
      </c>
    </row>
    <row r="104" spans="1:7" ht="24" customHeight="1" outlineLevel="1" x14ac:dyDescent="0.2">
      <c r="A104" s="243">
        <v>45790</v>
      </c>
      <c r="B104" s="94" t="s">
        <v>1110</v>
      </c>
      <c r="C104" s="93" t="s">
        <v>94</v>
      </c>
      <c r="D104" s="233" t="s">
        <v>1111</v>
      </c>
      <c r="E104" s="94"/>
      <c r="F104" s="94"/>
      <c r="G104" s="94" t="s">
        <v>1091</v>
      </c>
    </row>
    <row r="105" spans="1:7" ht="24" customHeight="1" outlineLevel="1" x14ac:dyDescent="0.2">
      <c r="A105" s="187">
        <v>45797</v>
      </c>
      <c r="B105" s="116" t="s">
        <v>1061</v>
      </c>
      <c r="C105" s="93" t="s">
        <v>94</v>
      </c>
      <c r="D105" s="191" t="s">
        <v>1062</v>
      </c>
      <c r="E105" s="109"/>
      <c r="F105" s="109"/>
      <c r="G105" s="109" t="s">
        <v>1060</v>
      </c>
    </row>
    <row r="106" spans="1:7" ht="24" customHeight="1" outlineLevel="1" x14ac:dyDescent="0.2">
      <c r="A106" s="187">
        <v>45797</v>
      </c>
      <c r="B106" s="116" t="s">
        <v>1057</v>
      </c>
      <c r="C106" s="93" t="s">
        <v>94</v>
      </c>
      <c r="D106" s="191" t="s">
        <v>1056</v>
      </c>
      <c r="E106" s="109"/>
      <c r="F106" s="55"/>
      <c r="G106" s="109" t="s">
        <v>1055</v>
      </c>
    </row>
    <row r="107" spans="1:7" ht="24" customHeight="1" outlineLevel="1" x14ac:dyDescent="0.2">
      <c r="A107" s="187">
        <v>45797</v>
      </c>
      <c r="B107" s="116" t="s">
        <v>1068</v>
      </c>
      <c r="C107" s="93" t="s">
        <v>94</v>
      </c>
      <c r="D107" s="116" t="s">
        <v>1069</v>
      </c>
      <c r="E107" s="109"/>
      <c r="F107" s="109"/>
      <c r="G107" s="109" t="s">
        <v>1067</v>
      </c>
    </row>
    <row r="108" spans="1:7" ht="24" customHeight="1" outlineLevel="1" x14ac:dyDescent="0.2">
      <c r="A108" s="265">
        <v>45798</v>
      </c>
      <c r="B108" s="265" t="s">
        <v>1077</v>
      </c>
      <c r="C108" s="268" t="s">
        <v>94</v>
      </c>
      <c r="D108" s="265" t="s">
        <v>1078</v>
      </c>
      <c r="E108" s="267"/>
      <c r="F108" s="267"/>
      <c r="G108" s="267" t="s">
        <v>1076</v>
      </c>
    </row>
    <row r="109" spans="1:7" ht="24" customHeight="1" outlineLevel="1" x14ac:dyDescent="0.2">
      <c r="A109" s="266">
        <v>45798</v>
      </c>
      <c r="B109" s="265" t="s">
        <v>1079</v>
      </c>
      <c r="C109" s="268" t="s">
        <v>94</v>
      </c>
      <c r="D109" s="265" t="s">
        <v>1080</v>
      </c>
      <c r="E109" s="267"/>
      <c r="F109" s="267"/>
      <c r="G109" s="267" t="s">
        <v>1081</v>
      </c>
    </row>
    <row r="110" spans="1:7" ht="24" customHeight="1" outlineLevel="1" x14ac:dyDescent="0.2">
      <c r="A110" s="266">
        <v>45798</v>
      </c>
      <c r="B110" s="265" t="s">
        <v>1083</v>
      </c>
      <c r="C110" s="268" t="s">
        <v>94</v>
      </c>
      <c r="D110" s="269" t="s">
        <v>1082</v>
      </c>
      <c r="E110" s="267"/>
      <c r="F110" s="267"/>
      <c r="G110" s="267" t="s">
        <v>1084</v>
      </c>
    </row>
    <row r="111" spans="1:7" ht="24" customHeight="1" outlineLevel="1" x14ac:dyDescent="0.2">
      <c r="A111" s="266">
        <v>45799</v>
      </c>
      <c r="B111" s="265" t="s">
        <v>1075</v>
      </c>
      <c r="C111" s="268" t="s">
        <v>94</v>
      </c>
      <c r="D111" s="265" t="s">
        <v>1074</v>
      </c>
      <c r="E111" s="267"/>
      <c r="F111" s="267"/>
      <c r="G111" s="267" t="s">
        <v>1073</v>
      </c>
    </row>
    <row r="112" spans="1:7" ht="24" customHeight="1" outlineLevel="1" x14ac:dyDescent="0.2">
      <c r="A112" s="266">
        <v>45799</v>
      </c>
      <c r="B112" s="265" t="s">
        <v>1071</v>
      </c>
      <c r="C112" s="268" t="s">
        <v>94</v>
      </c>
      <c r="D112" s="265" t="s">
        <v>1072</v>
      </c>
      <c r="E112" s="267"/>
      <c r="F112" s="267"/>
      <c r="G112" s="267" t="s">
        <v>1070</v>
      </c>
    </row>
    <row r="113" spans="1:7" ht="24" customHeight="1" outlineLevel="1" x14ac:dyDescent="0.2">
      <c r="A113" s="266">
        <v>45804</v>
      </c>
      <c r="B113" s="265" t="s">
        <v>1116</v>
      </c>
      <c r="C113" s="268" t="s">
        <v>94</v>
      </c>
      <c r="D113" s="265" t="s">
        <v>1114</v>
      </c>
      <c r="E113" s="267"/>
      <c r="F113" s="267"/>
      <c r="G113" s="267" t="s">
        <v>1115</v>
      </c>
    </row>
    <row r="114" spans="1:7" ht="24" customHeight="1" outlineLevel="1" x14ac:dyDescent="0.2">
      <c r="A114" s="266">
        <v>45805</v>
      </c>
      <c r="B114" s="265" t="s">
        <v>1119</v>
      </c>
      <c r="C114" s="268" t="s">
        <v>94</v>
      </c>
      <c r="D114" s="265" t="s">
        <v>1117</v>
      </c>
      <c r="E114" s="267"/>
      <c r="F114" s="267"/>
      <c r="G114" s="267" t="s">
        <v>1118</v>
      </c>
    </row>
    <row r="115" spans="1:7" ht="24" customHeight="1" outlineLevel="1" x14ac:dyDescent="0.2">
      <c r="A115" s="266">
        <v>45806</v>
      </c>
      <c r="B115" s="265" t="s">
        <v>1123</v>
      </c>
      <c r="C115" s="268" t="s">
        <v>94</v>
      </c>
      <c r="D115" s="265" t="s">
        <v>1122</v>
      </c>
      <c r="E115" s="267"/>
      <c r="F115" s="267"/>
      <c r="G115" s="265" t="s">
        <v>1124</v>
      </c>
    </row>
    <row r="116" spans="1:7" ht="24" customHeight="1" outlineLevel="1" x14ac:dyDescent="0.2">
      <c r="A116" s="266">
        <v>45806</v>
      </c>
      <c r="B116" s="265" t="s">
        <v>1126</v>
      </c>
      <c r="C116" s="268" t="s">
        <v>94</v>
      </c>
      <c r="D116" s="265" t="s">
        <v>1125</v>
      </c>
      <c r="E116" s="267"/>
      <c r="F116" s="267"/>
      <c r="G116" s="267" t="s">
        <v>1127</v>
      </c>
    </row>
    <row r="117" spans="1:7" ht="24" customHeight="1" outlineLevel="1" x14ac:dyDescent="0.2">
      <c r="A117" s="266">
        <v>45806</v>
      </c>
      <c r="B117" s="265" t="s">
        <v>1128</v>
      </c>
      <c r="C117" s="268" t="s">
        <v>94</v>
      </c>
      <c r="D117" s="265" t="s">
        <v>1130</v>
      </c>
      <c r="E117" s="267"/>
      <c r="F117" s="267"/>
      <c r="G117" s="267" t="s">
        <v>1129</v>
      </c>
    </row>
    <row r="118" spans="1:7" ht="24" customHeight="1" outlineLevel="1" x14ac:dyDescent="0.2">
      <c r="A118" s="266">
        <v>45806</v>
      </c>
      <c r="B118" s="265" t="s">
        <v>1132</v>
      </c>
      <c r="C118" s="268" t="s">
        <v>94</v>
      </c>
      <c r="D118" s="265" t="s">
        <v>1131</v>
      </c>
      <c r="E118" s="267"/>
      <c r="F118" s="267"/>
      <c r="G118" s="109" t="s">
        <v>1133</v>
      </c>
    </row>
    <row r="119" spans="1:7" ht="24" customHeight="1" outlineLevel="1" x14ac:dyDescent="0.2">
      <c r="A119" s="267"/>
      <c r="B119" s="265"/>
      <c r="C119" s="268"/>
      <c r="D119" s="265"/>
      <c r="E119" s="267"/>
      <c r="F119" s="267"/>
      <c r="G119" s="267"/>
    </row>
    <row r="120" spans="1:7" ht="24" customHeight="1" outlineLevel="1" x14ac:dyDescent="0.2">
      <c r="A120" s="267"/>
      <c r="B120" s="265"/>
      <c r="C120" s="268"/>
      <c r="D120" s="270" t="s">
        <v>1156</v>
      </c>
      <c r="E120" s="267"/>
      <c r="F120" s="267"/>
      <c r="G120" s="267"/>
    </row>
    <row r="121" spans="1:7" ht="24" customHeight="1" outlineLevel="1" x14ac:dyDescent="0.2">
      <c r="A121" s="266">
        <v>45789</v>
      </c>
      <c r="B121" s="265" t="s">
        <v>1087</v>
      </c>
      <c r="C121" s="268" t="s">
        <v>94</v>
      </c>
      <c r="D121" s="265" t="s">
        <v>1086</v>
      </c>
      <c r="E121" s="267"/>
      <c r="F121" s="267"/>
      <c r="G121" s="267" t="s">
        <v>1085</v>
      </c>
    </row>
    <row r="122" spans="1:7" ht="24" customHeight="1" outlineLevel="1" x14ac:dyDescent="0.2">
      <c r="A122" s="266">
        <v>45799</v>
      </c>
      <c r="B122" s="265" t="s">
        <v>1089</v>
      </c>
      <c r="C122" s="268" t="s">
        <v>94</v>
      </c>
      <c r="D122" s="265" t="s">
        <v>1090</v>
      </c>
      <c r="E122" s="267"/>
      <c r="F122" s="267"/>
      <c r="G122" s="267" t="s">
        <v>1088</v>
      </c>
    </row>
    <row r="123" spans="1:7" ht="24" customHeight="1" outlineLevel="1" x14ac:dyDescent="0.2">
      <c r="A123" s="266">
        <v>45790</v>
      </c>
      <c r="B123" s="265" t="s">
        <v>1092</v>
      </c>
      <c r="C123" s="268" t="s">
        <v>94</v>
      </c>
      <c r="D123" s="269" t="s">
        <v>1093</v>
      </c>
      <c r="E123" s="267"/>
      <c r="F123" s="267"/>
      <c r="G123" s="267" t="s">
        <v>1091</v>
      </c>
    </row>
    <row r="124" spans="1:7" ht="24" customHeight="1" outlineLevel="1" x14ac:dyDescent="0.2">
      <c r="A124" s="266">
        <v>45790</v>
      </c>
      <c r="B124" s="265" t="s">
        <v>1094</v>
      </c>
      <c r="C124" s="268" t="s">
        <v>94</v>
      </c>
      <c r="D124" s="265" t="s">
        <v>1095</v>
      </c>
      <c r="E124" s="267"/>
      <c r="F124" s="267"/>
      <c r="G124" s="267" t="s">
        <v>1096</v>
      </c>
    </row>
    <row r="125" spans="1:7" ht="24" customHeight="1" outlineLevel="1" x14ac:dyDescent="0.2">
      <c r="A125" s="266">
        <v>45790</v>
      </c>
      <c r="B125" s="265" t="s">
        <v>1097</v>
      </c>
      <c r="C125" s="268" t="s">
        <v>94</v>
      </c>
      <c r="D125" s="269" t="s">
        <v>162</v>
      </c>
      <c r="E125" s="267"/>
      <c r="F125" s="267"/>
      <c r="G125" s="267" t="s">
        <v>1098</v>
      </c>
    </row>
    <row r="126" spans="1:7" ht="24" customHeight="1" outlineLevel="1" x14ac:dyDescent="0.2">
      <c r="A126" s="266">
        <v>45792</v>
      </c>
      <c r="B126" s="265" t="s">
        <v>1100</v>
      </c>
      <c r="C126" s="268" t="s">
        <v>94</v>
      </c>
      <c r="D126" s="265" t="s">
        <v>557</v>
      </c>
      <c r="E126" s="267"/>
      <c r="F126" s="267"/>
      <c r="G126" s="267" t="s">
        <v>1099</v>
      </c>
    </row>
    <row r="127" spans="1:7" ht="24" customHeight="1" outlineLevel="1" x14ac:dyDescent="0.2">
      <c r="A127" s="266">
        <v>45792</v>
      </c>
      <c r="B127" s="265" t="s">
        <v>1102</v>
      </c>
      <c r="C127" s="268" t="s">
        <v>94</v>
      </c>
      <c r="D127" s="265" t="s">
        <v>1103</v>
      </c>
      <c r="E127" s="267"/>
      <c r="F127" s="267"/>
      <c r="G127" s="267" t="s">
        <v>1101</v>
      </c>
    </row>
    <row r="128" spans="1:7" ht="24" customHeight="1" outlineLevel="1" x14ac:dyDescent="0.2">
      <c r="A128" s="266">
        <v>45797</v>
      </c>
      <c r="B128" s="265" t="s">
        <v>1064</v>
      </c>
      <c r="C128" s="268" t="s">
        <v>94</v>
      </c>
      <c r="D128" s="265" t="s">
        <v>1159</v>
      </c>
      <c r="E128" s="267"/>
      <c r="F128" s="267"/>
      <c r="G128" s="267" t="s">
        <v>1063</v>
      </c>
    </row>
    <row r="129" spans="1:7" ht="24" customHeight="1" outlineLevel="1" x14ac:dyDescent="0.2">
      <c r="A129" s="266">
        <v>45797</v>
      </c>
      <c r="B129" s="265" t="s">
        <v>1059</v>
      </c>
      <c r="C129" s="268" t="s">
        <v>94</v>
      </c>
      <c r="D129" s="269" t="s">
        <v>1150</v>
      </c>
      <c r="E129" s="267"/>
      <c r="F129" s="267"/>
      <c r="G129" s="267" t="s">
        <v>1058</v>
      </c>
    </row>
    <row r="130" spans="1:7" ht="24" customHeight="1" outlineLevel="1" x14ac:dyDescent="0.2">
      <c r="A130" s="266">
        <v>45798</v>
      </c>
      <c r="B130" s="265" t="s">
        <v>1104</v>
      </c>
      <c r="C130" s="268" t="s">
        <v>94</v>
      </c>
      <c r="D130" s="265" t="s">
        <v>1105</v>
      </c>
      <c r="E130" s="267"/>
      <c r="F130" s="267"/>
      <c r="G130" s="267" t="s">
        <v>1106</v>
      </c>
    </row>
    <row r="131" spans="1:7" ht="24" customHeight="1" outlineLevel="1" x14ac:dyDescent="0.2">
      <c r="A131" s="266">
        <v>45798</v>
      </c>
      <c r="B131" s="265" t="s">
        <v>1107</v>
      </c>
      <c r="C131" s="268" t="s">
        <v>94</v>
      </c>
      <c r="D131" s="265" t="s">
        <v>1109</v>
      </c>
      <c r="E131" s="267"/>
      <c r="F131" s="267"/>
      <c r="G131" s="267" t="s">
        <v>1108</v>
      </c>
    </row>
    <row r="132" spans="1:7" ht="24" customHeight="1" outlineLevel="1" x14ac:dyDescent="0.2">
      <c r="A132" s="266">
        <v>45791</v>
      </c>
      <c r="B132" s="265" t="s">
        <v>1161</v>
      </c>
      <c r="C132" s="268" t="s">
        <v>94</v>
      </c>
      <c r="D132" s="269" t="s">
        <v>1160</v>
      </c>
      <c r="E132" s="267"/>
      <c r="F132" s="267"/>
      <c r="G132" s="267" t="s">
        <v>1112</v>
      </c>
    </row>
    <row r="133" spans="1:7" ht="24" customHeight="1" outlineLevel="1" x14ac:dyDescent="0.2">
      <c r="A133" s="266">
        <v>45791</v>
      </c>
      <c r="B133" s="265" t="s">
        <v>1162</v>
      </c>
      <c r="C133" s="268" t="s">
        <v>94</v>
      </c>
      <c r="D133" s="269" t="s">
        <v>705</v>
      </c>
      <c r="E133" s="267"/>
      <c r="F133" s="267"/>
      <c r="G133" s="267" t="s">
        <v>1113</v>
      </c>
    </row>
    <row r="134" spans="1:7" ht="24" customHeight="1" outlineLevel="1" x14ac:dyDescent="0.2">
      <c r="A134" s="267"/>
      <c r="B134" s="265"/>
      <c r="C134" s="268"/>
      <c r="D134" s="265"/>
      <c r="E134" s="267"/>
      <c r="F134" s="267"/>
      <c r="G134" s="267"/>
    </row>
    <row r="135" spans="1:7" ht="24" customHeight="1" outlineLevel="1" x14ac:dyDescent="0.2">
      <c r="A135" s="267"/>
      <c r="B135" s="265"/>
      <c r="C135" s="268"/>
      <c r="D135" s="265"/>
      <c r="E135" s="267"/>
      <c r="F135" s="267"/>
      <c r="G135" s="267"/>
    </row>
    <row r="136" spans="1:7" ht="24" customHeight="1" outlineLevel="1" x14ac:dyDescent="0.2">
      <c r="A136" s="267"/>
      <c r="B136" s="265"/>
      <c r="C136" s="268"/>
      <c r="D136" s="265"/>
      <c r="E136" s="267"/>
      <c r="F136" s="267"/>
      <c r="G136" s="267"/>
    </row>
    <row r="137" spans="1:7" ht="24" customHeight="1" outlineLevel="1" x14ac:dyDescent="0.2">
      <c r="A137" s="267"/>
      <c r="B137" s="265"/>
      <c r="C137" s="268"/>
      <c r="D137" s="265"/>
      <c r="E137" s="267"/>
      <c r="F137" s="267"/>
      <c r="G137" s="267"/>
    </row>
    <row r="138" spans="1:7" ht="24" customHeight="1" outlineLevel="1" x14ac:dyDescent="0.2">
      <c r="A138" s="109"/>
      <c r="B138" s="116"/>
      <c r="C138" s="119"/>
      <c r="D138" s="265"/>
      <c r="E138" s="109"/>
      <c r="F138" s="109"/>
      <c r="G138" s="109"/>
    </row>
    <row r="139" spans="1:7" ht="24" customHeight="1" outlineLevel="1" x14ac:dyDescent="0.2">
      <c r="A139" s="261"/>
      <c r="B139" s="262"/>
      <c r="C139" s="263"/>
      <c r="D139" s="262"/>
      <c r="E139" s="264"/>
      <c r="F139" s="264"/>
      <c r="G139" s="264"/>
    </row>
    <row r="140" spans="1:7" ht="24" customHeight="1" outlineLevel="1" x14ac:dyDescent="0.2">
      <c r="A140" s="109"/>
      <c r="B140" s="116"/>
      <c r="C140" s="119"/>
      <c r="D140" s="116"/>
      <c r="E140" s="109"/>
      <c r="F140" s="109"/>
      <c r="G140" s="109"/>
    </row>
    <row r="141" spans="1:7" ht="24" customHeight="1" outlineLevel="1" x14ac:dyDescent="0.2">
      <c r="A141" s="109"/>
      <c r="B141" s="116"/>
      <c r="C141" s="119"/>
      <c r="D141" s="116"/>
      <c r="E141" s="109"/>
      <c r="F141" s="109"/>
      <c r="G141" s="109"/>
    </row>
    <row r="142" spans="1:7" ht="24" customHeight="1" outlineLevel="1" x14ac:dyDescent="0.2">
      <c r="A142" s="109"/>
      <c r="B142" s="116"/>
      <c r="C142" s="119"/>
      <c r="D142" s="116"/>
      <c r="E142" s="109"/>
      <c r="F142" s="109"/>
      <c r="G142" s="109"/>
    </row>
    <row r="143" spans="1:7" ht="24" customHeight="1" outlineLevel="1" x14ac:dyDescent="0.2">
      <c r="A143" s="241"/>
      <c r="B143" s="116"/>
      <c r="C143" s="119"/>
      <c r="D143" s="116"/>
      <c r="E143" s="109"/>
      <c r="F143" s="109"/>
      <c r="G143" s="109"/>
    </row>
    <row r="144" spans="1:7" ht="24" customHeight="1" outlineLevel="1" x14ac:dyDescent="0.2">
      <c r="A144" s="241"/>
      <c r="B144" s="116"/>
      <c r="C144" s="119"/>
      <c r="D144" s="116"/>
      <c r="E144" s="109"/>
      <c r="F144" s="109"/>
      <c r="G144" s="109"/>
    </row>
    <row r="146" spans="1:15" s="17" customFormat="1" outlineLevel="1" x14ac:dyDescent="0.2">
      <c r="A146" s="2"/>
      <c r="B146" s="2"/>
      <c r="C146" s="2"/>
      <c r="D146" s="2"/>
      <c r="E146" s="2"/>
      <c r="F146" s="2"/>
      <c r="G146" s="2"/>
    </row>
    <row r="147" spans="1:15" ht="60" customHeight="1" outlineLevel="1" x14ac:dyDescent="0.25">
      <c r="A147" s="1" t="s">
        <v>84</v>
      </c>
    </row>
    <row r="148" spans="1:15" ht="12.6" customHeight="1" outlineLevel="1" x14ac:dyDescent="0.25">
      <c r="A148" s="386" t="s">
        <v>85</v>
      </c>
      <c r="B148" s="386"/>
      <c r="C148" s="386"/>
      <c r="D148" s="386"/>
    </row>
    <row r="149" spans="1:15" ht="33" customHeight="1" outlineLevel="1" x14ac:dyDescent="0.2">
      <c r="A149" s="120" t="s">
        <v>81</v>
      </c>
      <c r="B149" s="120" t="s">
        <v>86</v>
      </c>
      <c r="C149" s="120" t="s">
        <v>87</v>
      </c>
      <c r="D149" s="120" t="s">
        <v>88</v>
      </c>
      <c r="E149" s="120" t="s">
        <v>89</v>
      </c>
      <c r="F149" s="120" t="s">
        <v>4</v>
      </c>
      <c r="G149" s="120" t="s">
        <v>90</v>
      </c>
    </row>
    <row r="150" spans="1:15" ht="114.75" x14ac:dyDescent="0.2">
      <c r="A150" s="94"/>
      <c r="B150" s="94" t="s">
        <v>1048</v>
      </c>
      <c r="C150" s="238" t="s">
        <v>160</v>
      </c>
      <c r="D150" s="219" t="s">
        <v>1121</v>
      </c>
      <c r="E150" s="132" t="s">
        <v>1049</v>
      </c>
      <c r="F150" s="74" t="s">
        <v>94</v>
      </c>
      <c r="G150" s="72">
        <v>0</v>
      </c>
    </row>
    <row r="151" spans="1:15" ht="57.75" customHeight="1" x14ac:dyDescent="0.2">
      <c r="A151" s="94"/>
      <c r="B151" s="94" t="s">
        <v>1051</v>
      </c>
      <c r="C151" s="238" t="s">
        <v>160</v>
      </c>
      <c r="D151" s="219" t="s">
        <v>1120</v>
      </c>
      <c r="E151" s="132" t="s">
        <v>1050</v>
      </c>
      <c r="F151" s="74" t="s">
        <v>94</v>
      </c>
      <c r="G151" s="72">
        <v>1000</v>
      </c>
    </row>
    <row r="152" spans="1:15" ht="25.5" x14ac:dyDescent="0.2">
      <c r="A152" s="130"/>
      <c r="B152" s="148" t="s">
        <v>1052</v>
      </c>
      <c r="C152" s="238" t="s">
        <v>160</v>
      </c>
      <c r="D152" s="96" t="s">
        <v>1163</v>
      </c>
      <c r="E152" s="132" t="s">
        <v>913</v>
      </c>
      <c r="F152" s="74" t="s">
        <v>94</v>
      </c>
      <c r="G152" s="72">
        <v>4200</v>
      </c>
    </row>
    <row r="153" spans="1:15" ht="51" x14ac:dyDescent="0.2">
      <c r="A153" s="130"/>
      <c r="B153" s="148" t="s">
        <v>1053</v>
      </c>
      <c r="C153" s="238" t="s">
        <v>160</v>
      </c>
      <c r="D153" s="94" t="s">
        <v>850</v>
      </c>
      <c r="E153" s="132">
        <v>5000</v>
      </c>
      <c r="F153" s="74" t="s">
        <v>94</v>
      </c>
      <c r="G153" s="72">
        <v>5000</v>
      </c>
    </row>
    <row r="154" spans="1:15" s="124" customFormat="1" ht="12.75" customHeight="1" outlineLevel="1" x14ac:dyDescent="0.2">
      <c r="A154" s="2"/>
      <c r="B154" s="122"/>
      <c r="C154" s="123"/>
      <c r="D154" s="2"/>
      <c r="E154" s="2"/>
      <c r="F154" s="122"/>
      <c r="G154" s="2"/>
      <c r="H154" s="2"/>
      <c r="I154" s="2"/>
      <c r="J154" s="2"/>
      <c r="K154" s="2"/>
      <c r="L154" s="2"/>
      <c r="M154" s="2"/>
      <c r="N154" s="2"/>
      <c r="O154" s="2"/>
    </row>
    <row r="155" spans="1:15" ht="60" customHeight="1" outlineLevel="1" x14ac:dyDescent="0.2">
      <c r="A155" s="122"/>
      <c r="B155" s="122"/>
      <c r="C155" s="123"/>
      <c r="F155" s="122"/>
    </row>
    <row r="156" spans="1:15" ht="60" customHeight="1" outlineLevel="1" x14ac:dyDescent="0.25">
      <c r="A156" s="386" t="s">
        <v>92</v>
      </c>
      <c r="B156" s="386"/>
      <c r="C156" s="386"/>
      <c r="D156" s="386"/>
    </row>
    <row r="157" spans="1:15" x14ac:dyDescent="0.2">
      <c r="A157" s="120" t="s">
        <v>81</v>
      </c>
      <c r="B157" s="120" t="s">
        <v>86</v>
      </c>
      <c r="C157" s="120" t="s">
        <v>87</v>
      </c>
      <c r="D157" s="120" t="s">
        <v>88</v>
      </c>
      <c r="E157" s="120" t="s">
        <v>89</v>
      </c>
      <c r="F157" s="120" t="s">
        <v>4</v>
      </c>
      <c r="G157" s="120" t="s">
        <v>90</v>
      </c>
    </row>
    <row r="158" spans="1:15" ht="15" x14ac:dyDescent="0.25">
      <c r="A158" s="94"/>
      <c r="B158" s="94"/>
      <c r="C158" s="125"/>
      <c r="D158"/>
      <c r="E158" s="121"/>
      <c r="F158" s="74" t="s">
        <v>94</v>
      </c>
      <c r="G158" s="9"/>
    </row>
    <row r="159" spans="1:15" ht="15" x14ac:dyDescent="0.25">
      <c r="A159" s="94"/>
      <c r="B159" s="94"/>
      <c r="C159" s="125"/>
      <c r="D159"/>
      <c r="E159" s="121"/>
      <c r="F159" s="74" t="s">
        <v>94</v>
      </c>
      <c r="G159" s="126"/>
    </row>
  </sheetData>
  <mergeCells count="14">
    <mergeCell ref="A44:D44"/>
    <mergeCell ref="A5:D5"/>
    <mergeCell ref="A10:D10"/>
    <mergeCell ref="A15:D15"/>
    <mergeCell ref="A20:D20"/>
    <mergeCell ref="A38:D38"/>
    <mergeCell ref="A148:D148"/>
    <mergeCell ref="A156:D156"/>
    <mergeCell ref="A52:D52"/>
    <mergeCell ref="A60:D60"/>
    <mergeCell ref="A69:D69"/>
    <mergeCell ref="A84:D84"/>
    <mergeCell ref="A97:D97"/>
    <mergeCell ref="A102:D102"/>
  </mergeCells>
  <conditionalFormatting sqref="G159">
    <cfRule type="cellIs" dxfId="506" priority="19" operator="equal">
      <formula>"ДА"</formula>
    </cfRule>
    <cfRule type="cellIs" dxfId="505" priority="20" operator="equal">
      <formula>"НЕТ"</formula>
    </cfRule>
    <cfRule type="cellIs" dxfId="504" priority="21" operator="equal">
      <formula>"Нет"</formula>
    </cfRule>
    <cfRule type="cellIs" dxfId="503" priority="22" operator="equal">
      <formula>"нет"</formula>
    </cfRule>
    <cfRule type="cellIs" dxfId="502" priority="23" operator="equal">
      <formula>"ДА"</formula>
    </cfRule>
    <cfRule type="containsText" dxfId="501" priority="24" operator="containsText" text="Да">
      <formula>NOT(ISERROR(SEARCH("Да",G159)))</formula>
    </cfRule>
  </conditionalFormatting>
  <conditionalFormatting sqref="E7 E12">
    <cfRule type="cellIs" dxfId="500" priority="31" operator="lessThan">
      <formula>0</formula>
    </cfRule>
    <cfRule type="cellIs" dxfId="499" priority="32" operator="greaterThan">
      <formula>0</formula>
    </cfRule>
  </conditionalFormatting>
  <conditionalFormatting sqref="D7 D12 E17">
    <cfRule type="cellIs" dxfId="498" priority="29" operator="lessThan">
      <formula>0</formula>
    </cfRule>
    <cfRule type="cellIs" dxfId="497" priority="30" operator="greaterThan">
      <formula>0</formula>
    </cfRule>
  </conditionalFormatting>
  <conditionalFormatting sqref="H62">
    <cfRule type="cellIs" dxfId="496" priority="27" operator="lessThan">
      <formula>1</formula>
    </cfRule>
    <cfRule type="cellIs" dxfId="495" priority="28" operator="greaterThan">
      <formula>1</formula>
    </cfRule>
  </conditionalFormatting>
  <conditionalFormatting sqref="H65">
    <cfRule type="cellIs" dxfId="494" priority="25" operator="lessThan">
      <formula>1</formula>
    </cfRule>
    <cfRule type="cellIs" dxfId="493" priority="26" operator="greaterThan">
      <formula>1</formula>
    </cfRule>
  </conditionalFormatting>
  <conditionalFormatting sqref="G158">
    <cfRule type="cellIs" dxfId="492" priority="13" operator="equal">
      <formula>"ДА"</formula>
    </cfRule>
    <cfRule type="cellIs" dxfId="491" priority="14" operator="equal">
      <formula>"НЕТ"</formula>
    </cfRule>
    <cfRule type="cellIs" dxfId="490" priority="15" operator="equal">
      <formula>"Нет"</formula>
    </cfRule>
    <cfRule type="cellIs" dxfId="489" priority="16" operator="equal">
      <formula>"нет"</formula>
    </cfRule>
    <cfRule type="cellIs" dxfId="488" priority="17" operator="equal">
      <formula>"ДА"</formula>
    </cfRule>
    <cfRule type="containsText" dxfId="487" priority="18" operator="containsText" text="Да">
      <formula>NOT(ISERROR(SEARCH("Да",G158)))</formula>
    </cfRule>
  </conditionalFormatting>
  <conditionalFormatting sqref="G150:G153">
    <cfRule type="cellIs" dxfId="486" priority="7" operator="equal">
      <formula>"ДА"</formula>
    </cfRule>
    <cfRule type="cellIs" dxfId="485" priority="8" operator="equal">
      <formula>"НЕТ"</formula>
    </cfRule>
    <cfRule type="cellIs" dxfId="484" priority="9" operator="equal">
      <formula>"Нет"</formula>
    </cfRule>
    <cfRule type="cellIs" dxfId="483" priority="10" operator="equal">
      <formula>"нет"</formula>
    </cfRule>
    <cfRule type="cellIs" dxfId="482" priority="11" operator="equal">
      <formula>"ДА"</formula>
    </cfRule>
    <cfRule type="containsText" dxfId="481" priority="12" operator="containsText" text="Да">
      <formula>NOT(ISERROR(SEARCH("Да",G150)))</formula>
    </cfRule>
  </conditionalFormatting>
  <conditionalFormatting sqref="C150:C153">
    <cfRule type="cellIs" dxfId="480" priority="1" operator="equal">
      <formula>"ДА"</formula>
    </cfRule>
    <cfRule type="cellIs" dxfId="479" priority="2" operator="equal">
      <formula>"НЕТ"</formula>
    </cfRule>
    <cfRule type="cellIs" dxfId="478" priority="3" operator="equal">
      <formula>"Нет"</formula>
    </cfRule>
    <cfRule type="cellIs" dxfId="477" priority="4" operator="equal">
      <formula>"нет"</formula>
    </cfRule>
    <cfRule type="cellIs" dxfId="476" priority="5" operator="equal">
      <formula>"ДА"</formula>
    </cfRule>
    <cfRule type="containsText" dxfId="475" priority="6" operator="containsText" text="Да">
      <formula>NOT(ISERROR(SEARCH("Да",C150)))</formula>
    </cfRule>
  </conditionalFormatting>
  <conditionalFormatting sqref="B129:B131 B143:B144 B105:B109 B111:B113 B115:B118 B121:B124">
    <cfRule type="duplicateValues" dxfId="474" priority="83"/>
  </conditionalFormatting>
  <pageMargins left="0.7" right="0.7" top="0.75" bottom="0.75" header="0.3" footer="0.3"/>
  <pageSetup paperSize="9" orientation="portrait" r:id="rId1"/>
  <legacy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76629-6716-4A6F-B8F5-44F0C7A17EC0}">
  <dimension ref="A1:O130"/>
  <sheetViews>
    <sheetView topLeftCell="A10" zoomScale="85" zoomScaleNormal="85" workbookViewId="0">
      <selection activeCell="F26" sqref="F26"/>
    </sheetView>
  </sheetViews>
  <sheetFormatPr defaultColWidth="9.140625" defaultRowHeight="12.75" outlineLevelRow="1" x14ac:dyDescent="0.2"/>
  <cols>
    <col min="1" max="1" width="30.28515625" style="2" customWidth="1"/>
    <col min="2" max="2" width="31.7109375" style="2" customWidth="1"/>
    <col min="3" max="3" width="31.5703125" style="2" bestFit="1" customWidth="1"/>
    <col min="4" max="4" width="59.5703125" style="2" customWidth="1"/>
    <col min="5" max="5" width="34.85546875" style="2" customWidth="1"/>
    <col min="6" max="6" width="27.140625" style="2" customWidth="1"/>
    <col min="7" max="7" width="27.42578125" style="2" customWidth="1"/>
    <col min="8" max="8" width="36" style="2" customWidth="1"/>
    <col min="9" max="16384" width="9.140625" style="2"/>
  </cols>
  <sheetData>
    <row r="1" spans="1:7" ht="24.75" customHeight="1" x14ac:dyDescent="0.25">
      <c r="A1" s="134" t="s">
        <v>94</v>
      </c>
    </row>
    <row r="2" spans="1:7" ht="15.75" x14ac:dyDescent="0.25">
      <c r="A2" s="134" t="s">
        <v>1158</v>
      </c>
    </row>
    <row r="3" spans="1:7" x14ac:dyDescent="0.2">
      <c r="A3" s="3"/>
    </row>
    <row r="4" spans="1:7" ht="15.75" x14ac:dyDescent="0.25">
      <c r="A4" s="1" t="s">
        <v>0</v>
      </c>
      <c r="B4" s="2" t="s">
        <v>1</v>
      </c>
      <c r="C4" s="2" t="s">
        <v>2</v>
      </c>
    </row>
    <row r="5" spans="1:7" ht="15" x14ac:dyDescent="0.25">
      <c r="A5" s="386" t="s">
        <v>3</v>
      </c>
      <c r="B5" s="386"/>
      <c r="C5" s="386"/>
      <c r="D5" s="386"/>
      <c r="F5" s="4"/>
    </row>
    <row r="6" spans="1:7" s="6" customFormat="1" outlineLevel="1" x14ac:dyDescent="0.2">
      <c r="A6" s="5" t="s">
        <v>4</v>
      </c>
      <c r="B6" s="5" t="s">
        <v>5</v>
      </c>
      <c r="C6" s="5" t="s">
        <v>6</v>
      </c>
      <c r="D6" s="5" t="s">
        <v>7</v>
      </c>
      <c r="E6" s="5" t="s">
        <v>8</v>
      </c>
      <c r="F6" s="5" t="s">
        <v>10</v>
      </c>
      <c r="G6" s="186"/>
    </row>
    <row r="7" spans="1:7" outlineLevel="1" x14ac:dyDescent="0.2">
      <c r="A7" s="7" t="s">
        <v>94</v>
      </c>
      <c r="B7" s="8">
        <f>C24</f>
        <v>210000</v>
      </c>
      <c r="C7" s="9">
        <f>B24</f>
        <v>60194.18</v>
      </c>
      <c r="D7" s="10">
        <f>Таблица11029163037445158657223303744515865727986931009223548627690104107127139151163183152947637995111127143159175183450668298114130146545561577589605619635651667683700717163247627792107[Факт, руб.]/Таблица11029163037445158657223303744515865727986931009223548627690104107127139151163183152947637995111127143159175183450668298114130146545561577589605619635651667683700717163247627792107[План, руб.]-100%</f>
        <v>-0.71336104761904762</v>
      </c>
      <c r="E7" s="11">
        <f>Таблица11029163037445158657223303744515865727986931009223548627690104107127139151163183152947637995111127143159175183450668298114130146545561577589605619635651667683700717163247627792107[Факт, руб.]-Таблица11029163037445158657223303744515865727986931009223548627690104107127139151163183152947637995111127143159175183450668298114130146545561577589605619635651667683700717163247627792107[План, руб.]</f>
        <v>-149805.82</v>
      </c>
      <c r="F7" s="9">
        <f>B23</f>
        <v>85933.41</v>
      </c>
      <c r="G7" s="185"/>
    </row>
    <row r="8" spans="1:7" x14ac:dyDescent="0.2">
      <c r="A8" s="12"/>
      <c r="B8" s="13"/>
      <c r="C8" s="13"/>
      <c r="D8" s="14"/>
      <c r="F8" s="15"/>
      <c r="G8" s="16"/>
    </row>
    <row r="9" spans="1:7" ht="15" customHeight="1" x14ac:dyDescent="0.2">
      <c r="A9" s="12"/>
      <c r="B9" s="13"/>
      <c r="C9" s="13"/>
      <c r="D9" s="14"/>
      <c r="F9" s="17"/>
    </row>
    <row r="10" spans="1:7" ht="15" x14ac:dyDescent="0.25">
      <c r="A10" s="386" t="s">
        <v>11</v>
      </c>
      <c r="B10" s="386"/>
      <c r="C10" s="386"/>
      <c r="D10" s="386"/>
      <c r="F10" s="17"/>
    </row>
    <row r="11" spans="1:7" s="6" customFormat="1" outlineLevel="1" x14ac:dyDescent="0.2">
      <c r="A11" s="18" t="s">
        <v>4</v>
      </c>
      <c r="B11" s="19" t="s">
        <v>12</v>
      </c>
      <c r="C11" s="19" t="s">
        <v>13</v>
      </c>
      <c r="D11" s="19" t="s">
        <v>7</v>
      </c>
      <c r="E11" s="19" t="s">
        <v>8</v>
      </c>
      <c r="F11" s="20"/>
    </row>
    <row r="12" spans="1:7" outlineLevel="1" x14ac:dyDescent="0.2">
      <c r="A12" s="7" t="s">
        <v>94</v>
      </c>
      <c r="B12" s="8">
        <f>SUM(C22:C24)</f>
        <v>570000</v>
      </c>
      <c r="C12" s="8">
        <f>B34</f>
        <v>402088.84</v>
      </c>
      <c r="D12" s="21">
        <f>C12/B12-100%</f>
        <v>-0.29458098245614028</v>
      </c>
      <c r="E12" s="8">
        <f>C12-B12</f>
        <v>-167911.15999999997</v>
      </c>
      <c r="F12" s="17"/>
      <c r="G12" s="22"/>
    </row>
    <row r="13" spans="1:7" x14ac:dyDescent="0.2">
      <c r="A13" s="12"/>
      <c r="B13" s="13"/>
      <c r="C13" s="13"/>
      <c r="D13" s="14"/>
      <c r="F13" s="17"/>
    </row>
    <row r="14" spans="1:7" x14ac:dyDescent="0.2">
      <c r="A14" s="13"/>
      <c r="B14" s="13"/>
      <c r="C14" s="13"/>
      <c r="D14" s="14"/>
      <c r="F14" s="17"/>
      <c r="G14" s="22"/>
    </row>
    <row r="15" spans="1:7" ht="15" x14ac:dyDescent="0.25">
      <c r="A15" s="386" t="s">
        <v>393</v>
      </c>
      <c r="B15" s="386"/>
      <c r="C15" s="386"/>
      <c r="D15" s="386"/>
      <c r="F15" s="17"/>
    </row>
    <row r="16" spans="1:7" s="6" customFormat="1" outlineLevel="1" x14ac:dyDescent="0.2">
      <c r="A16" s="5" t="s">
        <v>4</v>
      </c>
      <c r="B16" s="5" t="s">
        <v>16</v>
      </c>
      <c r="C16" s="5" t="s">
        <v>93</v>
      </c>
      <c r="D16" s="5" t="s">
        <v>1037</v>
      </c>
      <c r="E16" s="5" t="s">
        <v>17</v>
      </c>
      <c r="F16" s="23"/>
    </row>
    <row r="17" spans="1:5" outlineLevel="1" x14ac:dyDescent="0.2">
      <c r="A17" s="7" t="s">
        <v>94</v>
      </c>
      <c r="B17" s="8">
        <v>0</v>
      </c>
      <c r="C17" s="24">
        <v>0</v>
      </c>
      <c r="D17" s="24">
        <f>B34</f>
        <v>402088.84</v>
      </c>
      <c r="E17" s="21" t="e">
        <f>Таблица211301731384552596673243138455259667380879410110233649637791105109128140152164184163248648096112128144160176193551678399115131147546562578590606620636652668684701718173348637893108[Профит ФГ 25-26]/Таблица211301731384552596673243138455259667380879410110233649637791105109128140152164184163248648096112128144160176193551678399115131147546562578590606620636652668684701718173348637893108[Профит ФГ 24-25]</f>
        <v>#DIV/0!</v>
      </c>
    </row>
    <row r="20" spans="1:5" ht="15" x14ac:dyDescent="0.25">
      <c r="A20" s="386" t="s">
        <v>18</v>
      </c>
      <c r="B20" s="386"/>
      <c r="C20" s="386"/>
      <c r="D20" s="386"/>
    </row>
    <row r="21" spans="1:5" outlineLevel="1" x14ac:dyDescent="0.2">
      <c r="A21" s="25" t="s">
        <v>19</v>
      </c>
      <c r="B21" s="26" t="s">
        <v>20</v>
      </c>
      <c r="C21" s="26" t="s">
        <v>21</v>
      </c>
      <c r="D21" s="25" t="s">
        <v>22</v>
      </c>
    </row>
    <row r="22" spans="1:5" outlineLevel="1" x14ac:dyDescent="0.2">
      <c r="A22" s="30" t="s">
        <v>23</v>
      </c>
      <c r="B22" s="31">
        <v>255961.25</v>
      </c>
      <c r="C22" s="31">
        <v>170000</v>
      </c>
      <c r="D22" s="32">
        <f>Таблица4936997167333146617691106121[[#This Row],[Профит]]/Таблица4936997167333146617691106121[[#This Row],[План]]</f>
        <v>1.5056544117647059</v>
      </c>
    </row>
    <row r="23" spans="1:5" outlineLevel="1" x14ac:dyDescent="0.2">
      <c r="A23" s="30" t="s">
        <v>25</v>
      </c>
      <c r="B23" s="135">
        <v>85933.41</v>
      </c>
      <c r="C23" s="31">
        <v>190000</v>
      </c>
      <c r="D23" s="32">
        <f>Таблица4936997167333146617691106121[[#This Row],[Профит]]/Таблица4936997167333146617691106121[[#This Row],[План]]</f>
        <v>0.4522811052631579</v>
      </c>
    </row>
    <row r="24" spans="1:5" outlineLevel="1" x14ac:dyDescent="0.2">
      <c r="A24" s="30" t="s">
        <v>26</v>
      </c>
      <c r="B24" s="135">
        <v>60194.18</v>
      </c>
      <c r="C24" s="31">
        <v>210000</v>
      </c>
      <c r="D24" s="32">
        <f>Таблица4936997167333146617691106121[[#This Row],[Профит]]/Таблица4936997167333146617691106121[[#This Row],[План]]</f>
        <v>0.28663895238095238</v>
      </c>
    </row>
    <row r="25" spans="1:5" outlineLevel="1" x14ac:dyDescent="0.2">
      <c r="A25" s="30" t="s">
        <v>27</v>
      </c>
      <c r="B25" s="31">
        <v>0</v>
      </c>
      <c r="C25" s="31">
        <v>220000</v>
      </c>
      <c r="D25" s="32">
        <f>Таблица4936997167333146617691106121[[#This Row],[Профит]]/Таблица4936997167333146617691106121[[#This Row],[План]]</f>
        <v>0</v>
      </c>
    </row>
    <row r="26" spans="1:5" outlineLevel="1" x14ac:dyDescent="0.2">
      <c r="A26" s="30" t="s">
        <v>28</v>
      </c>
      <c r="B26" s="31">
        <v>0</v>
      </c>
      <c r="C26" s="31">
        <v>250000</v>
      </c>
      <c r="D26" s="32">
        <f>Таблица4936997167333146617691106121[[#This Row],[Профит]]/Таблица4936997167333146617691106121[[#This Row],[План]]</f>
        <v>0</v>
      </c>
    </row>
    <row r="27" spans="1:5" outlineLevel="1" x14ac:dyDescent="0.2">
      <c r="A27" s="30" t="s">
        <v>29</v>
      </c>
      <c r="B27" s="31">
        <v>0</v>
      </c>
      <c r="C27" s="31">
        <v>270000</v>
      </c>
      <c r="D27" s="32">
        <f>Таблица4936997167333146617691106121[[#This Row],[Профит]]/Таблица4936997167333146617691106121[[#This Row],[План]]</f>
        <v>0</v>
      </c>
    </row>
    <row r="28" spans="1:5" outlineLevel="1" x14ac:dyDescent="0.2">
      <c r="A28" s="30" t="s">
        <v>30</v>
      </c>
      <c r="B28" s="31">
        <v>0</v>
      </c>
      <c r="C28" s="31">
        <v>270000</v>
      </c>
      <c r="D28" s="32">
        <f>Таблица4936997167333146617691106121[[#This Row],[Профит]]/Таблица4936997167333146617691106121[[#This Row],[План]]</f>
        <v>0</v>
      </c>
    </row>
    <row r="29" spans="1:5" outlineLevel="1" x14ac:dyDescent="0.2">
      <c r="A29" s="30" t="s">
        <v>31</v>
      </c>
      <c r="B29" s="31">
        <v>0</v>
      </c>
      <c r="C29" s="31">
        <v>330000</v>
      </c>
      <c r="D29" s="32">
        <f>Таблица4936997167333146617691106121[[#This Row],[Профит]]/Таблица4936997167333146617691106121[[#This Row],[План]]</f>
        <v>0</v>
      </c>
    </row>
    <row r="30" spans="1:5" outlineLevel="1" x14ac:dyDescent="0.2">
      <c r="A30" s="30" t="s">
        <v>32</v>
      </c>
      <c r="B30" s="34">
        <v>0</v>
      </c>
      <c r="C30" s="34">
        <v>390000</v>
      </c>
      <c r="D30" s="32">
        <f>Таблица4936997167333146617691106121[[#This Row],[Профит]]/Таблица4936997167333146617691106121[[#This Row],[План]]</f>
        <v>0</v>
      </c>
    </row>
    <row r="31" spans="1:5" outlineLevel="1" x14ac:dyDescent="0.2">
      <c r="A31" s="30" t="s">
        <v>33</v>
      </c>
      <c r="B31" s="34">
        <v>0</v>
      </c>
      <c r="C31" s="34">
        <v>300000</v>
      </c>
      <c r="D31" s="32">
        <f>Таблица4936997167333146617691106121[[#This Row],[Профит]]/Таблица4936997167333146617691106121[[#This Row],[План]]</f>
        <v>0</v>
      </c>
    </row>
    <row r="32" spans="1:5" outlineLevel="1" x14ac:dyDescent="0.2">
      <c r="A32" s="30" t="s">
        <v>34</v>
      </c>
      <c r="B32" s="34">
        <v>0</v>
      </c>
      <c r="C32" s="34">
        <v>330000</v>
      </c>
      <c r="D32" s="32">
        <f>Таблица4936997167333146617691106121[[#This Row],[Профит]]/Таблица4936997167333146617691106121[[#This Row],[План]]</f>
        <v>0</v>
      </c>
    </row>
    <row r="33" spans="1:8" outlineLevel="1" x14ac:dyDescent="0.2">
      <c r="A33" s="33" t="s">
        <v>35</v>
      </c>
      <c r="B33" s="34">
        <v>0</v>
      </c>
      <c r="C33" s="34">
        <v>360000</v>
      </c>
      <c r="D33" s="32">
        <f>Таблица4936997167333146617691106121[[#This Row],[Профит]]/Таблица4936997167333146617691106121[[#This Row],[План]]</f>
        <v>0</v>
      </c>
      <c r="H33" s="35"/>
    </row>
    <row r="34" spans="1:8" ht="15" outlineLevel="1" x14ac:dyDescent="0.25">
      <c r="A34" s="36" t="s">
        <v>36</v>
      </c>
      <c r="B34" s="37">
        <f>SUM(B22:B33)</f>
        <v>402088.84</v>
      </c>
      <c r="C34" s="38">
        <f>SUM(C22:C33)</f>
        <v>3290000</v>
      </c>
      <c r="D34" s="39"/>
    </row>
    <row r="35" spans="1:8" outlineLevel="1" x14ac:dyDescent="0.2">
      <c r="A35" s="41" t="s">
        <v>37</v>
      </c>
      <c r="B35" s="42">
        <f>AVERAGE(B22:B24)</f>
        <v>134029.61333333334</v>
      </c>
      <c r="C35" s="42">
        <f>AVERAGE(C22:C33)</f>
        <v>274166.66666666669</v>
      </c>
      <c r="D35" s="43">
        <f>B35/C35</f>
        <v>0.48886181155015196</v>
      </c>
    </row>
    <row r="38" spans="1:8" ht="15" x14ac:dyDescent="0.25">
      <c r="A38" s="386" t="s">
        <v>38</v>
      </c>
      <c r="B38" s="386"/>
      <c r="C38" s="386"/>
      <c r="D38" s="386"/>
    </row>
    <row r="39" spans="1:8" s="45" customFormat="1" outlineLevel="1" x14ac:dyDescent="0.2">
      <c r="A39" s="44" t="s">
        <v>39</v>
      </c>
      <c r="B39" s="44" t="s">
        <v>40</v>
      </c>
      <c r="C39" s="44" t="s">
        <v>41</v>
      </c>
      <c r="D39" s="44" t="s">
        <v>42</v>
      </c>
      <c r="E39" s="44" t="s">
        <v>43</v>
      </c>
      <c r="F39" s="2"/>
    </row>
    <row r="40" spans="1:8" outlineLevel="1" x14ac:dyDescent="0.2">
      <c r="A40" s="8">
        <f>B24</f>
        <v>60194.18</v>
      </c>
      <c r="B40" s="46">
        <f>50000</f>
        <v>50000</v>
      </c>
      <c r="C40" s="136">
        <f>A40*0.065*1</f>
        <v>3912.6217000000001</v>
      </c>
      <c r="D40" s="47">
        <f>SUM(G121:G124)</f>
        <v>7727.77</v>
      </c>
      <c r="E40" s="48">
        <v>0</v>
      </c>
      <c r="F40" s="276"/>
    </row>
    <row r="41" spans="1:8" outlineLevel="1" x14ac:dyDescent="0.2">
      <c r="A41" s="49" t="s">
        <v>44</v>
      </c>
      <c r="B41" s="137">
        <f>Таблица294459759110712313915517118730466278941101261421585565725886026166306466626786947117282843587388103118[Оклад]+Таблица294459759110712313915517118730466278941101261421585565725886026166306466626786947117282843587388103118[Премия]+Таблица294459759110712313915517118730466278941101261421585565725886026166306466626786947117282843587388103118[Штрафы]+Таблица294459759110712313915517118730466278941101261421585565725886026166306466626786947117282843587388103118[Доплата за Задачи]</f>
        <v>61640.391700000007</v>
      </c>
      <c r="C41" s="50"/>
    </row>
    <row r="42" spans="1:8" x14ac:dyDescent="0.2">
      <c r="A42" s="40"/>
      <c r="B42" s="40"/>
    </row>
    <row r="43" spans="1:8" x14ac:dyDescent="0.2">
      <c r="A43" s="51"/>
      <c r="B43" s="51"/>
      <c r="C43" s="51"/>
      <c r="D43" s="52"/>
      <c r="E43" s="53"/>
      <c r="F43" s="53"/>
      <c r="H43" s="22"/>
    </row>
    <row r="44" spans="1:8" ht="15" x14ac:dyDescent="0.25">
      <c r="A44" s="386" t="s">
        <v>45</v>
      </c>
      <c r="B44" s="386"/>
      <c r="C44" s="386"/>
      <c r="D44" s="386"/>
      <c r="E44" s="53"/>
      <c r="F44" s="53"/>
      <c r="H44" s="22"/>
    </row>
    <row r="45" spans="1:8" outlineLevel="1" x14ac:dyDescent="0.2">
      <c r="A45" s="5" t="s">
        <v>46</v>
      </c>
      <c r="B45" s="5" t="s">
        <v>47</v>
      </c>
      <c r="C45" s="5" t="s">
        <v>48</v>
      </c>
      <c r="D45" s="54" t="s">
        <v>49</v>
      </c>
      <c r="G45" s="40"/>
    </row>
    <row r="46" spans="1:8" ht="24.95" customHeight="1" outlineLevel="1" x14ac:dyDescent="0.2">
      <c r="A46" s="55" t="s">
        <v>1266</v>
      </c>
      <c r="B46" s="56">
        <v>19100</v>
      </c>
      <c r="C46" s="58">
        <v>19100</v>
      </c>
      <c r="D46" s="57">
        <v>1</v>
      </c>
      <c r="E46" s="281"/>
      <c r="G46" s="40"/>
    </row>
    <row r="47" spans="1:8" ht="24.95" customHeight="1" outlineLevel="1" x14ac:dyDescent="0.2">
      <c r="A47" s="55" t="s">
        <v>24</v>
      </c>
      <c r="B47" s="60"/>
      <c r="C47" s="60"/>
      <c r="D47" s="61">
        <v>0</v>
      </c>
      <c r="G47" s="62"/>
      <c r="H47" s="6"/>
    </row>
    <row r="48" spans="1:8" outlineLevel="1" x14ac:dyDescent="0.2">
      <c r="A48" s="63"/>
      <c r="B48" s="64" t="s">
        <v>50</v>
      </c>
      <c r="C48" s="65">
        <f>SUM(Таблица546243318323946536067742532394653606774818895102112437506478921061101291411531651851733496581971131291451611772036526884100116132148547563579593607621637653669685702719193449647994109[Общая сумма долга])</f>
        <v>19100</v>
      </c>
      <c r="D48" s="275">
        <v>1</v>
      </c>
      <c r="E48" s="67" t="s">
        <v>51</v>
      </c>
      <c r="F48" s="51"/>
      <c r="G48" s="51"/>
      <c r="H48" s="51"/>
    </row>
    <row r="49" spans="1:8" outlineLevel="1" x14ac:dyDescent="0.2">
      <c r="A49" s="63"/>
      <c r="B49" s="64"/>
      <c r="C49" s="65"/>
      <c r="D49" s="51"/>
      <c r="E49" s="51"/>
      <c r="F49" s="51"/>
      <c r="G49" s="51"/>
      <c r="H49" s="51"/>
    </row>
    <row r="50" spans="1:8" x14ac:dyDescent="0.2">
      <c r="A50" s="63"/>
      <c r="B50" s="51"/>
      <c r="C50" s="51"/>
      <c r="D50" s="52"/>
      <c r="E50" s="51"/>
      <c r="F50" s="53"/>
      <c r="G50" s="51"/>
      <c r="H50" s="68"/>
    </row>
    <row r="51" spans="1:8" x14ac:dyDescent="0.2">
      <c r="A51" s="63"/>
      <c r="B51" s="51"/>
      <c r="C51" s="51"/>
      <c r="D51" s="52"/>
      <c r="E51" s="51"/>
      <c r="F51" s="53"/>
      <c r="G51" s="51"/>
      <c r="H51" s="68"/>
    </row>
    <row r="52" spans="1:8" ht="15" x14ac:dyDescent="0.25">
      <c r="A52" s="387" t="s">
        <v>52</v>
      </c>
      <c r="B52" s="387"/>
      <c r="C52" s="387"/>
      <c r="D52" s="387"/>
      <c r="E52" s="53"/>
      <c r="F52" s="53"/>
      <c r="G52" s="51"/>
    </row>
    <row r="53" spans="1:8" s="6" customFormat="1" outlineLevel="1" x14ac:dyDescent="0.2">
      <c r="A53" s="18" t="s">
        <v>53</v>
      </c>
      <c r="B53" s="19" t="s">
        <v>54</v>
      </c>
      <c r="C53" s="19" t="s">
        <v>55</v>
      </c>
      <c r="D53" s="69" t="s">
        <v>56</v>
      </c>
      <c r="E53" s="69" t="s">
        <v>4</v>
      </c>
      <c r="F53" s="70" t="s">
        <v>57</v>
      </c>
    </row>
    <row r="54" spans="1:8" s="6" customFormat="1" ht="26.25" customHeight="1" outlineLevel="1" x14ac:dyDescent="0.2">
      <c r="A54" s="173" t="s">
        <v>1154</v>
      </c>
      <c r="B54" s="246">
        <v>39833.33</v>
      </c>
      <c r="C54" s="131">
        <v>39833.33</v>
      </c>
      <c r="D54" s="249">
        <v>1</v>
      </c>
      <c r="E54" s="177" t="s">
        <v>94</v>
      </c>
      <c r="F54" s="250" t="s">
        <v>1155</v>
      </c>
    </row>
    <row r="55" spans="1:8" s="6" customFormat="1" ht="26.25" customHeight="1" outlineLevel="1" x14ac:dyDescent="0.2">
      <c r="A55" s="173" t="s">
        <v>104</v>
      </c>
      <c r="B55" s="246">
        <v>199725.03</v>
      </c>
      <c r="C55" s="131">
        <v>10888.58</v>
      </c>
      <c r="D55" s="249">
        <v>5.8000000000000003E-2</v>
      </c>
      <c r="E55" s="177" t="s">
        <v>94</v>
      </c>
      <c r="F55" s="250" t="s">
        <v>73</v>
      </c>
    </row>
    <row r="56" spans="1:8" s="6" customFormat="1" ht="26.25" customHeight="1" outlineLevel="1" x14ac:dyDescent="0.2">
      <c r="A56" s="173" t="s">
        <v>1139</v>
      </c>
      <c r="B56" s="246">
        <v>84915</v>
      </c>
      <c r="C56" s="131">
        <v>4245.75</v>
      </c>
      <c r="D56" s="249">
        <v>0.05</v>
      </c>
      <c r="E56" s="177" t="s">
        <v>94</v>
      </c>
      <c r="F56" s="250" t="s">
        <v>1138</v>
      </c>
    </row>
    <row r="57" spans="1:8" s="6" customFormat="1" ht="24" customHeight="1" outlineLevel="1" x14ac:dyDescent="0.2">
      <c r="A57" s="173" t="s">
        <v>1245</v>
      </c>
      <c r="B57" s="131">
        <v>16100</v>
      </c>
      <c r="C57" s="131">
        <v>2540.7800000000002</v>
      </c>
      <c r="D57" s="251">
        <v>0.187</v>
      </c>
      <c r="E57" s="177" t="s">
        <v>94</v>
      </c>
      <c r="F57" s="250" t="s">
        <v>1246</v>
      </c>
    </row>
    <row r="58" spans="1:8" s="6" customFormat="1" ht="24" customHeight="1" outlineLevel="1" x14ac:dyDescent="0.2">
      <c r="A58" s="173" t="s">
        <v>1247</v>
      </c>
      <c r="B58" s="246">
        <v>10497.95</v>
      </c>
      <c r="C58" s="131">
        <v>920.24</v>
      </c>
      <c r="D58" s="249">
        <v>9.6000000000000002E-2</v>
      </c>
      <c r="E58" s="177" t="s">
        <v>94</v>
      </c>
      <c r="F58" s="250" t="s">
        <v>73</v>
      </c>
    </row>
    <row r="59" spans="1:8" ht="24.95" customHeight="1" outlineLevel="1" x14ac:dyDescent="0.2">
      <c r="A59" s="173" t="s">
        <v>1136</v>
      </c>
      <c r="B59" s="246">
        <v>7800</v>
      </c>
      <c r="C59" s="131">
        <v>1765.5</v>
      </c>
      <c r="D59" s="249">
        <v>0.29299999999999998</v>
      </c>
      <c r="E59" s="177" t="s">
        <v>94</v>
      </c>
      <c r="F59" s="250" t="s">
        <v>1248</v>
      </c>
    </row>
    <row r="60" spans="1:8" x14ac:dyDescent="0.2">
      <c r="A60" s="51"/>
      <c r="B60" s="51"/>
      <c r="C60" s="51"/>
      <c r="D60" s="52"/>
      <c r="E60" s="51"/>
      <c r="F60" s="53"/>
      <c r="G60" s="51"/>
    </row>
    <row r="61" spans="1:8" ht="15" x14ac:dyDescent="0.25">
      <c r="A61" s="386" t="s">
        <v>58</v>
      </c>
      <c r="B61" s="386"/>
      <c r="C61" s="386"/>
      <c r="D61" s="386"/>
      <c r="E61" s="79"/>
      <c r="F61" s="79"/>
    </row>
    <row r="62" spans="1:8" ht="15" customHeight="1" outlineLevel="1" x14ac:dyDescent="0.2">
      <c r="A62" s="80">
        <v>45839</v>
      </c>
      <c r="B62" s="81" t="s">
        <v>21</v>
      </c>
      <c r="C62" s="81" t="s">
        <v>59</v>
      </c>
      <c r="D62" s="81" t="s">
        <v>60</v>
      </c>
      <c r="E62" s="81" t="s">
        <v>61</v>
      </c>
      <c r="F62" s="81" t="s">
        <v>62</v>
      </c>
      <c r="G62" s="81" t="s">
        <v>63</v>
      </c>
      <c r="H62" s="81" t="s">
        <v>64</v>
      </c>
    </row>
    <row r="63" spans="1:8" outlineLevel="1" x14ac:dyDescent="0.2">
      <c r="A63" s="82"/>
      <c r="B63" s="282">
        <v>220000</v>
      </c>
      <c r="C63" s="283">
        <v>0</v>
      </c>
      <c r="D63" s="282">
        <v>56000</v>
      </c>
      <c r="E63" s="282">
        <v>9000</v>
      </c>
      <c r="F63" s="282">
        <v>256000</v>
      </c>
      <c r="G63" s="282">
        <f>C63+D63+E63*0.5+F63*0.05</f>
        <v>73300</v>
      </c>
      <c r="H63" s="284">
        <f>Таблица9132738193340475461687582899682891101171241311381451521591661731801871945121926334047546168758289961031101171241311381451521591661741821902052131241361481601721922440627894110126142158174190334965819711312914516155957559160361763164766367969571119[[#This Row],[Столбец6]]/Таблица9132738193340475461687582899682891101171241311381451521591661731801871945121926334047546168758289961031101171241311381451521591661741821902052131241361481601721922440627894110126142158174190334965819711312914516155957559160361763164766367969571119[[#This Row],[Столбец1]]</f>
        <v>0.33318181818181819</v>
      </c>
    </row>
    <row r="64" spans="1:8" outlineLevel="1" x14ac:dyDescent="0.2">
      <c r="A64" s="40"/>
      <c r="B64" s="40"/>
      <c r="C64" s="40"/>
      <c r="D64" s="40"/>
      <c r="E64" s="40"/>
      <c r="F64" s="40"/>
      <c r="G64" s="40"/>
      <c r="H64" s="86"/>
    </row>
    <row r="65" spans="1:9" outlineLevel="1" x14ac:dyDescent="0.2">
      <c r="A65" s="80">
        <v>45870</v>
      </c>
      <c r="B65" s="81" t="s">
        <v>21</v>
      </c>
      <c r="C65" s="81" t="s">
        <v>59</v>
      </c>
      <c r="D65" s="81" t="s">
        <v>60</v>
      </c>
      <c r="E65" s="81" t="s">
        <v>61</v>
      </c>
      <c r="F65" s="81" t="s">
        <v>62</v>
      </c>
      <c r="G65" s="81" t="s">
        <v>63</v>
      </c>
      <c r="H65" s="81" t="s">
        <v>64</v>
      </c>
    </row>
    <row r="66" spans="1:9" ht="15" customHeight="1" outlineLevel="1" x14ac:dyDescent="0.2">
      <c r="A66" s="87"/>
      <c r="B66" s="282">
        <v>250000</v>
      </c>
      <c r="C66" s="283">
        <v>0</v>
      </c>
      <c r="D66" s="285">
        <v>0</v>
      </c>
      <c r="E66" s="283">
        <v>37000</v>
      </c>
      <c r="F66" s="286">
        <v>72000</v>
      </c>
      <c r="G66" s="282">
        <f>C66+D66+E66*0.5+F66*0.05</f>
        <v>22100</v>
      </c>
      <c r="H66" s="284">
        <f>Таблица9132738193340475461687582899682891101171241311381451521591661731801871945121926334047546168758289961031101171241311381451521591661741821902052131191251371491611731932541567288104120136152168184274359759110712313915555356958559961362764365967569115[[#This Row],[Столбец6]]/Таблица9132738193340475461687582899682891101171241311381451521591661731801871945121926334047546168758289961031101171241311381451521591661741821902052131191251371491611731932541567288104120136152168184274359759110712313915555356958559961362764365967569115[[#This Row],[Столбец1]]</f>
        <v>8.8400000000000006E-2</v>
      </c>
    </row>
    <row r="67" spans="1:9" x14ac:dyDescent="0.2">
      <c r="A67" s="63"/>
      <c r="B67" s="51"/>
      <c r="C67" s="51"/>
      <c r="D67" s="52"/>
      <c r="E67" s="51"/>
    </row>
    <row r="68" spans="1:9" x14ac:dyDescent="0.2">
      <c r="A68" s="51"/>
      <c r="B68" s="51"/>
      <c r="C68" s="51"/>
      <c r="D68" s="52"/>
      <c r="E68" s="51"/>
    </row>
    <row r="69" spans="1:9" ht="15.75" x14ac:dyDescent="0.25">
      <c r="A69" s="88" t="s">
        <v>65</v>
      </c>
      <c r="B69" s="89"/>
    </row>
    <row r="70" spans="1:9" ht="15" x14ac:dyDescent="0.25">
      <c r="A70" s="387" t="s">
        <v>66</v>
      </c>
      <c r="B70" s="387"/>
      <c r="C70" s="387"/>
      <c r="D70" s="387"/>
      <c r="E70" s="90"/>
      <c r="F70" s="90"/>
      <c r="G70" s="235">
        <f>SUM(Таблица4211720344148556269768390978390111118125132139146153160167174181188195613202734414855626976839097104111118125132139146153160167175183198206214123135147159171191233955718710311913515116718326425874901061221381545525685845986126266426586746907077114[Сумма, тыс. руб.])*1000</f>
        <v>2149000</v>
      </c>
    </row>
    <row r="71" spans="1:9" outlineLevel="1" x14ac:dyDescent="0.2">
      <c r="A71" s="91" t="s">
        <v>67</v>
      </c>
      <c r="B71" s="91" t="s">
        <v>53</v>
      </c>
      <c r="C71" s="91" t="s">
        <v>4</v>
      </c>
      <c r="D71" s="91" t="s">
        <v>68</v>
      </c>
      <c r="E71" s="91" t="s">
        <v>69</v>
      </c>
      <c r="F71" s="91" t="s">
        <v>70</v>
      </c>
      <c r="G71" s="91" t="s">
        <v>71</v>
      </c>
      <c r="H71" s="91" t="s">
        <v>72</v>
      </c>
      <c r="I71" s="279"/>
    </row>
    <row r="72" spans="1:9" s="258" customFormat="1" ht="24.95" customHeight="1" outlineLevel="1" x14ac:dyDescent="0.2">
      <c r="A72" s="74" t="s">
        <v>999</v>
      </c>
      <c r="B72" s="74" t="s">
        <v>1254</v>
      </c>
      <c r="C72" s="93" t="s">
        <v>94</v>
      </c>
      <c r="D72" s="94" t="s">
        <v>1257</v>
      </c>
      <c r="E72" s="74" t="s">
        <v>1259</v>
      </c>
      <c r="F72" s="218">
        <v>45839</v>
      </c>
      <c r="G72" s="72">
        <v>450</v>
      </c>
      <c r="H72" s="94" t="s">
        <v>996</v>
      </c>
    </row>
    <row r="73" spans="1:9" s="258" customFormat="1" ht="24.95" customHeight="1" outlineLevel="1" x14ac:dyDescent="0.2">
      <c r="A73" s="244" t="s">
        <v>1005</v>
      </c>
      <c r="B73" s="220" t="s">
        <v>1256</v>
      </c>
      <c r="C73" s="93" t="s">
        <v>94</v>
      </c>
      <c r="D73" s="93" t="s">
        <v>1258</v>
      </c>
      <c r="E73" s="221" t="s">
        <v>994</v>
      </c>
      <c r="F73" s="218">
        <v>45870</v>
      </c>
      <c r="G73" s="72">
        <v>386</v>
      </c>
      <c r="H73" s="94" t="s">
        <v>280</v>
      </c>
    </row>
    <row r="74" spans="1:9" ht="24.95" customHeight="1" outlineLevel="1" x14ac:dyDescent="0.2">
      <c r="A74" s="244" t="s">
        <v>1021</v>
      </c>
      <c r="B74" s="220" t="s">
        <v>1255</v>
      </c>
      <c r="C74" s="93" t="s">
        <v>94</v>
      </c>
      <c r="D74" s="94" t="s">
        <v>994</v>
      </c>
      <c r="E74" s="221" t="s">
        <v>994</v>
      </c>
      <c r="F74" s="218">
        <v>45839</v>
      </c>
      <c r="G74" s="72">
        <v>380</v>
      </c>
      <c r="H74" s="94" t="s">
        <v>996</v>
      </c>
      <c r="I74" s="236"/>
    </row>
    <row r="75" spans="1:9" ht="24.95" customHeight="1" outlineLevel="1" x14ac:dyDescent="0.2">
      <c r="A75" s="244" t="s">
        <v>822</v>
      </c>
      <c r="B75" s="220" t="s">
        <v>1038</v>
      </c>
      <c r="C75" s="93" t="s">
        <v>94</v>
      </c>
      <c r="D75" s="93" t="s">
        <v>994</v>
      </c>
      <c r="E75" s="221" t="s">
        <v>994</v>
      </c>
      <c r="F75" s="218">
        <v>45839</v>
      </c>
      <c r="G75" s="72">
        <v>351</v>
      </c>
      <c r="H75" s="94" t="s">
        <v>168</v>
      </c>
      <c r="I75" s="236"/>
    </row>
    <row r="76" spans="1:9" ht="24.95" customHeight="1" outlineLevel="1" x14ac:dyDescent="0.2">
      <c r="A76" s="244" t="s">
        <v>1250</v>
      </c>
      <c r="B76" s="220" t="s">
        <v>1029</v>
      </c>
      <c r="C76" s="93" t="s">
        <v>94</v>
      </c>
      <c r="D76" s="93" t="s">
        <v>73</v>
      </c>
      <c r="E76" s="221" t="s">
        <v>282</v>
      </c>
      <c r="F76" s="218">
        <v>45839</v>
      </c>
      <c r="G76" s="72">
        <v>311</v>
      </c>
      <c r="H76" s="94" t="s">
        <v>280</v>
      </c>
      <c r="I76" s="236"/>
    </row>
    <row r="77" spans="1:9" ht="24.95" customHeight="1" outlineLevel="1" x14ac:dyDescent="0.2">
      <c r="A77" s="74" t="s">
        <v>1263</v>
      </c>
      <c r="B77" s="74" t="s">
        <v>1264</v>
      </c>
      <c r="C77" s="93" t="s">
        <v>94</v>
      </c>
      <c r="D77" s="94" t="s">
        <v>73</v>
      </c>
      <c r="E77" s="74" t="s">
        <v>102</v>
      </c>
      <c r="F77" s="218">
        <v>45870</v>
      </c>
      <c r="G77" s="72">
        <v>117</v>
      </c>
      <c r="H77" s="94" t="s">
        <v>168</v>
      </c>
      <c r="I77" s="236"/>
    </row>
    <row r="78" spans="1:9" ht="24.95" customHeight="1" outlineLevel="1" x14ac:dyDescent="0.2">
      <c r="A78" s="74" t="s">
        <v>1137</v>
      </c>
      <c r="B78" s="74" t="s">
        <v>1136</v>
      </c>
      <c r="C78" s="93" t="s">
        <v>94</v>
      </c>
      <c r="D78" s="94" t="s">
        <v>73</v>
      </c>
      <c r="E78" s="94" t="s">
        <v>1138</v>
      </c>
      <c r="F78" s="218">
        <v>45839</v>
      </c>
      <c r="G78" s="72">
        <v>79</v>
      </c>
      <c r="H78" s="94" t="s">
        <v>168</v>
      </c>
      <c r="I78" s="236"/>
    </row>
    <row r="79" spans="1:9" ht="24.95" customHeight="1" outlineLevel="1" x14ac:dyDescent="0.2">
      <c r="A79" s="74" t="s">
        <v>1265</v>
      </c>
      <c r="B79" s="74" t="s">
        <v>1266</v>
      </c>
      <c r="C79" s="93" t="s">
        <v>94</v>
      </c>
      <c r="D79" s="94" t="s">
        <v>73</v>
      </c>
      <c r="E79" s="74" t="s">
        <v>1138</v>
      </c>
      <c r="F79" s="218">
        <v>45839</v>
      </c>
      <c r="G79" s="72">
        <v>75</v>
      </c>
      <c r="H79" s="94" t="s">
        <v>168</v>
      </c>
      <c r="I79" s="236"/>
    </row>
    <row r="80" spans="1:9" x14ac:dyDescent="0.2">
      <c r="A80" s="223"/>
      <c r="B80" s="104"/>
      <c r="C80" s="105"/>
      <c r="D80" s="106"/>
      <c r="E80" s="106"/>
      <c r="F80" s="107"/>
      <c r="G80" s="108"/>
      <c r="H80" s="106"/>
    </row>
    <row r="81" spans="1:10" x14ac:dyDescent="0.2">
      <c r="A81" s="104"/>
      <c r="B81" s="104"/>
      <c r="C81" s="105"/>
      <c r="D81" s="106"/>
      <c r="E81" s="106"/>
      <c r="F81" s="107"/>
      <c r="G81" s="108"/>
      <c r="H81" s="106"/>
    </row>
    <row r="82" spans="1:10" ht="15" x14ac:dyDescent="0.25">
      <c r="A82" s="387" t="s">
        <v>74</v>
      </c>
      <c r="B82" s="387"/>
      <c r="C82" s="387"/>
      <c r="D82" s="387"/>
      <c r="G82" s="235">
        <f>SUM(Таблица125138150162174194264257738910512113715316918528446076921081241401565545705866006146286446606766927097262641567186101116[Сумма])*1000</f>
        <v>1166000</v>
      </c>
    </row>
    <row r="83" spans="1:10" outlineLevel="1" x14ac:dyDescent="0.2">
      <c r="A83" s="91" t="s">
        <v>67</v>
      </c>
      <c r="B83" s="91" t="s">
        <v>53</v>
      </c>
      <c r="C83" s="91" t="s">
        <v>4</v>
      </c>
      <c r="D83" s="91" t="s">
        <v>68</v>
      </c>
      <c r="E83" s="91" t="s">
        <v>69</v>
      </c>
      <c r="F83" s="91" t="s">
        <v>70</v>
      </c>
      <c r="G83" s="91" t="s">
        <v>75</v>
      </c>
      <c r="H83" s="91" t="s">
        <v>72</v>
      </c>
    </row>
    <row r="84" spans="1:10" ht="24.95" customHeight="1" outlineLevel="1" x14ac:dyDescent="0.2">
      <c r="A84" s="74" t="s">
        <v>1249</v>
      </c>
      <c r="B84" s="74" t="s">
        <v>1029</v>
      </c>
      <c r="C84" s="177" t="s">
        <v>94</v>
      </c>
      <c r="D84" s="94" t="s">
        <v>73</v>
      </c>
      <c r="E84" s="74" t="s">
        <v>1147</v>
      </c>
      <c r="F84" s="218">
        <v>45809</v>
      </c>
      <c r="G84" s="72">
        <v>517</v>
      </c>
      <c r="H84" s="94" t="s">
        <v>252</v>
      </c>
    </row>
    <row r="85" spans="1:10" ht="24.95" customHeight="1" outlineLevel="1" x14ac:dyDescent="0.2">
      <c r="A85" s="74" t="s">
        <v>1250</v>
      </c>
      <c r="B85" s="74" t="s">
        <v>1029</v>
      </c>
      <c r="C85" s="177" t="s">
        <v>94</v>
      </c>
      <c r="D85" s="94" t="s">
        <v>73</v>
      </c>
      <c r="E85" s="74" t="s">
        <v>282</v>
      </c>
      <c r="F85" s="218">
        <v>45809</v>
      </c>
      <c r="G85" s="72">
        <v>311</v>
      </c>
      <c r="H85" s="173" t="s">
        <v>280</v>
      </c>
      <c r="J85" s="212"/>
    </row>
    <row r="86" spans="1:10" ht="24.95" customHeight="1" outlineLevel="1" x14ac:dyDescent="0.2">
      <c r="A86" s="74" t="s">
        <v>1263</v>
      </c>
      <c r="B86" s="74" t="s">
        <v>1264</v>
      </c>
      <c r="C86" s="93" t="s">
        <v>94</v>
      </c>
      <c r="D86" s="94" t="s">
        <v>73</v>
      </c>
      <c r="E86" s="74" t="s">
        <v>102</v>
      </c>
      <c r="F86" s="218">
        <v>45870</v>
      </c>
      <c r="G86" s="72">
        <v>117</v>
      </c>
      <c r="H86" s="173" t="s">
        <v>168</v>
      </c>
      <c r="I86" s="236"/>
    </row>
    <row r="87" spans="1:10" ht="24.95" customHeight="1" outlineLevel="1" x14ac:dyDescent="0.2">
      <c r="A87" s="94" t="s">
        <v>1251</v>
      </c>
      <c r="B87" s="94" t="s">
        <v>104</v>
      </c>
      <c r="C87" s="93" t="s">
        <v>94</v>
      </c>
      <c r="D87" s="94" t="s">
        <v>73</v>
      </c>
      <c r="E87" s="221" t="s">
        <v>282</v>
      </c>
      <c r="F87" s="218">
        <v>45809</v>
      </c>
      <c r="G87" s="219">
        <v>93</v>
      </c>
      <c r="H87" s="94" t="s">
        <v>107</v>
      </c>
    </row>
    <row r="88" spans="1:10" ht="24.95" customHeight="1" outlineLevel="1" x14ac:dyDescent="0.2">
      <c r="A88" s="74" t="s">
        <v>1265</v>
      </c>
      <c r="B88" s="74" t="s">
        <v>1266</v>
      </c>
      <c r="C88" s="93" t="s">
        <v>94</v>
      </c>
      <c r="D88" s="94" t="s">
        <v>73</v>
      </c>
      <c r="E88" s="74" t="s">
        <v>1138</v>
      </c>
      <c r="F88" s="218">
        <v>45839</v>
      </c>
      <c r="G88" s="72">
        <v>75</v>
      </c>
      <c r="H88" s="173" t="s">
        <v>168</v>
      </c>
    </row>
    <row r="89" spans="1:10" ht="24.95" customHeight="1" outlineLevel="1" x14ac:dyDescent="0.2">
      <c r="A89" s="94" t="s">
        <v>1252</v>
      </c>
      <c r="B89" s="94" t="s">
        <v>104</v>
      </c>
      <c r="C89" s="93" t="s">
        <v>94</v>
      </c>
      <c r="D89" s="94" t="s">
        <v>73</v>
      </c>
      <c r="E89" s="221" t="s">
        <v>1253</v>
      </c>
      <c r="F89" s="218">
        <v>45809</v>
      </c>
      <c r="G89" s="219">
        <v>53</v>
      </c>
      <c r="H89" s="94" t="s">
        <v>107</v>
      </c>
    </row>
    <row r="90" spans="1:10" ht="15" customHeight="1" x14ac:dyDescent="0.2"/>
    <row r="91" spans="1:10" ht="15" customHeight="1" x14ac:dyDescent="0.2"/>
    <row r="92" spans="1:10" ht="15.75" x14ac:dyDescent="0.25">
      <c r="A92" s="1" t="s">
        <v>76</v>
      </c>
    </row>
    <row r="93" spans="1:10" ht="15" x14ac:dyDescent="0.25">
      <c r="A93" s="386" t="s">
        <v>77</v>
      </c>
      <c r="B93" s="386"/>
      <c r="C93" s="386"/>
      <c r="D93" s="386"/>
      <c r="E93" s="110"/>
      <c r="F93" s="111"/>
    </row>
    <row r="94" spans="1:10" s="104" customFormat="1" outlineLevel="1" x14ac:dyDescent="0.25">
      <c r="A94" s="112" t="s">
        <v>78</v>
      </c>
      <c r="B94" s="112" t="s">
        <v>53</v>
      </c>
      <c r="C94" s="91" t="s">
        <v>4</v>
      </c>
      <c r="D94" s="112" t="s">
        <v>79</v>
      </c>
      <c r="E94" s="91" t="s">
        <v>80</v>
      </c>
      <c r="F94" s="112" t="s">
        <v>81</v>
      </c>
      <c r="G94" s="112" t="s">
        <v>82</v>
      </c>
    </row>
    <row r="95" spans="1:10" s="104" customFormat="1" ht="24.75" customHeight="1" outlineLevel="1" x14ac:dyDescent="0.25">
      <c r="A95" s="253"/>
      <c r="B95" s="230"/>
      <c r="C95" s="93"/>
      <c r="D95" s="173"/>
      <c r="E95" s="173"/>
      <c r="F95" s="173"/>
      <c r="G95" s="173"/>
    </row>
    <row r="96" spans="1:10" s="104" customFormat="1" ht="12" customHeight="1" outlineLevel="1" x14ac:dyDescent="0.2">
      <c r="A96" s="2"/>
      <c r="B96" s="118"/>
      <c r="C96" s="2"/>
      <c r="D96" s="2"/>
      <c r="E96" s="2"/>
      <c r="F96" s="2"/>
      <c r="G96" s="2"/>
    </row>
    <row r="97" spans="1:7" ht="24" customHeight="1" outlineLevel="1" x14ac:dyDescent="0.2">
      <c r="A97" s="118"/>
      <c r="B97" s="118"/>
    </row>
    <row r="98" spans="1:7" ht="24" customHeight="1" outlineLevel="1" x14ac:dyDescent="0.25">
      <c r="A98" s="387" t="s">
        <v>83</v>
      </c>
      <c r="B98" s="387"/>
      <c r="C98" s="387"/>
      <c r="D98" s="387"/>
      <c r="E98" s="212"/>
    </row>
    <row r="99" spans="1:7" ht="24" customHeight="1" outlineLevel="1" x14ac:dyDescent="0.2">
      <c r="A99" s="112" t="s">
        <v>78</v>
      </c>
      <c r="B99" s="112" t="s">
        <v>53</v>
      </c>
      <c r="C99" s="91" t="s">
        <v>4</v>
      </c>
      <c r="D99" s="112" t="s">
        <v>79</v>
      </c>
      <c r="E99" s="91" t="s">
        <v>80</v>
      </c>
      <c r="F99" s="112" t="s">
        <v>81</v>
      </c>
      <c r="G99" s="112" t="s">
        <v>82</v>
      </c>
    </row>
    <row r="100" spans="1:7" ht="24" customHeight="1" outlineLevel="1" x14ac:dyDescent="0.2">
      <c r="A100" s="116"/>
      <c r="B100" s="116"/>
      <c r="C100" s="278" t="s">
        <v>94</v>
      </c>
      <c r="D100" s="280" t="s">
        <v>1268</v>
      </c>
      <c r="E100" s="109"/>
      <c r="F100" s="109"/>
      <c r="G100" s="109"/>
    </row>
    <row r="101" spans="1:7" ht="24" customHeight="1" outlineLevel="1" x14ac:dyDescent="0.2">
      <c r="A101" s="272">
        <v>45818</v>
      </c>
      <c r="B101" s="272" t="s">
        <v>1170</v>
      </c>
      <c r="C101" s="93" t="s">
        <v>94</v>
      </c>
      <c r="D101" s="272" t="s">
        <v>1171</v>
      </c>
      <c r="E101" s="271"/>
      <c r="F101" s="271" t="s">
        <v>109</v>
      </c>
      <c r="G101" s="271" t="s">
        <v>1172</v>
      </c>
    </row>
    <row r="102" spans="1:7" ht="24" customHeight="1" outlineLevel="1" x14ac:dyDescent="0.2">
      <c r="A102" s="272">
        <v>45825</v>
      </c>
      <c r="B102" s="272" t="s">
        <v>1186</v>
      </c>
      <c r="C102" s="93" t="s">
        <v>94</v>
      </c>
      <c r="D102" s="273" t="s">
        <v>1187</v>
      </c>
      <c r="E102" s="271"/>
      <c r="F102" s="271" t="s">
        <v>109</v>
      </c>
      <c r="G102" s="271" t="s">
        <v>1188</v>
      </c>
    </row>
    <row r="103" spans="1:7" ht="24" customHeight="1" outlineLevel="1" x14ac:dyDescent="0.2">
      <c r="A103" s="272">
        <v>45825</v>
      </c>
      <c r="B103" s="272" t="s">
        <v>1189</v>
      </c>
      <c r="C103" s="93" t="s">
        <v>94</v>
      </c>
      <c r="D103" s="272" t="s">
        <v>1190</v>
      </c>
      <c r="E103" s="271"/>
      <c r="F103" s="271" t="s">
        <v>109</v>
      </c>
      <c r="G103" s="271" t="s">
        <v>1191</v>
      </c>
    </row>
    <row r="104" spans="1:7" ht="24" customHeight="1" outlineLevel="1" x14ac:dyDescent="0.2">
      <c r="A104" s="272">
        <v>45826</v>
      </c>
      <c r="B104" s="272" t="s">
        <v>1193</v>
      </c>
      <c r="C104" s="93" t="s">
        <v>94</v>
      </c>
      <c r="D104" s="272" t="s">
        <v>1192</v>
      </c>
      <c r="E104" s="271"/>
      <c r="F104" s="271" t="s">
        <v>109</v>
      </c>
      <c r="G104" s="271" t="s">
        <v>1194</v>
      </c>
    </row>
    <row r="105" spans="1:7" ht="24" customHeight="1" outlineLevel="1" x14ac:dyDescent="0.2">
      <c r="A105" s="271"/>
      <c r="B105" s="272"/>
      <c r="C105" s="278" t="s">
        <v>94</v>
      </c>
      <c r="D105" s="280" t="s">
        <v>1267</v>
      </c>
      <c r="E105" s="271"/>
      <c r="F105" s="271"/>
      <c r="G105" s="271"/>
    </row>
    <row r="106" spans="1:7" ht="24" customHeight="1" outlineLevel="1" x14ac:dyDescent="0.2">
      <c r="A106" s="274">
        <v>45810</v>
      </c>
      <c r="B106" s="116" t="s">
        <v>1174</v>
      </c>
      <c r="C106" s="93" t="s">
        <v>94</v>
      </c>
      <c r="D106" s="116" t="s">
        <v>1175</v>
      </c>
      <c r="E106" s="109"/>
      <c r="F106" s="109" t="s">
        <v>109</v>
      </c>
      <c r="G106" s="109" t="s">
        <v>1173</v>
      </c>
    </row>
    <row r="107" spans="1:7" ht="24" customHeight="1" outlineLevel="1" x14ac:dyDescent="0.2">
      <c r="A107" s="272">
        <v>45813</v>
      </c>
      <c r="B107" s="272" t="s">
        <v>1181</v>
      </c>
      <c r="C107" s="93" t="s">
        <v>94</v>
      </c>
      <c r="D107" s="272" t="s">
        <v>1182</v>
      </c>
      <c r="E107" s="271"/>
      <c r="F107" s="271" t="s">
        <v>109</v>
      </c>
      <c r="G107" s="55" t="s">
        <v>1260</v>
      </c>
    </row>
    <row r="108" spans="1:7" ht="24" customHeight="1" outlineLevel="1" x14ac:dyDescent="0.2">
      <c r="A108" s="116">
        <v>45818</v>
      </c>
      <c r="B108" s="116" t="s">
        <v>1176</v>
      </c>
      <c r="C108" s="93" t="s">
        <v>94</v>
      </c>
      <c r="D108" s="191" t="s">
        <v>1177</v>
      </c>
      <c r="E108" s="109"/>
      <c r="F108" s="109" t="s">
        <v>109</v>
      </c>
      <c r="G108" s="109" t="s">
        <v>1178</v>
      </c>
    </row>
    <row r="109" spans="1:7" ht="24" customHeight="1" outlineLevel="1" x14ac:dyDescent="0.2">
      <c r="A109" s="116">
        <v>45825</v>
      </c>
      <c r="B109" s="116" t="s">
        <v>1183</v>
      </c>
      <c r="C109" s="93" t="s">
        <v>94</v>
      </c>
      <c r="D109" s="191" t="s">
        <v>1184</v>
      </c>
      <c r="E109" s="109"/>
      <c r="F109" s="109" t="s">
        <v>109</v>
      </c>
      <c r="G109" s="109" t="s">
        <v>1185</v>
      </c>
    </row>
    <row r="110" spans="1:7" ht="24" customHeight="1" outlineLevel="1" x14ac:dyDescent="0.2">
      <c r="A110" s="116">
        <v>45826</v>
      </c>
      <c r="B110" s="116" t="s">
        <v>1196</v>
      </c>
      <c r="C110" s="93" t="s">
        <v>94</v>
      </c>
      <c r="D110" s="116" t="s">
        <v>1197</v>
      </c>
      <c r="E110" s="109" t="s">
        <v>1282</v>
      </c>
      <c r="F110" s="109" t="s">
        <v>109</v>
      </c>
      <c r="G110" s="109" t="s">
        <v>1195</v>
      </c>
    </row>
    <row r="111" spans="1:7" ht="24" customHeight="1" outlineLevel="1" x14ac:dyDescent="0.2">
      <c r="A111" s="116">
        <v>45827</v>
      </c>
      <c r="B111" s="116" t="s">
        <v>1198</v>
      </c>
      <c r="C111" s="93" t="s">
        <v>94</v>
      </c>
      <c r="D111" s="116" t="s">
        <v>1199</v>
      </c>
      <c r="E111" s="109" t="s">
        <v>1281</v>
      </c>
      <c r="F111" s="109" t="s">
        <v>109</v>
      </c>
      <c r="G111" s="109" t="s">
        <v>1200</v>
      </c>
    </row>
    <row r="112" spans="1:7" ht="24" customHeight="1" outlineLevel="1" x14ac:dyDescent="0.2">
      <c r="A112" s="116">
        <v>45832</v>
      </c>
      <c r="B112" s="116" t="s">
        <v>1221</v>
      </c>
      <c r="C112" s="93" t="s">
        <v>94</v>
      </c>
      <c r="D112" s="116" t="s">
        <v>1222</v>
      </c>
      <c r="E112" s="109" t="s">
        <v>1281</v>
      </c>
      <c r="F112" s="109" t="s">
        <v>109</v>
      </c>
      <c r="G112" s="109" t="s">
        <v>1223</v>
      </c>
    </row>
    <row r="113" spans="1:15" ht="24" customHeight="1" outlineLevel="1" x14ac:dyDescent="0.2">
      <c r="A113" s="116">
        <v>45833</v>
      </c>
      <c r="B113" s="116" t="s">
        <v>1219</v>
      </c>
      <c r="C113" s="93" t="s">
        <v>94</v>
      </c>
      <c r="D113" s="116" t="s">
        <v>1220</v>
      </c>
      <c r="E113" s="109" t="s">
        <v>1282</v>
      </c>
      <c r="F113" s="109" t="s">
        <v>109</v>
      </c>
      <c r="G113" s="109" t="s">
        <v>1218</v>
      </c>
    </row>
    <row r="114" spans="1:15" ht="24" customHeight="1" outlineLevel="1" x14ac:dyDescent="0.2">
      <c r="A114" s="116">
        <v>45834</v>
      </c>
      <c r="B114" s="116" t="s">
        <v>1242</v>
      </c>
      <c r="C114" s="93" t="s">
        <v>94</v>
      </c>
      <c r="D114" s="116" t="s">
        <v>1243</v>
      </c>
      <c r="E114" s="109" t="s">
        <v>1282</v>
      </c>
      <c r="F114" s="109" t="s">
        <v>109</v>
      </c>
      <c r="G114" s="109" t="s">
        <v>1244</v>
      </c>
    </row>
    <row r="115" spans="1:15" ht="24" customHeight="1" outlineLevel="1" x14ac:dyDescent="0.2">
      <c r="A115" s="109"/>
      <c r="B115" s="116"/>
      <c r="C115" s="93"/>
      <c r="D115" s="116"/>
      <c r="E115" s="109"/>
      <c r="F115" s="109"/>
      <c r="G115" s="109"/>
    </row>
    <row r="117" spans="1:15" s="17" customFormat="1" outlineLevel="1" x14ac:dyDescent="0.2">
      <c r="A117" s="2"/>
      <c r="B117" s="2"/>
      <c r="C117" s="2"/>
      <c r="D117" s="2"/>
      <c r="E117" s="2"/>
      <c r="F117" s="2"/>
      <c r="G117" s="2"/>
    </row>
    <row r="118" spans="1:15" ht="60" customHeight="1" outlineLevel="1" x14ac:dyDescent="0.25">
      <c r="A118" s="1" t="s">
        <v>84</v>
      </c>
    </row>
    <row r="119" spans="1:15" ht="12.6" customHeight="1" outlineLevel="1" x14ac:dyDescent="0.25">
      <c r="A119" s="386" t="s">
        <v>85</v>
      </c>
      <c r="B119" s="386"/>
      <c r="C119" s="386"/>
      <c r="D119" s="386"/>
    </row>
    <row r="120" spans="1:15" ht="33" customHeight="1" outlineLevel="1" x14ac:dyDescent="0.2">
      <c r="A120" s="120" t="s">
        <v>81</v>
      </c>
      <c r="B120" s="120" t="s">
        <v>86</v>
      </c>
      <c r="C120" s="120" t="s">
        <v>87</v>
      </c>
      <c r="D120" s="120" t="s">
        <v>88</v>
      </c>
      <c r="E120" s="120" t="s">
        <v>89</v>
      </c>
      <c r="F120" s="120" t="s">
        <v>4</v>
      </c>
      <c r="G120" s="120" t="s">
        <v>90</v>
      </c>
    </row>
    <row r="121" spans="1:15" ht="102" x14ac:dyDescent="0.2">
      <c r="A121" s="94"/>
      <c r="B121" s="94" t="s">
        <v>1168</v>
      </c>
      <c r="C121" s="238" t="s">
        <v>761</v>
      </c>
      <c r="D121" s="219" t="s">
        <v>1224</v>
      </c>
      <c r="E121" s="132" t="s">
        <v>1164</v>
      </c>
      <c r="F121" s="74" t="s">
        <v>94</v>
      </c>
      <c r="G121" s="72">
        <v>0</v>
      </c>
    </row>
    <row r="122" spans="1:15" ht="123.75" customHeight="1" x14ac:dyDescent="0.2">
      <c r="A122" s="94"/>
      <c r="B122" s="219" t="s">
        <v>1169</v>
      </c>
      <c r="C122" s="238" t="s">
        <v>761</v>
      </c>
      <c r="D122" s="219" t="s">
        <v>1262</v>
      </c>
      <c r="E122" s="132" t="s">
        <v>1167</v>
      </c>
      <c r="F122" s="74" t="s">
        <v>94</v>
      </c>
      <c r="G122" s="72">
        <v>777.77</v>
      </c>
    </row>
    <row r="123" spans="1:15" ht="40.5" customHeight="1" x14ac:dyDescent="0.2">
      <c r="A123" s="130"/>
      <c r="B123" s="148" t="s">
        <v>1165</v>
      </c>
      <c r="C123" s="238" t="s">
        <v>761</v>
      </c>
      <c r="D123" s="96" t="s">
        <v>1261</v>
      </c>
      <c r="E123" s="132" t="s">
        <v>1166</v>
      </c>
      <c r="F123" s="74" t="s">
        <v>94</v>
      </c>
      <c r="G123" s="72">
        <v>1950</v>
      </c>
    </row>
    <row r="124" spans="1:15" ht="51" x14ac:dyDescent="0.2">
      <c r="A124" s="130"/>
      <c r="B124" s="148" t="s">
        <v>1053</v>
      </c>
      <c r="C124" s="238" t="s">
        <v>160</v>
      </c>
      <c r="D124" s="94" t="s">
        <v>850</v>
      </c>
      <c r="E124" s="132">
        <v>5000</v>
      </c>
      <c r="F124" s="74" t="s">
        <v>94</v>
      </c>
      <c r="G124" s="72">
        <v>5000</v>
      </c>
    </row>
    <row r="125" spans="1:15" s="124" customFormat="1" ht="12.75" customHeight="1" outlineLevel="1" x14ac:dyDescent="0.2">
      <c r="A125" s="2"/>
      <c r="B125" s="122"/>
      <c r="C125" s="123"/>
      <c r="D125" s="2"/>
      <c r="E125" s="2"/>
      <c r="F125" s="122"/>
      <c r="G125" s="2"/>
      <c r="H125" s="2"/>
      <c r="I125" s="2"/>
      <c r="J125" s="2"/>
      <c r="K125" s="2"/>
      <c r="L125" s="2"/>
      <c r="M125" s="2"/>
      <c r="N125" s="2"/>
      <c r="O125" s="2"/>
    </row>
    <row r="126" spans="1:15" ht="60" customHeight="1" outlineLevel="1" x14ac:dyDescent="0.2">
      <c r="A126" s="122"/>
      <c r="B126" s="122"/>
      <c r="C126" s="123"/>
      <c r="F126" s="122"/>
    </row>
    <row r="127" spans="1:15" ht="60" customHeight="1" outlineLevel="1" x14ac:dyDescent="0.25">
      <c r="A127" s="386" t="s">
        <v>92</v>
      </c>
      <c r="B127" s="386"/>
      <c r="C127" s="386"/>
      <c r="D127" s="386"/>
    </row>
    <row r="128" spans="1:15" x14ac:dyDescent="0.2">
      <c r="A128" s="120" t="s">
        <v>81</v>
      </c>
      <c r="B128" s="120" t="s">
        <v>86</v>
      </c>
      <c r="C128" s="120" t="s">
        <v>87</v>
      </c>
      <c r="D128" s="120" t="s">
        <v>88</v>
      </c>
      <c r="E128" s="120" t="s">
        <v>89</v>
      </c>
      <c r="F128" s="120" t="s">
        <v>4</v>
      </c>
      <c r="G128" s="120" t="s">
        <v>90</v>
      </c>
    </row>
    <row r="129" spans="1:7" ht="15" x14ac:dyDescent="0.25">
      <c r="A129" s="94"/>
      <c r="B129" s="94"/>
      <c r="C129" s="125"/>
      <c r="D129"/>
      <c r="E129" s="121"/>
      <c r="F129" s="74" t="s">
        <v>94</v>
      </c>
      <c r="G129" s="9"/>
    </row>
    <row r="130" spans="1:7" ht="15" x14ac:dyDescent="0.25">
      <c r="A130" s="94"/>
      <c r="B130" s="94"/>
      <c r="C130" s="125"/>
      <c r="D130"/>
      <c r="E130" s="121"/>
      <c r="F130" s="74" t="s">
        <v>94</v>
      </c>
      <c r="G130" s="126"/>
    </row>
  </sheetData>
  <mergeCells count="14">
    <mergeCell ref="A44:D44"/>
    <mergeCell ref="A5:D5"/>
    <mergeCell ref="A10:D10"/>
    <mergeCell ref="A15:D15"/>
    <mergeCell ref="A20:D20"/>
    <mergeCell ref="A38:D38"/>
    <mergeCell ref="A119:D119"/>
    <mergeCell ref="A127:D127"/>
    <mergeCell ref="A52:D52"/>
    <mergeCell ref="A61:D61"/>
    <mergeCell ref="A70:D70"/>
    <mergeCell ref="A82:D82"/>
    <mergeCell ref="A93:D93"/>
    <mergeCell ref="A98:D98"/>
  </mergeCells>
  <conditionalFormatting sqref="G130">
    <cfRule type="cellIs" dxfId="473" priority="19" operator="equal">
      <formula>"ДА"</formula>
    </cfRule>
    <cfRule type="cellIs" dxfId="472" priority="20" operator="equal">
      <formula>"НЕТ"</formula>
    </cfRule>
    <cfRule type="cellIs" dxfId="471" priority="21" operator="equal">
      <formula>"Нет"</formula>
    </cfRule>
    <cfRule type="cellIs" dxfId="470" priority="22" operator="equal">
      <formula>"нет"</formula>
    </cfRule>
    <cfRule type="cellIs" dxfId="469" priority="23" operator="equal">
      <formula>"ДА"</formula>
    </cfRule>
    <cfRule type="containsText" dxfId="468" priority="24" operator="containsText" text="Да">
      <formula>NOT(ISERROR(SEARCH("Да",G130)))</formula>
    </cfRule>
  </conditionalFormatting>
  <conditionalFormatting sqref="E7 E12">
    <cfRule type="cellIs" dxfId="467" priority="31" operator="lessThan">
      <formula>0</formula>
    </cfRule>
    <cfRule type="cellIs" dxfId="466" priority="32" operator="greaterThan">
      <formula>0</formula>
    </cfRule>
  </conditionalFormatting>
  <conditionalFormatting sqref="D7 D12 E17">
    <cfRule type="cellIs" dxfId="465" priority="29" operator="lessThan">
      <formula>0</formula>
    </cfRule>
    <cfRule type="cellIs" dxfId="464" priority="30" operator="greaterThan">
      <formula>0</formula>
    </cfRule>
  </conditionalFormatting>
  <conditionalFormatting sqref="H63">
    <cfRule type="cellIs" dxfId="463" priority="27" operator="lessThan">
      <formula>1</formula>
    </cfRule>
    <cfRule type="cellIs" dxfId="462" priority="28" operator="greaterThan">
      <formula>1</formula>
    </cfRule>
  </conditionalFormatting>
  <conditionalFormatting sqref="H66">
    <cfRule type="cellIs" dxfId="461" priority="25" operator="lessThan">
      <formula>1</formula>
    </cfRule>
    <cfRule type="cellIs" dxfId="460" priority="26" operator="greaterThan">
      <formula>1</formula>
    </cfRule>
  </conditionalFormatting>
  <conditionalFormatting sqref="G129">
    <cfRule type="cellIs" dxfId="459" priority="13" operator="equal">
      <formula>"ДА"</formula>
    </cfRule>
    <cfRule type="cellIs" dxfId="458" priority="14" operator="equal">
      <formula>"НЕТ"</formula>
    </cfRule>
    <cfRule type="cellIs" dxfId="457" priority="15" operator="equal">
      <formula>"Нет"</formula>
    </cfRule>
    <cfRule type="cellIs" dxfId="456" priority="16" operator="equal">
      <formula>"нет"</formula>
    </cfRule>
    <cfRule type="cellIs" dxfId="455" priority="17" operator="equal">
      <formula>"ДА"</formula>
    </cfRule>
    <cfRule type="containsText" dxfId="454" priority="18" operator="containsText" text="Да">
      <formula>NOT(ISERROR(SEARCH("Да",G129)))</formula>
    </cfRule>
  </conditionalFormatting>
  <conditionalFormatting sqref="G121:G124">
    <cfRule type="cellIs" dxfId="453" priority="7" operator="equal">
      <formula>"ДА"</formula>
    </cfRule>
    <cfRule type="cellIs" dxfId="452" priority="8" operator="equal">
      <formula>"НЕТ"</formula>
    </cfRule>
    <cfRule type="cellIs" dxfId="451" priority="9" operator="equal">
      <formula>"Нет"</formula>
    </cfRule>
    <cfRule type="cellIs" dxfId="450" priority="10" operator="equal">
      <formula>"нет"</formula>
    </cfRule>
    <cfRule type="cellIs" dxfId="449" priority="11" operator="equal">
      <formula>"ДА"</formula>
    </cfRule>
    <cfRule type="containsText" dxfId="448" priority="12" operator="containsText" text="Да">
      <formula>NOT(ISERROR(SEARCH("Да",G121)))</formula>
    </cfRule>
  </conditionalFormatting>
  <conditionalFormatting sqref="C121:C124">
    <cfRule type="cellIs" dxfId="447" priority="1" operator="equal">
      <formula>"ДА"</formula>
    </cfRule>
    <cfRule type="cellIs" dxfId="446" priority="2" operator="equal">
      <formula>"НЕТ"</formula>
    </cfRule>
    <cfRule type="cellIs" dxfId="445" priority="3" operator="equal">
      <formula>"Нет"</formula>
    </cfRule>
    <cfRule type="cellIs" dxfId="444" priority="4" operator="equal">
      <formula>"нет"</formula>
    </cfRule>
    <cfRule type="cellIs" dxfId="443" priority="5" operator="equal">
      <formula>"ДА"</formula>
    </cfRule>
    <cfRule type="containsText" dxfId="442" priority="6" operator="containsText" text="Да">
      <formula>NOT(ISERROR(SEARCH("Да",C121)))</formula>
    </cfRule>
  </conditionalFormatting>
  <conditionalFormatting sqref="B114 B100:B103 B111 B106:B107">
    <cfRule type="duplicateValues" dxfId="441" priority="93"/>
  </conditionalFormatting>
  <pageMargins left="0.7" right="0.7" top="0.75" bottom="0.75" header="0.3" footer="0.3"/>
  <pageSetup paperSize="9" orientation="portrait" r:id="rId1"/>
  <legacy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B5689-87AF-443C-A00E-12CFC2F9C52D}">
  <dimension ref="A1:O140"/>
  <sheetViews>
    <sheetView zoomScale="85" zoomScaleNormal="85" workbookViewId="0">
      <selection activeCell="B25" sqref="B25"/>
    </sheetView>
  </sheetViews>
  <sheetFormatPr defaultColWidth="9.140625" defaultRowHeight="12.75" outlineLevelRow="1" x14ac:dyDescent="0.2"/>
  <cols>
    <col min="1" max="1" width="30.28515625" style="2" customWidth="1"/>
    <col min="2" max="2" width="31.7109375" style="2" customWidth="1"/>
    <col min="3" max="3" width="31.5703125" style="2" bestFit="1" customWidth="1"/>
    <col min="4" max="4" width="59.5703125" style="2" customWidth="1"/>
    <col min="5" max="5" width="34.85546875" style="2" customWidth="1"/>
    <col min="6" max="6" width="27.140625" style="2" customWidth="1"/>
    <col min="7" max="7" width="27.42578125" style="2" customWidth="1"/>
    <col min="8" max="8" width="36" style="2" customWidth="1"/>
    <col min="9" max="16384" width="9.140625" style="2"/>
  </cols>
  <sheetData>
    <row r="1" spans="1:7" ht="24.75" customHeight="1" x14ac:dyDescent="0.25">
      <c r="A1" s="134" t="s">
        <v>94</v>
      </c>
    </row>
    <row r="2" spans="1:7" s="212" customFormat="1" ht="15.75" x14ac:dyDescent="0.25">
      <c r="A2" s="134" t="s">
        <v>1269</v>
      </c>
    </row>
    <row r="3" spans="1:7" x14ac:dyDescent="0.2">
      <c r="A3" s="3"/>
    </row>
    <row r="4" spans="1:7" ht="15.75" x14ac:dyDescent="0.25">
      <c r="A4" s="1" t="s">
        <v>0</v>
      </c>
      <c r="B4" s="2" t="s">
        <v>1</v>
      </c>
      <c r="C4" s="2" t="s">
        <v>2</v>
      </c>
    </row>
    <row r="5" spans="1:7" ht="15" x14ac:dyDescent="0.25">
      <c r="A5" s="386" t="s">
        <v>3</v>
      </c>
      <c r="B5" s="386"/>
      <c r="C5" s="386"/>
      <c r="D5" s="386"/>
      <c r="F5" s="4"/>
    </row>
    <row r="6" spans="1:7" s="6" customFormat="1" outlineLevel="1" x14ac:dyDescent="0.2">
      <c r="A6" s="5" t="s">
        <v>4</v>
      </c>
      <c r="B6" s="5" t="s">
        <v>5</v>
      </c>
      <c r="C6" s="5" t="s">
        <v>6</v>
      </c>
      <c r="D6" s="5" t="s">
        <v>7</v>
      </c>
      <c r="E6" s="5" t="s">
        <v>8</v>
      </c>
      <c r="F6" s="5" t="s">
        <v>10</v>
      </c>
      <c r="G6" s="186"/>
    </row>
    <row r="7" spans="1:7" outlineLevel="1" x14ac:dyDescent="0.2">
      <c r="A7" s="7" t="s">
        <v>94</v>
      </c>
      <c r="B7" s="8">
        <f>C25</f>
        <v>220000</v>
      </c>
      <c r="C7" s="9">
        <f>B25</f>
        <v>88786.75</v>
      </c>
      <c r="D7" s="10">
        <f>Таблица11029163037445158657223303744515865727986931009223548627690104107127139151163183152947637995111127143159175183450668298114130146545561577589605619635651667683700717163247627792107122[Факт, руб.]/Таблица11029163037445158657223303744515865727986931009223548627690104107127139151163183152947637995111127143159175183450668298114130146545561577589605619635651667683700717163247627792107122[План, руб.]-100%</f>
        <v>-0.59642386363636368</v>
      </c>
      <c r="E7" s="11">
        <f>Таблица11029163037445158657223303744515865727986931009223548627690104107127139151163183152947637995111127143159175183450668298114130146545561577589605619635651667683700717163247627792107122[Факт, руб.]-Таблица11029163037445158657223303744515865727986931009223548627690104107127139151163183152947637995111127143159175183450668298114130146545561577589605619635651667683700717163247627792107122[План, руб.]</f>
        <v>-131213.25</v>
      </c>
      <c r="F7" s="9">
        <f>B24</f>
        <v>60194.18</v>
      </c>
      <c r="G7" s="185"/>
    </row>
    <row r="8" spans="1:7" x14ac:dyDescent="0.2">
      <c r="A8" s="12"/>
      <c r="B8" s="13"/>
      <c r="C8" s="13"/>
      <c r="D8" s="14"/>
      <c r="F8" s="15"/>
      <c r="G8" s="16"/>
    </row>
    <row r="9" spans="1:7" ht="15" customHeight="1" x14ac:dyDescent="0.2">
      <c r="A9" s="12"/>
      <c r="B9" s="13"/>
      <c r="C9" s="13"/>
      <c r="D9" s="14"/>
      <c r="F9" s="17"/>
    </row>
    <row r="10" spans="1:7" ht="15" x14ac:dyDescent="0.25">
      <c r="A10" s="386" t="s">
        <v>11</v>
      </c>
      <c r="B10" s="386"/>
      <c r="C10" s="386"/>
      <c r="D10" s="386"/>
      <c r="F10" s="17"/>
    </row>
    <row r="11" spans="1:7" s="6" customFormat="1" outlineLevel="1" x14ac:dyDescent="0.2">
      <c r="A11" s="18" t="s">
        <v>4</v>
      </c>
      <c r="B11" s="19" t="s">
        <v>12</v>
      </c>
      <c r="C11" s="19" t="s">
        <v>13</v>
      </c>
      <c r="D11" s="19" t="s">
        <v>7</v>
      </c>
      <c r="E11" s="19" t="s">
        <v>8</v>
      </c>
      <c r="F11" s="20"/>
    </row>
    <row r="12" spans="1:7" outlineLevel="1" x14ac:dyDescent="0.2">
      <c r="A12" s="7" t="s">
        <v>94</v>
      </c>
      <c r="B12" s="8">
        <f>SUM(C22:C25)</f>
        <v>790000</v>
      </c>
      <c r="C12" s="8">
        <f>B34</f>
        <v>490875.59</v>
      </c>
      <c r="D12" s="21">
        <f>C12/B12-100%</f>
        <v>-0.37863849367088609</v>
      </c>
      <c r="E12" s="8">
        <f>C12-B12</f>
        <v>-299124.40999999997</v>
      </c>
      <c r="F12" s="17"/>
      <c r="G12" s="22"/>
    </row>
    <row r="13" spans="1:7" x14ac:dyDescent="0.2">
      <c r="A13" s="12"/>
      <c r="B13" s="13"/>
      <c r="C13" s="13"/>
      <c r="D13" s="14"/>
      <c r="F13" s="17"/>
    </row>
    <row r="14" spans="1:7" x14ac:dyDescent="0.2">
      <c r="A14" s="13"/>
      <c r="B14" s="13"/>
      <c r="C14" s="13"/>
      <c r="D14" s="14"/>
      <c r="F14" s="17"/>
      <c r="G14" s="22"/>
    </row>
    <row r="15" spans="1:7" ht="15" x14ac:dyDescent="0.25">
      <c r="A15" s="386" t="s">
        <v>393</v>
      </c>
      <c r="B15" s="386"/>
      <c r="C15" s="386"/>
      <c r="D15" s="386"/>
      <c r="F15" s="17"/>
    </row>
    <row r="16" spans="1:7" s="6" customFormat="1" outlineLevel="1" x14ac:dyDescent="0.2">
      <c r="A16" s="5" t="s">
        <v>4</v>
      </c>
      <c r="B16" s="5" t="s">
        <v>16</v>
      </c>
      <c r="C16" s="5" t="s">
        <v>93</v>
      </c>
      <c r="D16" s="5" t="s">
        <v>1037</v>
      </c>
      <c r="E16" s="5" t="s">
        <v>17</v>
      </c>
      <c r="F16" s="23"/>
    </row>
    <row r="17" spans="1:5" outlineLevel="1" x14ac:dyDescent="0.2">
      <c r="A17" s="7" t="s">
        <v>94</v>
      </c>
      <c r="B17" s="8">
        <v>0</v>
      </c>
      <c r="C17" s="24">
        <v>0</v>
      </c>
      <c r="D17" s="24">
        <f>B34</f>
        <v>490875.59</v>
      </c>
      <c r="E17" s="21" t="e">
        <f>Таблица211301731384552596673243138455259667380879410110233649637791105109128140152164184163248648096112128144160176193551678399115131147546562578590606620636652668684701718173348637893108123[Профит ФГ 25-26]/Таблица211301731384552596673243138455259667380879410110233649637791105109128140152164184163248648096112128144160176193551678399115131147546562578590606620636652668684701718173348637893108123[Профит ФГ 24-25]</f>
        <v>#DIV/0!</v>
      </c>
    </row>
    <row r="20" spans="1:5" ht="15" x14ac:dyDescent="0.25">
      <c r="A20" s="386" t="s">
        <v>18</v>
      </c>
      <c r="B20" s="386"/>
      <c r="C20" s="386"/>
      <c r="D20" s="386"/>
    </row>
    <row r="21" spans="1:5" outlineLevel="1" x14ac:dyDescent="0.2">
      <c r="A21" s="25" t="s">
        <v>19</v>
      </c>
      <c r="B21" s="26" t="s">
        <v>20</v>
      </c>
      <c r="C21" s="26" t="s">
        <v>21</v>
      </c>
      <c r="D21" s="25" t="s">
        <v>22</v>
      </c>
    </row>
    <row r="22" spans="1:5" outlineLevel="1" x14ac:dyDescent="0.2">
      <c r="A22" s="30" t="s">
        <v>23</v>
      </c>
      <c r="B22" s="31">
        <v>255961.25</v>
      </c>
      <c r="C22" s="31">
        <v>170000</v>
      </c>
      <c r="D22" s="32">
        <f>Таблица4936997167333146617691106121136[[#This Row],[Профит]]/Таблица4936997167333146617691106121136[[#This Row],[План]]</f>
        <v>1.5056544117647059</v>
      </c>
    </row>
    <row r="23" spans="1:5" outlineLevel="1" x14ac:dyDescent="0.2">
      <c r="A23" s="30" t="s">
        <v>25</v>
      </c>
      <c r="B23" s="135">
        <v>85933.41</v>
      </c>
      <c r="C23" s="31">
        <v>190000</v>
      </c>
      <c r="D23" s="32">
        <f>Таблица4936997167333146617691106121136[[#This Row],[Профит]]/Таблица4936997167333146617691106121136[[#This Row],[План]]</f>
        <v>0.4522811052631579</v>
      </c>
    </row>
    <row r="24" spans="1:5" outlineLevel="1" x14ac:dyDescent="0.2">
      <c r="A24" s="30" t="s">
        <v>26</v>
      </c>
      <c r="B24" s="135">
        <v>60194.18</v>
      </c>
      <c r="C24" s="31">
        <v>210000</v>
      </c>
      <c r="D24" s="32">
        <f>Таблица4936997167333146617691106121136[[#This Row],[Профит]]/Таблица4936997167333146617691106121136[[#This Row],[План]]</f>
        <v>0.28663895238095238</v>
      </c>
    </row>
    <row r="25" spans="1:5" outlineLevel="1" x14ac:dyDescent="0.2">
      <c r="A25" s="30" t="s">
        <v>27</v>
      </c>
      <c r="B25" s="135">
        <v>88786.75</v>
      </c>
      <c r="C25" s="31">
        <v>220000</v>
      </c>
      <c r="D25" s="32">
        <f>Таблица4936997167333146617691106121136[[#This Row],[Профит]]/Таблица4936997167333146617691106121136[[#This Row],[План]]</f>
        <v>0.40357613636363637</v>
      </c>
    </row>
    <row r="26" spans="1:5" outlineLevel="1" x14ac:dyDescent="0.2">
      <c r="A26" s="30" t="s">
        <v>28</v>
      </c>
      <c r="B26" s="31">
        <v>0</v>
      </c>
      <c r="C26" s="31">
        <v>250000</v>
      </c>
      <c r="D26" s="32">
        <f>Таблица4936997167333146617691106121136[[#This Row],[Профит]]/Таблица4936997167333146617691106121136[[#This Row],[План]]</f>
        <v>0</v>
      </c>
    </row>
    <row r="27" spans="1:5" outlineLevel="1" x14ac:dyDescent="0.2">
      <c r="A27" s="30" t="s">
        <v>29</v>
      </c>
      <c r="B27" s="31">
        <v>0</v>
      </c>
      <c r="C27" s="31">
        <v>270000</v>
      </c>
      <c r="D27" s="32">
        <f>Таблица4936997167333146617691106121136[[#This Row],[Профит]]/Таблица4936997167333146617691106121136[[#This Row],[План]]</f>
        <v>0</v>
      </c>
    </row>
    <row r="28" spans="1:5" outlineLevel="1" x14ac:dyDescent="0.2">
      <c r="A28" s="30" t="s">
        <v>30</v>
      </c>
      <c r="B28" s="31">
        <v>0</v>
      </c>
      <c r="C28" s="31">
        <v>270000</v>
      </c>
      <c r="D28" s="32">
        <f>Таблица4936997167333146617691106121136[[#This Row],[Профит]]/Таблица4936997167333146617691106121136[[#This Row],[План]]</f>
        <v>0</v>
      </c>
    </row>
    <row r="29" spans="1:5" outlineLevel="1" x14ac:dyDescent="0.2">
      <c r="A29" s="30" t="s">
        <v>31</v>
      </c>
      <c r="B29" s="31">
        <v>0</v>
      </c>
      <c r="C29" s="31">
        <v>330000</v>
      </c>
      <c r="D29" s="32">
        <f>Таблица4936997167333146617691106121136[[#This Row],[Профит]]/Таблица4936997167333146617691106121136[[#This Row],[План]]</f>
        <v>0</v>
      </c>
    </row>
    <row r="30" spans="1:5" outlineLevel="1" x14ac:dyDescent="0.2">
      <c r="A30" s="30" t="s">
        <v>32</v>
      </c>
      <c r="B30" s="34">
        <v>0</v>
      </c>
      <c r="C30" s="34">
        <v>390000</v>
      </c>
      <c r="D30" s="32">
        <f>Таблица4936997167333146617691106121136[[#This Row],[Профит]]/Таблица4936997167333146617691106121136[[#This Row],[План]]</f>
        <v>0</v>
      </c>
    </row>
    <row r="31" spans="1:5" outlineLevel="1" x14ac:dyDescent="0.2">
      <c r="A31" s="30" t="s">
        <v>33</v>
      </c>
      <c r="B31" s="34">
        <v>0</v>
      </c>
      <c r="C31" s="34">
        <v>300000</v>
      </c>
      <c r="D31" s="32">
        <f>Таблица4936997167333146617691106121136[[#This Row],[Профит]]/Таблица4936997167333146617691106121136[[#This Row],[План]]</f>
        <v>0</v>
      </c>
    </row>
    <row r="32" spans="1:5" outlineLevel="1" x14ac:dyDescent="0.2">
      <c r="A32" s="30" t="s">
        <v>34</v>
      </c>
      <c r="B32" s="34">
        <v>0</v>
      </c>
      <c r="C32" s="34">
        <v>330000</v>
      </c>
      <c r="D32" s="32">
        <f>Таблица4936997167333146617691106121136[[#This Row],[Профит]]/Таблица4936997167333146617691106121136[[#This Row],[План]]</f>
        <v>0</v>
      </c>
    </row>
    <row r="33" spans="1:8" outlineLevel="1" x14ac:dyDescent="0.2">
      <c r="A33" s="33" t="s">
        <v>35</v>
      </c>
      <c r="B33" s="34">
        <v>0</v>
      </c>
      <c r="C33" s="34">
        <v>360000</v>
      </c>
      <c r="D33" s="32">
        <f>Таблица4936997167333146617691106121136[[#This Row],[Профит]]/Таблица4936997167333146617691106121136[[#This Row],[План]]</f>
        <v>0</v>
      </c>
      <c r="H33" s="35"/>
    </row>
    <row r="34" spans="1:8" ht="15" outlineLevel="1" x14ac:dyDescent="0.25">
      <c r="A34" s="36" t="s">
        <v>36</v>
      </c>
      <c r="B34" s="37">
        <f>SUM(B22:B33)</f>
        <v>490875.59</v>
      </c>
      <c r="C34" s="38">
        <f>SUM(C22:C33)</f>
        <v>3290000</v>
      </c>
      <c r="D34" s="39"/>
    </row>
    <row r="35" spans="1:8" outlineLevel="1" x14ac:dyDescent="0.2">
      <c r="A35" s="41" t="s">
        <v>37</v>
      </c>
      <c r="B35" s="42">
        <f>AVERAGE(B22:B25)</f>
        <v>122718.89750000001</v>
      </c>
      <c r="C35" s="42">
        <f>AVERAGE(C22:C33)</f>
        <v>274166.66666666669</v>
      </c>
      <c r="D35" s="43">
        <f>B35/C35</f>
        <v>0.44760692097264437</v>
      </c>
    </row>
    <row r="38" spans="1:8" ht="15" x14ac:dyDescent="0.25">
      <c r="A38" s="386" t="s">
        <v>38</v>
      </c>
      <c r="B38" s="386"/>
      <c r="C38" s="386"/>
      <c r="D38" s="386"/>
    </row>
    <row r="39" spans="1:8" s="45" customFormat="1" outlineLevel="1" x14ac:dyDescent="0.2">
      <c r="A39" s="44" t="s">
        <v>39</v>
      </c>
      <c r="B39" s="44" t="s">
        <v>40</v>
      </c>
      <c r="C39" s="291" t="s">
        <v>41</v>
      </c>
      <c r="D39" s="44" t="s">
        <v>42</v>
      </c>
      <c r="E39" s="44" t="s">
        <v>43</v>
      </c>
      <c r="F39" s="2"/>
    </row>
    <row r="40" spans="1:8" outlineLevel="1" x14ac:dyDescent="0.2">
      <c r="A40" s="8">
        <f>B25</f>
        <v>88786.75</v>
      </c>
      <c r="B40" s="46">
        <f>50000</f>
        <v>50000</v>
      </c>
      <c r="C40" s="136">
        <f>A40*0.065*1</f>
        <v>5771.1387500000001</v>
      </c>
      <c r="D40" s="47">
        <f>SUM(G129:G132)</f>
        <v>4900</v>
      </c>
      <c r="E40" s="48">
        <v>0</v>
      </c>
    </row>
    <row r="41" spans="1:8" outlineLevel="1" x14ac:dyDescent="0.2">
      <c r="A41" s="49" t="s">
        <v>44</v>
      </c>
      <c r="B41" s="137">
        <f>Таблица294459759110712313915517118730466278941101261421585565725886026166306466626786947117282843587388103118133[Оклад]+Таблица294459759110712313915517118730466278941101261421585565725886026166306466626786947117282843587388103118133[Премия]+Таблица294459759110712313915517118730466278941101261421585565725886026166306466626786947117282843587388103118133[Штрафы]+Таблица294459759110712313915517118730466278941101261421585565725886026166306466626786947117282843587388103118133[Доплата за Задачи]</f>
        <v>60671.138749999998</v>
      </c>
      <c r="C41" s="50"/>
    </row>
    <row r="42" spans="1:8" x14ac:dyDescent="0.2">
      <c r="A42" s="40"/>
      <c r="B42" s="40"/>
    </row>
    <row r="43" spans="1:8" x14ac:dyDescent="0.2">
      <c r="A43" s="51"/>
      <c r="B43" s="51"/>
      <c r="C43" s="51"/>
      <c r="D43" s="52"/>
      <c r="E43" s="53"/>
      <c r="F43" s="53"/>
      <c r="H43" s="22"/>
    </row>
    <row r="44" spans="1:8" ht="15" x14ac:dyDescent="0.25">
      <c r="A44" s="386" t="s">
        <v>45</v>
      </c>
      <c r="B44" s="386"/>
      <c r="C44" s="386"/>
      <c r="D44" s="386"/>
      <c r="E44" s="53"/>
      <c r="F44" s="53"/>
      <c r="H44" s="22"/>
    </row>
    <row r="45" spans="1:8" outlineLevel="1" x14ac:dyDescent="0.2">
      <c r="A45" s="5" t="s">
        <v>46</v>
      </c>
      <c r="B45" s="5" t="s">
        <v>47</v>
      </c>
      <c r="C45" s="5" t="s">
        <v>48</v>
      </c>
      <c r="D45" s="54" t="s">
        <v>49</v>
      </c>
      <c r="G45" s="40"/>
    </row>
    <row r="46" spans="1:8" ht="24.95" customHeight="1" outlineLevel="1" x14ac:dyDescent="0.2">
      <c r="A46" s="55" t="s">
        <v>24</v>
      </c>
      <c r="B46" s="60"/>
      <c r="C46" s="60"/>
      <c r="D46" s="61">
        <v>0</v>
      </c>
      <c r="G46" s="62"/>
      <c r="H46" s="6"/>
    </row>
    <row r="47" spans="1:8" outlineLevel="1" x14ac:dyDescent="0.2">
      <c r="A47" s="63"/>
      <c r="B47" s="64" t="s">
        <v>50</v>
      </c>
      <c r="C47" s="65">
        <f>SUM(Таблица546243318323946536067742532394653606774818895102112437506478921061101291411531651851733496581971131291451611772036526884100116132148547563579593607621637653669685702719193449647994109124[Общая сумма долга])</f>
        <v>0</v>
      </c>
      <c r="D47" s="66">
        <v>0</v>
      </c>
      <c r="E47" s="67" t="s">
        <v>51</v>
      </c>
      <c r="F47" s="51"/>
      <c r="G47" s="51"/>
      <c r="H47" s="51"/>
    </row>
    <row r="48" spans="1:8" outlineLevel="1" x14ac:dyDescent="0.2">
      <c r="A48" s="63"/>
      <c r="B48" s="64"/>
      <c r="C48" s="65"/>
      <c r="D48" s="51"/>
      <c r="E48" s="51"/>
      <c r="F48" s="51"/>
      <c r="G48" s="51"/>
      <c r="H48" s="51"/>
    </row>
    <row r="49" spans="1:8" x14ac:dyDescent="0.2">
      <c r="A49" s="63"/>
      <c r="B49" s="51"/>
      <c r="C49" s="51"/>
      <c r="D49" s="52"/>
      <c r="E49" s="51"/>
      <c r="F49" s="53"/>
      <c r="G49" s="51"/>
      <c r="H49" s="68"/>
    </row>
    <row r="50" spans="1:8" x14ac:dyDescent="0.2">
      <c r="A50" s="63"/>
      <c r="B50" s="51"/>
      <c r="C50" s="51"/>
      <c r="D50" s="52"/>
      <c r="E50" s="51"/>
      <c r="F50" s="53"/>
      <c r="G50" s="51"/>
      <c r="H50" s="68"/>
    </row>
    <row r="51" spans="1:8" ht="15" x14ac:dyDescent="0.25">
      <c r="A51" s="387" t="s">
        <v>52</v>
      </c>
      <c r="B51" s="387"/>
      <c r="C51" s="387"/>
      <c r="D51" s="387"/>
      <c r="E51" s="53"/>
      <c r="F51" s="53"/>
      <c r="G51" s="51"/>
    </row>
    <row r="52" spans="1:8" s="6" customFormat="1" outlineLevel="1" x14ac:dyDescent="0.2">
      <c r="A52" s="18" t="s">
        <v>53</v>
      </c>
      <c r="B52" s="19" t="s">
        <v>54</v>
      </c>
      <c r="C52" s="19" t="s">
        <v>55</v>
      </c>
      <c r="D52" s="69" t="s">
        <v>56</v>
      </c>
      <c r="E52" s="69" t="s">
        <v>4</v>
      </c>
      <c r="F52" s="70" t="s">
        <v>57</v>
      </c>
      <c r="G52" s="277"/>
    </row>
    <row r="53" spans="1:8" s="6" customFormat="1" ht="26.25" customHeight="1" outlineLevel="1" x14ac:dyDescent="0.2">
      <c r="A53" s="173" t="s">
        <v>1154</v>
      </c>
      <c r="B53" s="246">
        <v>39833.33</v>
      </c>
      <c r="C53" s="131">
        <v>39833.33</v>
      </c>
      <c r="D53" s="249">
        <v>1</v>
      </c>
      <c r="E53" s="177" t="s">
        <v>94</v>
      </c>
      <c r="F53" s="250" t="s">
        <v>1155</v>
      </c>
    </row>
    <row r="54" spans="1:8" s="6" customFormat="1" ht="26.25" customHeight="1" outlineLevel="1" x14ac:dyDescent="0.2">
      <c r="A54" s="173" t="s">
        <v>1370</v>
      </c>
      <c r="B54" s="246">
        <v>19100</v>
      </c>
      <c r="C54" s="131">
        <v>15916</v>
      </c>
      <c r="D54" s="249">
        <v>0.83</v>
      </c>
      <c r="E54" s="177" t="s">
        <v>94</v>
      </c>
      <c r="F54" s="250" t="s">
        <v>993</v>
      </c>
    </row>
    <row r="55" spans="1:8" s="6" customFormat="1" ht="26.25" customHeight="1" outlineLevel="1" x14ac:dyDescent="0.2">
      <c r="A55" s="173" t="s">
        <v>1273</v>
      </c>
      <c r="B55" s="246">
        <v>75357</v>
      </c>
      <c r="C55" s="131">
        <v>11303.55</v>
      </c>
      <c r="D55" s="249">
        <v>0.15</v>
      </c>
      <c r="E55" s="177" t="s">
        <v>94</v>
      </c>
      <c r="F55" s="250" t="s">
        <v>1138</v>
      </c>
    </row>
    <row r="56" spans="1:8" s="6" customFormat="1" ht="24" customHeight="1" outlineLevel="1" x14ac:dyDescent="0.2">
      <c r="A56" s="173" t="s">
        <v>104</v>
      </c>
      <c r="B56" s="246">
        <v>79968.509999999995</v>
      </c>
      <c r="C56" s="131">
        <v>10767.58</v>
      </c>
      <c r="D56" s="249">
        <v>0.156</v>
      </c>
      <c r="E56" s="177" t="s">
        <v>94</v>
      </c>
      <c r="F56" s="250" t="s">
        <v>73</v>
      </c>
    </row>
    <row r="57" spans="1:8" s="6" customFormat="1" ht="24" customHeight="1" outlineLevel="1" x14ac:dyDescent="0.2">
      <c r="A57" s="173" t="s">
        <v>985</v>
      </c>
      <c r="B57" s="246">
        <v>33000</v>
      </c>
      <c r="C57" s="131">
        <v>5936.62</v>
      </c>
      <c r="D57" s="249">
        <v>0.219</v>
      </c>
      <c r="E57" s="177" t="s">
        <v>94</v>
      </c>
      <c r="F57" s="250" t="s">
        <v>1368</v>
      </c>
    </row>
    <row r="58" spans="1:8" s="6" customFormat="1" ht="24" customHeight="1" outlineLevel="1" x14ac:dyDescent="0.2">
      <c r="A58" s="173" t="s">
        <v>1369</v>
      </c>
      <c r="B58" s="246">
        <v>32835</v>
      </c>
      <c r="C58" s="131">
        <v>5029.67</v>
      </c>
      <c r="D58" s="249">
        <v>0.18099999999999999</v>
      </c>
      <c r="E58" s="177" t="s">
        <v>94</v>
      </c>
      <c r="F58" s="250" t="s">
        <v>282</v>
      </c>
    </row>
    <row r="59" spans="1:8" x14ac:dyDescent="0.2">
      <c r="A59" s="51"/>
      <c r="B59" s="51"/>
      <c r="C59" s="51"/>
      <c r="D59" s="52"/>
      <c r="E59" s="51"/>
      <c r="F59" s="53"/>
      <c r="G59" s="51"/>
    </row>
    <row r="60" spans="1:8" ht="15" x14ac:dyDescent="0.25">
      <c r="A60" s="386" t="s">
        <v>58</v>
      </c>
      <c r="B60" s="386"/>
      <c r="C60" s="386"/>
      <c r="D60" s="386"/>
      <c r="E60" s="79"/>
      <c r="F60" s="79"/>
    </row>
    <row r="61" spans="1:8" ht="15" customHeight="1" outlineLevel="1" x14ac:dyDescent="0.2">
      <c r="A61" s="80">
        <v>45870</v>
      </c>
      <c r="B61" s="81" t="s">
        <v>21</v>
      </c>
      <c r="C61" s="81" t="s">
        <v>59</v>
      </c>
      <c r="D61" s="81" t="s">
        <v>60</v>
      </c>
      <c r="E61" s="81" t="s">
        <v>61</v>
      </c>
      <c r="F61" s="81" t="s">
        <v>62</v>
      </c>
      <c r="G61" s="81" t="s">
        <v>63</v>
      </c>
      <c r="H61" s="81" t="s">
        <v>64</v>
      </c>
    </row>
    <row r="62" spans="1:8" outlineLevel="1" x14ac:dyDescent="0.2">
      <c r="A62" s="82"/>
      <c r="B62" s="282">
        <v>250000</v>
      </c>
      <c r="C62" s="283">
        <v>0</v>
      </c>
      <c r="D62" s="282">
        <v>37000</v>
      </c>
      <c r="E62" s="282">
        <v>49000</v>
      </c>
      <c r="F62" s="282">
        <v>317000</v>
      </c>
      <c r="G62" s="282">
        <f>C62+D62+E62*0.5+F62*0.05</f>
        <v>77350</v>
      </c>
      <c r="H62" s="284">
        <f>Таблица9132738193340475461687582899682891101171241311381451521591661731801871945121926334047546168758289961031101171241311381451521591661741821902052131241361481601721922440627894110126142158174190334965819711312914516155957559160361763164766367969571134[[#This Row],[Столбец6]]/Таблица9132738193340475461687582899682891101171241311381451521591661731801871945121926334047546168758289961031101171241311381451521591661741821902052131241361481601721922440627894110126142158174190334965819711312914516155957559160361763164766367969571134[[#This Row],[Столбец1]]</f>
        <v>0.30940000000000001</v>
      </c>
    </row>
    <row r="63" spans="1:8" outlineLevel="1" x14ac:dyDescent="0.2">
      <c r="A63" s="40"/>
      <c r="B63" s="40"/>
      <c r="C63" s="40"/>
      <c r="D63" s="40"/>
      <c r="E63" s="40"/>
      <c r="F63" s="40"/>
      <c r="G63" s="40"/>
      <c r="H63" s="86"/>
    </row>
    <row r="64" spans="1:8" outlineLevel="1" x14ac:dyDescent="0.2">
      <c r="A64" s="80">
        <v>45901</v>
      </c>
      <c r="B64" s="81" t="s">
        <v>21</v>
      </c>
      <c r="C64" s="81" t="s">
        <v>59</v>
      </c>
      <c r="D64" s="81" t="s">
        <v>60</v>
      </c>
      <c r="E64" s="81" t="s">
        <v>61</v>
      </c>
      <c r="F64" s="81" t="s">
        <v>62</v>
      </c>
      <c r="G64" s="81" t="s">
        <v>63</v>
      </c>
      <c r="H64" s="81" t="s">
        <v>64</v>
      </c>
    </row>
    <row r="65" spans="1:10" ht="15" customHeight="1" outlineLevel="1" x14ac:dyDescent="0.2">
      <c r="A65" s="87"/>
      <c r="B65" s="282">
        <v>270000</v>
      </c>
      <c r="C65" s="283">
        <v>0</v>
      </c>
      <c r="D65" s="285">
        <v>0</v>
      </c>
      <c r="E65" s="283">
        <v>37000</v>
      </c>
      <c r="F65" s="286">
        <v>0</v>
      </c>
      <c r="G65" s="282">
        <f>C65+D65+E65*0.5+F65*0.05</f>
        <v>18500</v>
      </c>
      <c r="H65" s="284">
        <f>Таблица9132738193340475461687582899682891101171241311381451521591661731801871945121926334047546168758289961031101171241311381451521591661741821902052131191251371491611731932541567288104120136152168184274359759110712313915555356958559961362764365967569130[[#This Row],[Столбец6]]/Таблица9132738193340475461687582899682891101171241311381451521591661731801871945121926334047546168758289961031101171241311381451521591661741821902052131191251371491611731932541567288104120136152168184274359759110712313915555356958559961362764365967569130[[#This Row],[Столбец1]]</f>
        <v>6.851851851851852E-2</v>
      </c>
    </row>
    <row r="66" spans="1:10" x14ac:dyDescent="0.2">
      <c r="A66" s="63"/>
      <c r="B66" s="51"/>
      <c r="C66" s="51"/>
      <c r="D66" s="52"/>
      <c r="E66" s="51"/>
    </row>
    <row r="67" spans="1:10" x14ac:dyDescent="0.2">
      <c r="A67" s="51"/>
      <c r="B67" s="51"/>
      <c r="C67" s="51"/>
      <c r="D67" s="52"/>
      <c r="E67" s="51"/>
    </row>
    <row r="68" spans="1:10" ht="15.75" x14ac:dyDescent="0.25">
      <c r="A68" s="88" t="s">
        <v>65</v>
      </c>
      <c r="B68" s="89"/>
    </row>
    <row r="69" spans="1:10" ht="15" x14ac:dyDescent="0.25">
      <c r="A69" s="387" t="s">
        <v>66</v>
      </c>
      <c r="B69" s="387"/>
      <c r="C69" s="387"/>
      <c r="D69" s="387"/>
      <c r="E69" s="90"/>
      <c r="F69" s="90"/>
      <c r="G69" s="235">
        <f>SUM(Таблица4211720344148556269768390978390111118125132139146153160167174181188195613202734414855626976839097104111118125132139146153160167175183198206214123135147159171191233955718710311913515116718326425874901061221381545525685845986126266426586746907077129[Сумма, тыс. руб.])*1000</f>
        <v>2725000</v>
      </c>
      <c r="H69" s="276"/>
    </row>
    <row r="70" spans="1:10" outlineLevel="1" x14ac:dyDescent="0.2">
      <c r="A70" s="91" t="s">
        <v>67</v>
      </c>
      <c r="B70" s="91" t="s">
        <v>53</v>
      </c>
      <c r="C70" s="91" t="s">
        <v>4</v>
      </c>
      <c r="D70" s="91" t="s">
        <v>68</v>
      </c>
      <c r="E70" s="91" t="s">
        <v>69</v>
      </c>
      <c r="F70" s="91" t="s">
        <v>70</v>
      </c>
      <c r="G70" s="91" t="s">
        <v>71</v>
      </c>
      <c r="H70" s="91" t="s">
        <v>72</v>
      </c>
      <c r="I70" s="276"/>
      <c r="J70" s="276"/>
    </row>
    <row r="71" spans="1:10" s="258" customFormat="1" ht="24.95" customHeight="1" outlineLevel="1" x14ac:dyDescent="0.2">
      <c r="A71" s="74" t="s">
        <v>1341</v>
      </c>
      <c r="B71" s="74" t="s">
        <v>1342</v>
      </c>
      <c r="C71" s="177" t="s">
        <v>94</v>
      </c>
      <c r="D71" s="94" t="s">
        <v>73</v>
      </c>
      <c r="E71" s="94" t="s">
        <v>1343</v>
      </c>
      <c r="F71" s="218" t="s">
        <v>1344</v>
      </c>
      <c r="G71" s="72">
        <v>735</v>
      </c>
      <c r="H71" s="94" t="s">
        <v>996</v>
      </c>
    </row>
    <row r="72" spans="1:10" s="258" customFormat="1" ht="24.95" customHeight="1" outlineLevel="1" x14ac:dyDescent="0.2">
      <c r="A72" s="74" t="s">
        <v>1389</v>
      </c>
      <c r="B72" s="74" t="s">
        <v>1288</v>
      </c>
      <c r="C72" s="177" t="s">
        <v>94</v>
      </c>
      <c r="D72" s="94" t="s">
        <v>73</v>
      </c>
      <c r="E72" s="94" t="s">
        <v>1390</v>
      </c>
      <c r="F72" s="218" t="s">
        <v>1344</v>
      </c>
      <c r="G72" s="72">
        <v>490</v>
      </c>
      <c r="H72" s="94" t="s">
        <v>168</v>
      </c>
    </row>
    <row r="73" spans="1:10" s="258" customFormat="1" ht="24.95" customHeight="1" outlineLevel="1" x14ac:dyDescent="0.2">
      <c r="A73" s="190" t="s">
        <v>999</v>
      </c>
      <c r="B73" s="176" t="s">
        <v>1254</v>
      </c>
      <c r="C73" s="177" t="s">
        <v>94</v>
      </c>
      <c r="D73" s="177" t="s">
        <v>573</v>
      </c>
      <c r="E73" s="178" t="s">
        <v>1371</v>
      </c>
      <c r="F73" s="179" t="s">
        <v>1344</v>
      </c>
      <c r="G73" s="131">
        <v>450</v>
      </c>
      <c r="H73" s="173" t="s">
        <v>996</v>
      </c>
    </row>
    <row r="74" spans="1:10" s="258" customFormat="1" ht="24.95" customHeight="1" outlineLevel="1" x14ac:dyDescent="0.2">
      <c r="A74" s="190" t="s">
        <v>1005</v>
      </c>
      <c r="B74" s="176" t="s">
        <v>1256</v>
      </c>
      <c r="C74" s="177" t="s">
        <v>94</v>
      </c>
      <c r="D74" s="177" t="s">
        <v>1258</v>
      </c>
      <c r="E74" s="178" t="s">
        <v>1004</v>
      </c>
      <c r="F74" s="179" t="s">
        <v>1344</v>
      </c>
      <c r="G74" s="131">
        <v>386</v>
      </c>
      <c r="H74" s="173" t="s">
        <v>280</v>
      </c>
    </row>
    <row r="75" spans="1:10" s="258" customFormat="1" ht="24.95" customHeight="1" outlineLevel="1" x14ac:dyDescent="0.2">
      <c r="A75" s="74" t="s">
        <v>1349</v>
      </c>
      <c r="B75" s="74" t="s">
        <v>1266</v>
      </c>
      <c r="C75" s="177" t="s">
        <v>94</v>
      </c>
      <c r="D75" s="94" t="s">
        <v>73</v>
      </c>
      <c r="E75" s="94" t="s">
        <v>1350</v>
      </c>
      <c r="F75" s="179" t="s">
        <v>1344</v>
      </c>
      <c r="G75" s="72">
        <v>371</v>
      </c>
      <c r="H75" s="94" t="s">
        <v>168</v>
      </c>
    </row>
    <row r="76" spans="1:10" s="258" customFormat="1" ht="24.95" customHeight="1" outlineLevel="1" x14ac:dyDescent="0.2">
      <c r="A76" s="74" t="s">
        <v>1392</v>
      </c>
      <c r="B76" s="74" t="s">
        <v>1391</v>
      </c>
      <c r="C76" s="93" t="s">
        <v>94</v>
      </c>
      <c r="D76" s="94" t="s">
        <v>73</v>
      </c>
      <c r="E76" s="74" t="s">
        <v>1393</v>
      </c>
      <c r="F76" s="218" t="s">
        <v>1344</v>
      </c>
      <c r="G76" s="72">
        <v>160</v>
      </c>
      <c r="H76" s="94" t="s">
        <v>168</v>
      </c>
    </row>
    <row r="77" spans="1:10" s="258" customFormat="1" ht="24.95" customHeight="1" outlineLevel="1" x14ac:dyDescent="0.2">
      <c r="A77" s="74" t="s">
        <v>1263</v>
      </c>
      <c r="B77" s="74" t="s">
        <v>1264</v>
      </c>
      <c r="C77" s="177" t="s">
        <v>94</v>
      </c>
      <c r="D77" s="94" t="s">
        <v>73</v>
      </c>
      <c r="E77" s="94" t="s">
        <v>1372</v>
      </c>
      <c r="F77" s="218" t="s">
        <v>1344</v>
      </c>
      <c r="G77" s="72">
        <v>78</v>
      </c>
      <c r="H77" s="94" t="s">
        <v>168</v>
      </c>
    </row>
    <row r="78" spans="1:10" s="258" customFormat="1" ht="24.95" customHeight="1" outlineLevel="1" x14ac:dyDescent="0.2">
      <c r="A78" s="74" t="s">
        <v>1394</v>
      </c>
      <c r="B78" s="74" t="s">
        <v>1174</v>
      </c>
      <c r="C78" s="93" t="s">
        <v>94</v>
      </c>
      <c r="D78" s="94" t="s">
        <v>73</v>
      </c>
      <c r="E78" s="74" t="s">
        <v>1395</v>
      </c>
      <c r="F78" s="218" t="s">
        <v>1344</v>
      </c>
      <c r="G78" s="72">
        <v>55</v>
      </c>
      <c r="H78" s="94" t="s">
        <v>168</v>
      </c>
    </row>
    <row r="79" spans="1:10" x14ac:dyDescent="0.2">
      <c r="A79" s="223"/>
      <c r="B79" s="104"/>
      <c r="C79" s="105"/>
      <c r="D79" s="106"/>
      <c r="E79" s="106"/>
      <c r="F79" s="107"/>
      <c r="G79" s="108"/>
      <c r="H79" s="106"/>
    </row>
    <row r="80" spans="1:10" x14ac:dyDescent="0.2">
      <c r="A80" s="104"/>
      <c r="B80" s="104"/>
      <c r="C80" s="105"/>
      <c r="D80" s="106"/>
      <c r="E80" s="106"/>
      <c r="F80" s="107"/>
      <c r="G80" s="108"/>
      <c r="H80" s="106"/>
    </row>
    <row r="81" spans="1:10" ht="15" x14ac:dyDescent="0.25">
      <c r="A81" s="387" t="s">
        <v>74</v>
      </c>
      <c r="B81" s="387"/>
      <c r="C81" s="387"/>
      <c r="D81" s="387"/>
      <c r="G81" s="235">
        <f>SUM(Таблица125138150162174194264257738910512113715316918528446076921081241401565545705866006146286446606766927097262641567186101116131[Сумма])*1000</f>
        <v>2314000</v>
      </c>
      <c r="H81" s="276"/>
    </row>
    <row r="82" spans="1:10" outlineLevel="1" x14ac:dyDescent="0.2">
      <c r="A82" s="91" t="s">
        <v>67</v>
      </c>
      <c r="B82" s="91" t="s">
        <v>53</v>
      </c>
      <c r="C82" s="91" t="s">
        <v>4</v>
      </c>
      <c r="D82" s="91" t="s">
        <v>68</v>
      </c>
      <c r="E82" s="91" t="s">
        <v>69</v>
      </c>
      <c r="F82" s="91" t="s">
        <v>70</v>
      </c>
      <c r="G82" s="91" t="s">
        <v>75</v>
      </c>
      <c r="H82" s="91" t="s">
        <v>72</v>
      </c>
    </row>
    <row r="83" spans="1:10" ht="24.95" customHeight="1" outlineLevel="1" x14ac:dyDescent="0.2">
      <c r="A83" s="74" t="s">
        <v>1341</v>
      </c>
      <c r="B83" s="74" t="s">
        <v>1342</v>
      </c>
      <c r="C83" s="177" t="s">
        <v>94</v>
      </c>
      <c r="D83" s="94" t="s">
        <v>73</v>
      </c>
      <c r="E83" s="94" t="s">
        <v>1343</v>
      </c>
      <c r="F83" s="218" t="s">
        <v>1344</v>
      </c>
      <c r="G83" s="72">
        <v>735</v>
      </c>
      <c r="H83" s="94" t="s">
        <v>996</v>
      </c>
    </row>
    <row r="84" spans="1:10" ht="24.95" customHeight="1" outlineLevel="1" x14ac:dyDescent="0.2">
      <c r="A84" s="74" t="s">
        <v>1389</v>
      </c>
      <c r="B84" s="74" t="s">
        <v>1288</v>
      </c>
      <c r="C84" s="177" t="s">
        <v>94</v>
      </c>
      <c r="D84" s="94" t="s">
        <v>73</v>
      </c>
      <c r="E84" s="94" t="s">
        <v>1390</v>
      </c>
      <c r="F84" s="218" t="s">
        <v>1344</v>
      </c>
      <c r="G84" s="72">
        <v>490</v>
      </c>
      <c r="H84" s="94" t="s">
        <v>168</v>
      </c>
    </row>
    <row r="85" spans="1:10" ht="24.95" customHeight="1" outlineLevel="1" x14ac:dyDescent="0.2">
      <c r="A85" s="190" t="s">
        <v>1345</v>
      </c>
      <c r="B85" s="176" t="s">
        <v>1346</v>
      </c>
      <c r="C85" s="177" t="s">
        <v>94</v>
      </c>
      <c r="D85" s="173" t="s">
        <v>73</v>
      </c>
      <c r="E85" s="178" t="s">
        <v>1138</v>
      </c>
      <c r="F85" s="218" t="s">
        <v>1347</v>
      </c>
      <c r="G85" s="131">
        <v>428</v>
      </c>
      <c r="H85" s="173" t="s">
        <v>1348</v>
      </c>
    </row>
    <row r="86" spans="1:10" ht="24.95" customHeight="1" outlineLevel="1" x14ac:dyDescent="0.2">
      <c r="A86" s="244" t="s">
        <v>1349</v>
      </c>
      <c r="B86" s="220" t="s">
        <v>1266</v>
      </c>
      <c r="C86" s="93" t="s">
        <v>94</v>
      </c>
      <c r="D86" s="93" t="s">
        <v>73</v>
      </c>
      <c r="E86" s="221" t="s">
        <v>1350</v>
      </c>
      <c r="F86" s="259" t="s">
        <v>1351</v>
      </c>
      <c r="G86" s="72">
        <v>371</v>
      </c>
      <c r="H86" s="94" t="s">
        <v>168</v>
      </c>
      <c r="J86" s="212"/>
    </row>
    <row r="87" spans="1:10" ht="24.95" customHeight="1" outlineLevel="1" x14ac:dyDescent="0.2">
      <c r="A87" s="74" t="s">
        <v>1392</v>
      </c>
      <c r="B87" s="74" t="s">
        <v>1391</v>
      </c>
      <c r="C87" s="93" t="s">
        <v>94</v>
      </c>
      <c r="D87" s="94" t="s">
        <v>73</v>
      </c>
      <c r="E87" s="74" t="s">
        <v>1393</v>
      </c>
      <c r="F87" s="218" t="s">
        <v>1344</v>
      </c>
      <c r="G87" s="72">
        <v>160</v>
      </c>
      <c r="H87" s="94" t="s">
        <v>168</v>
      </c>
      <c r="I87" s="236"/>
    </row>
    <row r="88" spans="1:10" ht="24.95" customHeight="1" outlineLevel="1" x14ac:dyDescent="0.2">
      <c r="A88" s="94" t="s">
        <v>1354</v>
      </c>
      <c r="B88" s="94" t="s">
        <v>1273</v>
      </c>
      <c r="C88" s="177" t="s">
        <v>94</v>
      </c>
      <c r="D88" s="94" t="s">
        <v>73</v>
      </c>
      <c r="E88" s="221" t="s">
        <v>1355</v>
      </c>
      <c r="F88" s="218" t="s">
        <v>1351</v>
      </c>
      <c r="G88" s="219">
        <v>75</v>
      </c>
      <c r="H88" s="94" t="s">
        <v>107</v>
      </c>
      <c r="I88" s="236"/>
    </row>
    <row r="89" spans="1:10" ht="24.95" customHeight="1" outlineLevel="1" x14ac:dyDescent="0.2">
      <c r="A89" s="74" t="s">
        <v>1394</v>
      </c>
      <c r="B89" s="74" t="s">
        <v>1174</v>
      </c>
      <c r="C89" s="93" t="s">
        <v>94</v>
      </c>
      <c r="D89" s="94" t="s">
        <v>73</v>
      </c>
      <c r="E89" s="74" t="s">
        <v>1395</v>
      </c>
      <c r="F89" s="218" t="s">
        <v>1344</v>
      </c>
      <c r="G89" s="72">
        <v>55</v>
      </c>
      <c r="H89" s="94" t="s">
        <v>168</v>
      </c>
      <c r="I89" s="236"/>
    </row>
    <row r="90" spans="1:10" ht="24.95" customHeight="1" outlineLevel="1" x14ac:dyDescent="0.2">
      <c r="A90" s="94" t="s">
        <v>1352</v>
      </c>
      <c r="B90" s="94" t="s">
        <v>1264</v>
      </c>
      <c r="C90" s="177" t="s">
        <v>94</v>
      </c>
      <c r="D90" s="94" t="s">
        <v>1353</v>
      </c>
      <c r="E90" s="221" t="s">
        <v>1356</v>
      </c>
      <c r="F90" s="218" t="s">
        <v>1357</v>
      </c>
      <c r="G90" s="219">
        <v>0</v>
      </c>
      <c r="H90" s="94" t="s">
        <v>996</v>
      </c>
    </row>
    <row r="91" spans="1:10" ht="24.95" customHeight="1" outlineLevel="1" x14ac:dyDescent="0.2">
      <c r="A91" s="94" t="s">
        <v>1358</v>
      </c>
      <c r="B91" s="94" t="s">
        <v>1040</v>
      </c>
      <c r="C91" s="177" t="s">
        <v>94</v>
      </c>
      <c r="D91" s="94" t="s">
        <v>73</v>
      </c>
      <c r="E91" s="221" t="s">
        <v>1361</v>
      </c>
      <c r="F91" s="218" t="s">
        <v>1344</v>
      </c>
      <c r="G91" s="219">
        <v>0</v>
      </c>
      <c r="H91" s="94" t="s">
        <v>996</v>
      </c>
    </row>
    <row r="92" spans="1:10" ht="24.95" customHeight="1" outlineLevel="1" x14ac:dyDescent="0.2">
      <c r="A92" s="94" t="s">
        <v>1359</v>
      </c>
      <c r="B92" s="94" t="s">
        <v>1360</v>
      </c>
      <c r="C92" s="177" t="s">
        <v>94</v>
      </c>
      <c r="D92" s="94" t="s">
        <v>73</v>
      </c>
      <c r="E92" s="221" t="s">
        <v>1362</v>
      </c>
      <c r="F92" s="218" t="s">
        <v>1344</v>
      </c>
      <c r="G92" s="219">
        <v>0</v>
      </c>
      <c r="H92" s="94" t="s">
        <v>996</v>
      </c>
    </row>
    <row r="93" spans="1:10" ht="24.95" customHeight="1" outlineLevel="1" x14ac:dyDescent="0.2">
      <c r="A93" s="94" t="s">
        <v>1363</v>
      </c>
      <c r="B93" s="94" t="s">
        <v>1041</v>
      </c>
      <c r="C93" s="177" t="s">
        <v>94</v>
      </c>
      <c r="D93" s="94" t="s">
        <v>73</v>
      </c>
      <c r="E93" s="221" t="s">
        <v>1366</v>
      </c>
      <c r="F93" s="218" t="s">
        <v>1357</v>
      </c>
      <c r="G93" s="219">
        <v>0</v>
      </c>
      <c r="H93" s="94" t="s">
        <v>996</v>
      </c>
    </row>
    <row r="94" spans="1:10" ht="24.75" customHeight="1" outlineLevel="1" x14ac:dyDescent="0.2">
      <c r="A94" s="94" t="s">
        <v>1364</v>
      </c>
      <c r="B94" s="94" t="s">
        <v>1041</v>
      </c>
      <c r="C94" s="177" t="s">
        <v>94</v>
      </c>
      <c r="D94" s="94" t="s">
        <v>73</v>
      </c>
      <c r="E94" s="221" t="s">
        <v>1367</v>
      </c>
      <c r="F94" s="218" t="s">
        <v>1365</v>
      </c>
      <c r="G94" s="219">
        <v>0</v>
      </c>
      <c r="H94" s="94" t="s">
        <v>996</v>
      </c>
    </row>
    <row r="95" spans="1:10" ht="15" customHeight="1" x14ac:dyDescent="0.2"/>
    <row r="96" spans="1:10" ht="15" customHeight="1" x14ac:dyDescent="0.2"/>
    <row r="97" spans="1:7" ht="15.75" x14ac:dyDescent="0.25">
      <c r="A97" s="1" t="s">
        <v>76</v>
      </c>
    </row>
    <row r="98" spans="1:7" ht="15" x14ac:dyDescent="0.25">
      <c r="A98" s="386" t="s">
        <v>77</v>
      </c>
      <c r="B98" s="386"/>
      <c r="C98" s="386"/>
      <c r="D98" s="386"/>
      <c r="E98" s="110"/>
      <c r="F98" s="111"/>
    </row>
    <row r="99" spans="1:7" s="104" customFormat="1" outlineLevel="1" x14ac:dyDescent="0.25">
      <c r="A99" s="112" t="s">
        <v>78</v>
      </c>
      <c r="B99" s="112" t="s">
        <v>53</v>
      </c>
      <c r="C99" s="91" t="s">
        <v>4</v>
      </c>
      <c r="D99" s="112" t="s">
        <v>79</v>
      </c>
      <c r="E99" s="91" t="s">
        <v>80</v>
      </c>
      <c r="F99" s="112" t="s">
        <v>81</v>
      </c>
      <c r="G99" s="112" t="s">
        <v>82</v>
      </c>
    </row>
    <row r="100" spans="1:7" s="104" customFormat="1" ht="24.75" customHeight="1" outlineLevel="1" x14ac:dyDescent="0.25">
      <c r="A100" s="253"/>
      <c r="B100" s="230"/>
      <c r="C100" s="93"/>
      <c r="D100" s="173"/>
      <c r="E100" s="173"/>
      <c r="F100" s="173"/>
      <c r="G100" s="173"/>
    </row>
    <row r="101" spans="1:7" s="104" customFormat="1" ht="12" customHeight="1" outlineLevel="1" x14ac:dyDescent="0.2">
      <c r="A101" s="2"/>
      <c r="B101" s="118"/>
      <c r="C101" s="2"/>
      <c r="D101" s="2"/>
      <c r="E101" s="2"/>
      <c r="F101" s="2"/>
      <c r="G101" s="2"/>
    </row>
    <row r="102" spans="1:7" ht="24" customHeight="1" outlineLevel="1" x14ac:dyDescent="0.2">
      <c r="A102" s="118"/>
      <c r="B102" s="118"/>
    </row>
    <row r="103" spans="1:7" ht="24" customHeight="1" outlineLevel="1" x14ac:dyDescent="0.25">
      <c r="A103" s="387" t="s">
        <v>83</v>
      </c>
      <c r="B103" s="387"/>
      <c r="C103" s="387"/>
      <c r="D103" s="387"/>
      <c r="E103" s="212"/>
    </row>
    <row r="104" spans="1:7" ht="24" customHeight="1" outlineLevel="1" x14ac:dyDescent="0.2">
      <c r="A104" s="112" t="s">
        <v>78</v>
      </c>
      <c r="B104" s="112" t="s">
        <v>53</v>
      </c>
      <c r="C104" s="91" t="s">
        <v>4</v>
      </c>
      <c r="D104" s="112" t="s">
        <v>79</v>
      </c>
      <c r="E104" s="91" t="s">
        <v>80</v>
      </c>
      <c r="F104" s="112" t="s">
        <v>81</v>
      </c>
      <c r="G104" s="112" t="s">
        <v>82</v>
      </c>
    </row>
    <row r="105" spans="1:7" ht="24" customHeight="1" outlineLevel="1" x14ac:dyDescent="0.2">
      <c r="A105" s="91"/>
      <c r="B105" s="91"/>
      <c r="C105" s="278" t="s">
        <v>94</v>
      </c>
      <c r="D105" s="280" t="s">
        <v>1268</v>
      </c>
      <c r="E105" s="91"/>
      <c r="F105" s="91"/>
      <c r="G105" s="91"/>
    </row>
    <row r="106" spans="1:7" ht="24" customHeight="1" outlineLevel="1" x14ac:dyDescent="0.2">
      <c r="A106" s="171">
        <v>45854</v>
      </c>
      <c r="B106" s="171" t="s">
        <v>1288</v>
      </c>
      <c r="C106" s="177" t="s">
        <v>94</v>
      </c>
      <c r="D106" s="171" t="s">
        <v>1287</v>
      </c>
      <c r="E106" s="173"/>
      <c r="F106" s="173" t="s">
        <v>109</v>
      </c>
      <c r="G106" s="173" t="s">
        <v>1289</v>
      </c>
    </row>
    <row r="107" spans="1:7" ht="24" customHeight="1" outlineLevel="1" x14ac:dyDescent="0.2">
      <c r="A107" s="171">
        <v>45867</v>
      </c>
      <c r="B107" s="171" t="s">
        <v>1378</v>
      </c>
      <c r="C107" s="177" t="s">
        <v>94</v>
      </c>
      <c r="D107" s="290" t="s">
        <v>1376</v>
      </c>
      <c r="E107" s="173"/>
      <c r="F107" s="173" t="s">
        <v>109</v>
      </c>
      <c r="G107" s="173" t="s">
        <v>1377</v>
      </c>
    </row>
    <row r="108" spans="1:7" ht="24" customHeight="1" outlineLevel="1" x14ac:dyDescent="0.2">
      <c r="A108" s="171">
        <v>45867</v>
      </c>
      <c r="B108" s="173" t="s">
        <v>1273</v>
      </c>
      <c r="C108" s="177" t="s">
        <v>94</v>
      </c>
      <c r="D108" s="290" t="s">
        <v>1379</v>
      </c>
      <c r="E108" s="173"/>
      <c r="F108" s="173" t="s">
        <v>109</v>
      </c>
      <c r="G108" s="173" t="s">
        <v>1380</v>
      </c>
    </row>
    <row r="109" spans="1:7" ht="24" customHeight="1" outlineLevel="1" x14ac:dyDescent="0.2">
      <c r="A109" s="287"/>
      <c r="B109" s="289"/>
      <c r="C109" s="93"/>
      <c r="D109" s="289"/>
      <c r="E109" s="288"/>
      <c r="F109" s="288"/>
      <c r="G109" s="288"/>
    </row>
    <row r="110" spans="1:7" ht="24" customHeight="1" outlineLevel="1" x14ac:dyDescent="0.2">
      <c r="A110" s="91"/>
      <c r="B110" s="91"/>
      <c r="C110" s="278" t="s">
        <v>94</v>
      </c>
      <c r="D110" s="280" t="s">
        <v>1267</v>
      </c>
      <c r="E110" s="91"/>
      <c r="F110" s="91"/>
      <c r="G110" s="91"/>
    </row>
    <row r="111" spans="1:7" ht="24" customHeight="1" outlineLevel="1" x14ac:dyDescent="0.2">
      <c r="A111" s="171">
        <v>45860</v>
      </c>
      <c r="B111" s="173" t="s">
        <v>1300</v>
      </c>
      <c r="C111" s="177" t="s">
        <v>94</v>
      </c>
      <c r="D111" s="173" t="s">
        <v>1307</v>
      </c>
      <c r="E111" s="173"/>
      <c r="F111" s="109" t="s">
        <v>109</v>
      </c>
      <c r="G111" s="173" t="s">
        <v>1301</v>
      </c>
    </row>
    <row r="112" spans="1:7" ht="24" customHeight="1" outlineLevel="1" x14ac:dyDescent="0.2">
      <c r="A112" s="171">
        <v>45860</v>
      </c>
      <c r="B112" s="173" t="s">
        <v>1306</v>
      </c>
      <c r="C112" s="177" t="s">
        <v>94</v>
      </c>
      <c r="D112" s="173" t="s">
        <v>1308</v>
      </c>
      <c r="E112" s="173"/>
      <c r="F112" s="109" t="s">
        <v>109</v>
      </c>
      <c r="G112" s="173" t="s">
        <v>1305</v>
      </c>
    </row>
    <row r="113" spans="1:7" ht="24" customHeight="1" outlineLevel="1" x14ac:dyDescent="0.2">
      <c r="A113" s="171">
        <v>45860</v>
      </c>
      <c r="B113" s="173" t="s">
        <v>1309</v>
      </c>
      <c r="C113" s="177" t="s">
        <v>94</v>
      </c>
      <c r="D113" s="173" t="s">
        <v>1310</v>
      </c>
      <c r="E113" s="173"/>
      <c r="F113" s="109" t="s">
        <v>109</v>
      </c>
      <c r="G113" s="173" t="s">
        <v>1311</v>
      </c>
    </row>
    <row r="114" spans="1:7" ht="24" customHeight="1" outlineLevel="1" x14ac:dyDescent="0.2">
      <c r="A114" s="171">
        <v>45861</v>
      </c>
      <c r="B114" s="173" t="s">
        <v>1315</v>
      </c>
      <c r="C114" s="177" t="s">
        <v>94</v>
      </c>
      <c r="D114" s="173" t="s">
        <v>1316</v>
      </c>
      <c r="E114" s="173"/>
      <c r="F114" s="109" t="s">
        <v>109</v>
      </c>
      <c r="G114" s="173" t="s">
        <v>1317</v>
      </c>
    </row>
    <row r="115" spans="1:7" ht="24" customHeight="1" outlineLevel="1" x14ac:dyDescent="0.2">
      <c r="A115" s="171">
        <v>45863</v>
      </c>
      <c r="B115" s="173" t="s">
        <v>1328</v>
      </c>
      <c r="C115" s="177" t="s">
        <v>94</v>
      </c>
      <c r="D115" s="173" t="s">
        <v>1329</v>
      </c>
      <c r="E115" s="173"/>
      <c r="F115" s="109" t="s">
        <v>109</v>
      </c>
      <c r="G115" s="173" t="s">
        <v>1330</v>
      </c>
    </row>
    <row r="116" spans="1:7" ht="24" customHeight="1" outlineLevel="1" x14ac:dyDescent="0.2">
      <c r="A116" s="171">
        <v>45866</v>
      </c>
      <c r="B116" s="171" t="s">
        <v>1236</v>
      </c>
      <c r="C116" s="177" t="s">
        <v>94</v>
      </c>
      <c r="D116" s="171" t="s">
        <v>1237</v>
      </c>
      <c r="E116" s="173"/>
      <c r="F116" s="109" t="s">
        <v>109</v>
      </c>
      <c r="G116" s="173" t="s">
        <v>1337</v>
      </c>
    </row>
    <row r="117" spans="1:7" ht="24" customHeight="1" outlineLevel="1" x14ac:dyDescent="0.2">
      <c r="A117" s="171">
        <v>45860</v>
      </c>
      <c r="B117" s="173" t="s">
        <v>1338</v>
      </c>
      <c r="C117" s="177" t="s">
        <v>94</v>
      </c>
      <c r="D117" s="173" t="s">
        <v>1339</v>
      </c>
      <c r="E117" s="173"/>
      <c r="F117" s="109" t="s">
        <v>109</v>
      </c>
      <c r="G117" s="173" t="s">
        <v>1340</v>
      </c>
    </row>
    <row r="118" spans="1:7" ht="24" customHeight="1" outlineLevel="1" x14ac:dyDescent="0.2">
      <c r="A118" s="171">
        <v>45868</v>
      </c>
      <c r="B118" s="173" t="s">
        <v>1382</v>
      </c>
      <c r="C118" s="177" t="s">
        <v>94</v>
      </c>
      <c r="D118" s="173" t="s">
        <v>1383</v>
      </c>
      <c r="E118" s="173"/>
      <c r="F118" s="109" t="s">
        <v>109</v>
      </c>
      <c r="G118" s="173" t="s">
        <v>1385</v>
      </c>
    </row>
    <row r="119" spans="1:7" ht="24" customHeight="1" outlineLevel="1" x14ac:dyDescent="0.2">
      <c r="A119" s="116">
        <v>45869</v>
      </c>
      <c r="B119" s="116" t="s">
        <v>1381</v>
      </c>
      <c r="C119" s="93" t="s">
        <v>94</v>
      </c>
      <c r="D119" s="116" t="s">
        <v>1384</v>
      </c>
      <c r="E119" s="109"/>
      <c r="F119" s="109" t="s">
        <v>109</v>
      </c>
      <c r="G119" s="109" t="s">
        <v>1397</v>
      </c>
    </row>
    <row r="120" spans="1:7" ht="24" customHeight="1" outlineLevel="1" x14ac:dyDescent="0.2">
      <c r="A120" s="116">
        <v>45869</v>
      </c>
      <c r="B120" s="173" t="s">
        <v>1318</v>
      </c>
      <c r="C120" s="177" t="s">
        <v>94</v>
      </c>
      <c r="D120" s="173" t="s">
        <v>1319</v>
      </c>
      <c r="E120" s="173"/>
      <c r="F120" s="173" t="s">
        <v>109</v>
      </c>
      <c r="G120" s="173" t="s">
        <v>1404</v>
      </c>
    </row>
    <row r="121" spans="1:7" ht="24" customHeight="1" outlineLevel="1" x14ac:dyDescent="0.2">
      <c r="A121" s="116">
        <v>45869</v>
      </c>
      <c r="B121" s="173" t="s">
        <v>1283</v>
      </c>
      <c r="C121" s="177" t="s">
        <v>94</v>
      </c>
      <c r="D121" s="171" t="s">
        <v>1284</v>
      </c>
      <c r="E121" s="109"/>
      <c r="F121" s="109" t="s">
        <v>109</v>
      </c>
      <c r="G121" s="173" t="s">
        <v>1405</v>
      </c>
    </row>
    <row r="122" spans="1:7" ht="24" customHeight="1" outlineLevel="1" x14ac:dyDescent="0.2">
      <c r="A122" s="116">
        <v>45869</v>
      </c>
      <c r="B122" s="116"/>
      <c r="C122" s="93"/>
      <c r="D122" s="116"/>
      <c r="E122" s="109"/>
      <c r="F122" s="109"/>
      <c r="G122" s="109"/>
    </row>
    <row r="123" spans="1:7" ht="24" customHeight="1" outlineLevel="1" x14ac:dyDescent="0.2">
      <c r="A123" s="116">
        <v>45869</v>
      </c>
      <c r="B123" s="116"/>
      <c r="C123" s="177"/>
      <c r="D123" s="116"/>
      <c r="E123" s="109"/>
      <c r="F123" s="109"/>
      <c r="G123" s="264"/>
    </row>
    <row r="125" spans="1:7" s="17" customFormat="1" outlineLevel="1" x14ac:dyDescent="0.2">
      <c r="A125" s="2"/>
      <c r="B125" s="2"/>
      <c r="C125" s="2"/>
      <c r="D125" s="2"/>
      <c r="E125" s="2"/>
      <c r="F125" s="2"/>
      <c r="G125" s="2"/>
    </row>
    <row r="126" spans="1:7" ht="60" customHeight="1" outlineLevel="1" x14ac:dyDescent="0.25">
      <c r="A126" s="1" t="s">
        <v>84</v>
      </c>
    </row>
    <row r="127" spans="1:7" ht="12.6" customHeight="1" outlineLevel="1" x14ac:dyDescent="0.25">
      <c r="A127" s="386" t="s">
        <v>85</v>
      </c>
      <c r="B127" s="386"/>
      <c r="C127" s="386"/>
      <c r="D127" s="386"/>
    </row>
    <row r="128" spans="1:7" ht="33" customHeight="1" outlineLevel="1" x14ac:dyDescent="0.2">
      <c r="A128" s="120" t="s">
        <v>81</v>
      </c>
      <c r="B128" s="120" t="s">
        <v>86</v>
      </c>
      <c r="C128" s="120" t="s">
        <v>87</v>
      </c>
      <c r="D128" s="120" t="s">
        <v>88</v>
      </c>
      <c r="E128" s="120" t="s">
        <v>89</v>
      </c>
      <c r="F128" s="120" t="s">
        <v>4</v>
      </c>
      <c r="G128" s="120" t="s">
        <v>90</v>
      </c>
    </row>
    <row r="129" spans="1:15" ht="140.25" x14ac:dyDescent="0.2">
      <c r="A129" s="94"/>
      <c r="B129" s="94" t="s">
        <v>1274</v>
      </c>
      <c r="C129" s="238" t="s">
        <v>761</v>
      </c>
      <c r="D129" s="219" t="s">
        <v>1396</v>
      </c>
      <c r="E129" s="132" t="s">
        <v>1279</v>
      </c>
      <c r="F129" s="74" t="s">
        <v>94</v>
      </c>
      <c r="G129" s="72">
        <v>0</v>
      </c>
    </row>
    <row r="130" spans="1:15" ht="150.75" customHeight="1" x14ac:dyDescent="0.2">
      <c r="A130" s="94"/>
      <c r="B130" s="219" t="s">
        <v>1275</v>
      </c>
      <c r="C130" s="238" t="s">
        <v>1280</v>
      </c>
      <c r="D130" s="225" t="s">
        <v>1327</v>
      </c>
      <c r="E130" s="132" t="s">
        <v>1278</v>
      </c>
      <c r="F130" s="74" t="s">
        <v>94</v>
      </c>
      <c r="G130" s="72">
        <v>3500</v>
      </c>
    </row>
    <row r="131" spans="1:15" ht="80.25" customHeight="1" x14ac:dyDescent="0.2">
      <c r="A131" s="130"/>
      <c r="B131" s="148" t="s">
        <v>1276</v>
      </c>
      <c r="C131" s="238" t="s">
        <v>1280</v>
      </c>
      <c r="D131" s="96" t="s">
        <v>1406</v>
      </c>
      <c r="E131" s="219" t="s">
        <v>1166</v>
      </c>
      <c r="F131" s="74" t="s">
        <v>94</v>
      </c>
      <c r="G131" s="72">
        <v>1400</v>
      </c>
    </row>
    <row r="132" spans="1:15" ht="89.25" x14ac:dyDescent="0.2">
      <c r="A132" s="130"/>
      <c r="B132" s="148" t="s">
        <v>1277</v>
      </c>
      <c r="C132" s="238" t="s">
        <v>1280</v>
      </c>
      <c r="D132" s="94" t="s">
        <v>1299</v>
      </c>
      <c r="E132" s="132">
        <v>5000</v>
      </c>
      <c r="F132" s="74" t="s">
        <v>94</v>
      </c>
      <c r="G132" s="72">
        <v>0</v>
      </c>
    </row>
    <row r="133" spans="1:15" s="124" customFormat="1" ht="12.75" customHeight="1" outlineLevel="1" x14ac:dyDescent="0.2">
      <c r="A133" s="2"/>
      <c r="B133" s="122"/>
      <c r="C133" s="123"/>
      <c r="D133" s="2"/>
      <c r="E133" s="2"/>
      <c r="F133" s="122"/>
      <c r="G133" s="2"/>
      <c r="H133" s="2"/>
      <c r="I133" s="2"/>
      <c r="J133" s="2"/>
      <c r="K133" s="2"/>
      <c r="L133" s="2"/>
      <c r="M133" s="2"/>
      <c r="N133" s="2"/>
      <c r="O133" s="2"/>
    </row>
    <row r="134" spans="1:15" outlineLevel="1" x14ac:dyDescent="0.2">
      <c r="A134" s="122"/>
      <c r="B134" s="122"/>
      <c r="C134" s="123"/>
      <c r="F134" s="122"/>
    </row>
    <row r="135" spans="1:15" ht="15" outlineLevel="1" x14ac:dyDescent="0.25">
      <c r="A135" s="386" t="s">
        <v>92</v>
      </c>
      <c r="B135" s="386"/>
      <c r="C135" s="386"/>
      <c r="D135" s="386"/>
    </row>
    <row r="136" spans="1:15" x14ac:dyDescent="0.2">
      <c r="A136" s="120" t="s">
        <v>81</v>
      </c>
      <c r="B136" s="120" t="s">
        <v>86</v>
      </c>
      <c r="C136" s="120" t="s">
        <v>87</v>
      </c>
      <c r="D136" s="120" t="s">
        <v>88</v>
      </c>
      <c r="E136" s="120" t="s">
        <v>89</v>
      </c>
      <c r="F136" s="120" t="s">
        <v>4</v>
      </c>
      <c r="G136" s="120" t="s">
        <v>90</v>
      </c>
    </row>
    <row r="137" spans="1:15" ht="76.5" x14ac:dyDescent="0.2">
      <c r="A137" s="230" t="s">
        <v>109</v>
      </c>
      <c r="B137" s="132" t="s">
        <v>1409</v>
      </c>
      <c r="C137" s="292"/>
      <c r="D137" s="292"/>
      <c r="E137" s="94">
        <v>2500</v>
      </c>
      <c r="F137" s="74" t="s">
        <v>94</v>
      </c>
      <c r="G137" s="292"/>
    </row>
    <row r="138" spans="1:15" ht="165.75" x14ac:dyDescent="0.2">
      <c r="A138" s="230" t="s">
        <v>109</v>
      </c>
      <c r="B138" s="219" t="s">
        <v>1412</v>
      </c>
      <c r="C138" s="292"/>
      <c r="D138" s="292"/>
      <c r="E138" s="94">
        <v>6000</v>
      </c>
      <c r="F138" s="74" t="s">
        <v>94</v>
      </c>
      <c r="G138" s="292"/>
    </row>
    <row r="139" spans="1:15" ht="76.5" x14ac:dyDescent="0.25">
      <c r="A139" s="230" t="s">
        <v>109</v>
      </c>
      <c r="B139" s="148" t="s">
        <v>1410</v>
      </c>
      <c r="C139" s="125"/>
      <c r="D139"/>
      <c r="E139" s="72">
        <v>3000</v>
      </c>
      <c r="F139" s="74" t="s">
        <v>94</v>
      </c>
      <c r="G139" s="9"/>
    </row>
    <row r="140" spans="1:15" ht="89.25" x14ac:dyDescent="0.25">
      <c r="A140" s="230" t="s">
        <v>109</v>
      </c>
      <c r="B140" s="293" t="s">
        <v>1411</v>
      </c>
      <c r="C140" s="125"/>
      <c r="D140"/>
      <c r="E140" s="72">
        <v>5000</v>
      </c>
      <c r="F140" s="74" t="s">
        <v>94</v>
      </c>
      <c r="G140" s="126"/>
    </row>
  </sheetData>
  <mergeCells count="14">
    <mergeCell ref="A44:D44"/>
    <mergeCell ref="A5:D5"/>
    <mergeCell ref="A10:D10"/>
    <mergeCell ref="A15:D15"/>
    <mergeCell ref="A20:D20"/>
    <mergeCell ref="A38:D38"/>
    <mergeCell ref="A127:D127"/>
    <mergeCell ref="A135:D135"/>
    <mergeCell ref="A51:D51"/>
    <mergeCell ref="A60:D60"/>
    <mergeCell ref="A69:D69"/>
    <mergeCell ref="A81:D81"/>
    <mergeCell ref="A98:D98"/>
    <mergeCell ref="A103:D103"/>
  </mergeCells>
  <conditionalFormatting sqref="G140">
    <cfRule type="cellIs" dxfId="440" priority="19" operator="equal">
      <formula>"ДА"</formula>
    </cfRule>
    <cfRule type="cellIs" dxfId="439" priority="20" operator="equal">
      <formula>"НЕТ"</formula>
    </cfRule>
    <cfRule type="cellIs" dxfId="438" priority="21" operator="equal">
      <formula>"Нет"</formula>
    </cfRule>
    <cfRule type="cellIs" dxfId="437" priority="22" operator="equal">
      <formula>"нет"</formula>
    </cfRule>
    <cfRule type="cellIs" dxfId="436" priority="23" operator="equal">
      <formula>"ДА"</formula>
    </cfRule>
    <cfRule type="containsText" dxfId="435" priority="24" operator="containsText" text="Да">
      <formula>NOT(ISERROR(SEARCH("Да",G140)))</formula>
    </cfRule>
  </conditionalFormatting>
  <conditionalFormatting sqref="E7 E12">
    <cfRule type="cellIs" dxfId="434" priority="31" operator="lessThan">
      <formula>0</formula>
    </cfRule>
    <cfRule type="cellIs" dxfId="433" priority="32" operator="greaterThan">
      <formula>0</formula>
    </cfRule>
  </conditionalFormatting>
  <conditionalFormatting sqref="D7 D12 E17">
    <cfRule type="cellIs" dxfId="432" priority="29" operator="lessThan">
      <formula>0</formula>
    </cfRule>
    <cfRule type="cellIs" dxfId="431" priority="30" operator="greaterThan">
      <formula>0</formula>
    </cfRule>
  </conditionalFormatting>
  <conditionalFormatting sqref="H62">
    <cfRule type="cellIs" dxfId="430" priority="27" operator="lessThan">
      <formula>1</formula>
    </cfRule>
    <cfRule type="cellIs" dxfId="429" priority="28" operator="greaterThan">
      <formula>1</formula>
    </cfRule>
  </conditionalFormatting>
  <conditionalFormatting sqref="H65">
    <cfRule type="cellIs" dxfId="428" priority="25" operator="lessThan">
      <formula>1</formula>
    </cfRule>
    <cfRule type="cellIs" dxfId="427" priority="26" operator="greaterThan">
      <formula>1</formula>
    </cfRule>
  </conditionalFormatting>
  <conditionalFormatting sqref="G139">
    <cfRule type="cellIs" dxfId="426" priority="13" operator="equal">
      <formula>"ДА"</formula>
    </cfRule>
    <cfRule type="cellIs" dxfId="425" priority="14" operator="equal">
      <formula>"НЕТ"</formula>
    </cfRule>
    <cfRule type="cellIs" dxfId="424" priority="15" operator="equal">
      <formula>"Нет"</formula>
    </cfRule>
    <cfRule type="cellIs" dxfId="423" priority="16" operator="equal">
      <formula>"нет"</formula>
    </cfRule>
    <cfRule type="cellIs" dxfId="422" priority="17" operator="equal">
      <formula>"ДА"</formula>
    </cfRule>
    <cfRule type="containsText" dxfId="421" priority="18" operator="containsText" text="Да">
      <formula>NOT(ISERROR(SEARCH("Да",G139)))</formula>
    </cfRule>
  </conditionalFormatting>
  <conditionalFormatting sqref="G129:G132">
    <cfRule type="cellIs" dxfId="420" priority="7" operator="equal">
      <formula>"ДА"</formula>
    </cfRule>
    <cfRule type="cellIs" dxfId="419" priority="8" operator="equal">
      <formula>"НЕТ"</formula>
    </cfRule>
    <cfRule type="cellIs" dxfId="418" priority="9" operator="equal">
      <formula>"Нет"</formula>
    </cfRule>
    <cfRule type="cellIs" dxfId="417" priority="10" operator="equal">
      <formula>"нет"</formula>
    </cfRule>
    <cfRule type="cellIs" dxfId="416" priority="11" operator="equal">
      <formula>"ДА"</formula>
    </cfRule>
    <cfRule type="containsText" dxfId="415" priority="12" operator="containsText" text="Да">
      <formula>NOT(ISERROR(SEARCH("Да",G129)))</formula>
    </cfRule>
  </conditionalFormatting>
  <conditionalFormatting sqref="C129:C132">
    <cfRule type="cellIs" dxfId="414" priority="1" operator="equal">
      <formula>"ДА"</formula>
    </cfRule>
    <cfRule type="cellIs" dxfId="413" priority="2" operator="equal">
      <formula>"НЕТ"</formula>
    </cfRule>
    <cfRule type="cellIs" dxfId="412" priority="3" operator="equal">
      <formula>"Нет"</formula>
    </cfRule>
    <cfRule type="cellIs" dxfId="411" priority="4" operator="equal">
      <formula>"нет"</formula>
    </cfRule>
    <cfRule type="cellIs" dxfId="410" priority="5" operator="equal">
      <formula>"ДА"</formula>
    </cfRule>
    <cfRule type="containsText" dxfId="409" priority="6" operator="containsText" text="Да">
      <formula>NOT(ISERROR(SEARCH("Да",C129)))</formula>
    </cfRule>
  </conditionalFormatting>
  <pageMargins left="0.7" right="0.7" top="0.75" bottom="0.75" header="0.3" footer="0.3"/>
  <pageSetup paperSize="9" orientation="portrait" r:id="rId1"/>
  <legacy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584C8-AF0C-4A46-83A2-06F8285231DB}">
  <dimension ref="A1:O122"/>
  <sheetViews>
    <sheetView topLeftCell="A106" zoomScale="85" zoomScaleNormal="85" workbookViewId="0">
      <selection activeCell="C40" sqref="C40"/>
    </sheetView>
  </sheetViews>
  <sheetFormatPr defaultColWidth="9.140625" defaultRowHeight="12.75" outlineLevelRow="1" x14ac:dyDescent="0.2"/>
  <cols>
    <col min="1" max="1" width="30.28515625" style="2" customWidth="1"/>
    <col min="2" max="2" width="39.42578125" style="2" customWidth="1"/>
    <col min="3" max="3" width="31.5703125" style="2" bestFit="1" customWidth="1"/>
    <col min="4" max="4" width="59.5703125" style="2" customWidth="1"/>
    <col min="5" max="5" width="34.85546875" style="2" customWidth="1"/>
    <col min="6" max="6" width="27.140625" style="2" customWidth="1"/>
    <col min="7" max="7" width="27.42578125" style="2" customWidth="1"/>
    <col min="8" max="8" width="36" style="2" customWidth="1"/>
    <col min="9" max="16384" width="9.140625" style="2"/>
  </cols>
  <sheetData>
    <row r="1" spans="1:7" ht="24.75" customHeight="1" x14ac:dyDescent="0.25">
      <c r="A1" s="134" t="s">
        <v>94</v>
      </c>
    </row>
    <row r="2" spans="1:7" ht="15.75" x14ac:dyDescent="0.25">
      <c r="A2" s="134" t="s">
        <v>1459</v>
      </c>
    </row>
    <row r="3" spans="1:7" x14ac:dyDescent="0.2">
      <c r="A3" s="3"/>
    </row>
    <row r="4" spans="1:7" ht="15.75" x14ac:dyDescent="0.25">
      <c r="A4" s="1" t="s">
        <v>0</v>
      </c>
      <c r="B4" s="2" t="s">
        <v>1</v>
      </c>
      <c r="C4" s="2" t="s">
        <v>2</v>
      </c>
    </row>
    <row r="5" spans="1:7" ht="15" x14ac:dyDescent="0.25">
      <c r="A5" s="386" t="s">
        <v>3</v>
      </c>
      <c r="B5" s="386"/>
      <c r="C5" s="386"/>
      <c r="D5" s="386"/>
      <c r="F5" s="4"/>
    </row>
    <row r="6" spans="1:7" s="6" customFormat="1" outlineLevel="1" x14ac:dyDescent="0.2">
      <c r="A6" s="5" t="s">
        <v>4</v>
      </c>
      <c r="B6" s="5" t="s">
        <v>5</v>
      </c>
      <c r="C6" s="5" t="s">
        <v>6</v>
      </c>
      <c r="D6" s="5" t="s">
        <v>7</v>
      </c>
      <c r="E6" s="5" t="s">
        <v>8</v>
      </c>
      <c r="F6" s="5" t="s">
        <v>10</v>
      </c>
      <c r="G6" s="186"/>
    </row>
    <row r="7" spans="1:7" outlineLevel="1" x14ac:dyDescent="0.2">
      <c r="A7" s="7" t="s">
        <v>94</v>
      </c>
      <c r="B7" s="8">
        <v>250000</v>
      </c>
      <c r="C7" s="9">
        <f>B26</f>
        <v>51147.62</v>
      </c>
      <c r="D7" s="10">
        <f>Таблица11029163037445158657223303744515865727986931009223548627690104107127139151163183152947637995111127143159175183450668298114130146545561577589605619635651667683700717163247627792107122137[Факт, руб.]/Таблица11029163037445158657223303744515865727986931009223548627690104107127139151163183152947637995111127143159175183450668298114130146545561577589605619635651667683700717163247627792107122137[План, руб.]-100%</f>
        <v>-0.79540951999999998</v>
      </c>
      <c r="E7" s="11">
        <f>Таблица11029163037445158657223303744515865727986931009223548627690104107127139151163183152947637995111127143159175183450668298114130146545561577589605619635651667683700717163247627792107122137[Факт, руб.]-Таблица11029163037445158657223303744515865727986931009223548627690104107127139151163183152947637995111127143159175183450668298114130146545561577589605619635651667683700717163247627792107122137[План, руб.]</f>
        <v>-198852.38</v>
      </c>
      <c r="F7" s="9">
        <f>B25</f>
        <v>88786.75</v>
      </c>
      <c r="G7" s="185"/>
    </row>
    <row r="8" spans="1:7" x14ac:dyDescent="0.2">
      <c r="A8" s="12"/>
      <c r="B8" s="13"/>
      <c r="C8" s="13"/>
      <c r="D8" s="14"/>
      <c r="F8" s="15"/>
      <c r="G8" s="16"/>
    </row>
    <row r="9" spans="1:7" ht="15" customHeight="1" x14ac:dyDescent="0.2">
      <c r="A9" s="12"/>
      <c r="B9" s="13"/>
      <c r="C9" s="13"/>
      <c r="D9" s="14"/>
      <c r="F9" s="17"/>
    </row>
    <row r="10" spans="1:7" ht="15" x14ac:dyDescent="0.25">
      <c r="A10" s="386" t="s">
        <v>11</v>
      </c>
      <c r="B10" s="386"/>
      <c r="C10" s="386"/>
      <c r="D10" s="386"/>
      <c r="F10" s="17"/>
    </row>
    <row r="11" spans="1:7" s="6" customFormat="1" outlineLevel="1" x14ac:dyDescent="0.2">
      <c r="A11" s="18" t="s">
        <v>4</v>
      </c>
      <c r="B11" s="19" t="s">
        <v>12</v>
      </c>
      <c r="C11" s="19" t="s">
        <v>13</v>
      </c>
      <c r="D11" s="19" t="s">
        <v>7</v>
      </c>
      <c r="E11" s="19" t="s">
        <v>8</v>
      </c>
      <c r="F11" s="20"/>
    </row>
    <row r="12" spans="1:7" outlineLevel="1" x14ac:dyDescent="0.2">
      <c r="A12" s="7" t="s">
        <v>94</v>
      </c>
      <c r="B12" s="8">
        <f>SUM(C22:C26)</f>
        <v>1040000</v>
      </c>
      <c r="C12" s="8">
        <f>B34</f>
        <v>542023.21000000008</v>
      </c>
      <c r="D12" s="21">
        <f>C12/B12-100%</f>
        <v>-0.4788238365384615</v>
      </c>
      <c r="E12" s="8">
        <f>C12-B12</f>
        <v>-497976.78999999992</v>
      </c>
      <c r="F12" s="17"/>
      <c r="G12" s="22"/>
    </row>
    <row r="13" spans="1:7" x14ac:dyDescent="0.2">
      <c r="A13" s="12"/>
      <c r="B13" s="13"/>
      <c r="C13" s="13"/>
      <c r="D13" s="14"/>
      <c r="F13" s="17"/>
    </row>
    <row r="14" spans="1:7" x14ac:dyDescent="0.2">
      <c r="A14" s="13"/>
      <c r="B14" s="13"/>
      <c r="C14" s="13"/>
      <c r="D14" s="14"/>
      <c r="F14" s="17"/>
      <c r="G14" s="22"/>
    </row>
    <row r="15" spans="1:7" ht="15" x14ac:dyDescent="0.25">
      <c r="A15" s="386" t="s">
        <v>393</v>
      </c>
      <c r="B15" s="386"/>
      <c r="C15" s="386"/>
      <c r="D15" s="386"/>
      <c r="F15" s="17"/>
    </row>
    <row r="16" spans="1:7" s="6" customFormat="1" outlineLevel="1" x14ac:dyDescent="0.2">
      <c r="A16" s="5" t="s">
        <v>4</v>
      </c>
      <c r="B16" s="5" t="s">
        <v>16</v>
      </c>
      <c r="C16" s="5" t="s">
        <v>93</v>
      </c>
      <c r="D16" s="5" t="s">
        <v>1037</v>
      </c>
      <c r="E16" s="5" t="s">
        <v>17</v>
      </c>
      <c r="F16" s="23"/>
    </row>
    <row r="17" spans="1:5" outlineLevel="1" x14ac:dyDescent="0.2">
      <c r="A17" s="7" t="s">
        <v>94</v>
      </c>
      <c r="B17" s="8">
        <v>0</v>
      </c>
      <c r="C17" s="24">
        <v>0</v>
      </c>
      <c r="D17" s="24">
        <f>B34</f>
        <v>542023.21000000008</v>
      </c>
      <c r="E17" s="21" t="e">
        <f>Таблица211301731384552596673243138455259667380879410110233649637791105109128140152164184163248648096112128144160176193551678399115131147546562578590606620636652668684701718173348637893108123138[Профит ФГ 25-26]/Таблица211301731384552596673243138455259667380879410110233649637791105109128140152164184163248648096112128144160176193551678399115131147546562578590606620636652668684701718173348637893108123138[Профит ФГ 24-25]</f>
        <v>#DIV/0!</v>
      </c>
    </row>
    <row r="20" spans="1:5" ht="15" x14ac:dyDescent="0.25">
      <c r="A20" s="386" t="s">
        <v>18</v>
      </c>
      <c r="B20" s="386"/>
      <c r="C20" s="386"/>
      <c r="D20" s="386"/>
    </row>
    <row r="21" spans="1:5" outlineLevel="1" x14ac:dyDescent="0.2">
      <c r="A21" s="25" t="s">
        <v>19</v>
      </c>
      <c r="B21" s="26" t="s">
        <v>20</v>
      </c>
      <c r="C21" s="26" t="s">
        <v>21</v>
      </c>
      <c r="D21" s="25" t="s">
        <v>22</v>
      </c>
    </row>
    <row r="22" spans="1:5" outlineLevel="1" x14ac:dyDescent="0.2">
      <c r="A22" s="30" t="s">
        <v>23</v>
      </c>
      <c r="B22" s="31">
        <v>255961.25</v>
      </c>
      <c r="C22" s="31">
        <v>170000</v>
      </c>
      <c r="D22" s="32">
        <f>Таблица4936997167333146617691106121136151[[#This Row],[Профит]]/Таблица4936997167333146617691106121136151[[#This Row],[План]]</f>
        <v>1.5056544117647059</v>
      </c>
    </row>
    <row r="23" spans="1:5" outlineLevel="1" x14ac:dyDescent="0.2">
      <c r="A23" s="30" t="s">
        <v>25</v>
      </c>
      <c r="B23" s="135">
        <v>85933.41</v>
      </c>
      <c r="C23" s="31">
        <v>190000</v>
      </c>
      <c r="D23" s="32">
        <f>Таблица4936997167333146617691106121136151[[#This Row],[Профит]]/Таблица4936997167333146617691106121136151[[#This Row],[План]]</f>
        <v>0.4522811052631579</v>
      </c>
    </row>
    <row r="24" spans="1:5" outlineLevel="1" x14ac:dyDescent="0.2">
      <c r="A24" s="30" t="s">
        <v>26</v>
      </c>
      <c r="B24" s="135">
        <v>60194.18</v>
      </c>
      <c r="C24" s="31">
        <v>210000</v>
      </c>
      <c r="D24" s="32">
        <f>Таблица4936997167333146617691106121136151[[#This Row],[Профит]]/Таблица4936997167333146617691106121136151[[#This Row],[План]]</f>
        <v>0.28663895238095238</v>
      </c>
    </row>
    <row r="25" spans="1:5" outlineLevel="1" x14ac:dyDescent="0.2">
      <c r="A25" s="30" t="s">
        <v>27</v>
      </c>
      <c r="B25" s="135">
        <v>88786.75</v>
      </c>
      <c r="C25" s="31">
        <v>220000</v>
      </c>
      <c r="D25" s="32">
        <f>Таблица4936997167333146617691106121136151[[#This Row],[Профит]]/Таблица4936997167333146617691106121136151[[#This Row],[План]]</f>
        <v>0.40357613636363637</v>
      </c>
    </row>
    <row r="26" spans="1:5" outlineLevel="1" x14ac:dyDescent="0.2">
      <c r="A26" s="30" t="s">
        <v>28</v>
      </c>
      <c r="B26" s="135">
        <v>51147.62</v>
      </c>
      <c r="C26" s="31">
        <v>250000</v>
      </c>
      <c r="D26" s="32">
        <f>Таблица4936997167333146617691106121136151[[#This Row],[Профит]]/Таблица4936997167333146617691106121136151[[#This Row],[План]]</f>
        <v>0.20459048000000002</v>
      </c>
    </row>
    <row r="27" spans="1:5" outlineLevel="1" x14ac:dyDescent="0.2">
      <c r="A27" s="30" t="s">
        <v>29</v>
      </c>
      <c r="B27" s="31">
        <v>0</v>
      </c>
      <c r="C27" s="31">
        <v>270000</v>
      </c>
      <c r="D27" s="32">
        <f>Таблица4936997167333146617691106121136151[[#This Row],[Профит]]/Таблица4936997167333146617691106121136151[[#This Row],[План]]</f>
        <v>0</v>
      </c>
    </row>
    <row r="28" spans="1:5" outlineLevel="1" x14ac:dyDescent="0.2">
      <c r="A28" s="30" t="s">
        <v>30</v>
      </c>
      <c r="B28" s="31">
        <v>0</v>
      </c>
      <c r="C28" s="31">
        <v>270000</v>
      </c>
      <c r="D28" s="32">
        <f>Таблица4936997167333146617691106121136151[[#This Row],[Профит]]/Таблица4936997167333146617691106121136151[[#This Row],[План]]</f>
        <v>0</v>
      </c>
    </row>
    <row r="29" spans="1:5" outlineLevel="1" x14ac:dyDescent="0.2">
      <c r="A29" s="30" t="s">
        <v>31</v>
      </c>
      <c r="B29" s="31">
        <v>0</v>
      </c>
      <c r="C29" s="31">
        <v>330000</v>
      </c>
      <c r="D29" s="32">
        <f>Таблица4936997167333146617691106121136151[[#This Row],[Профит]]/Таблица4936997167333146617691106121136151[[#This Row],[План]]</f>
        <v>0</v>
      </c>
    </row>
    <row r="30" spans="1:5" outlineLevel="1" x14ac:dyDescent="0.2">
      <c r="A30" s="30" t="s">
        <v>32</v>
      </c>
      <c r="B30" s="34">
        <v>0</v>
      </c>
      <c r="C30" s="34">
        <v>390000</v>
      </c>
      <c r="D30" s="32">
        <f>Таблица4936997167333146617691106121136151[[#This Row],[Профит]]/Таблица4936997167333146617691106121136151[[#This Row],[План]]</f>
        <v>0</v>
      </c>
    </row>
    <row r="31" spans="1:5" outlineLevel="1" x14ac:dyDescent="0.2">
      <c r="A31" s="30" t="s">
        <v>33</v>
      </c>
      <c r="B31" s="34">
        <v>0</v>
      </c>
      <c r="C31" s="34">
        <v>300000</v>
      </c>
      <c r="D31" s="32">
        <f>Таблица4936997167333146617691106121136151[[#This Row],[Профит]]/Таблица4936997167333146617691106121136151[[#This Row],[План]]</f>
        <v>0</v>
      </c>
    </row>
    <row r="32" spans="1:5" outlineLevel="1" x14ac:dyDescent="0.2">
      <c r="A32" s="30" t="s">
        <v>34</v>
      </c>
      <c r="B32" s="34">
        <v>0</v>
      </c>
      <c r="C32" s="34">
        <v>330000</v>
      </c>
      <c r="D32" s="32">
        <f>Таблица4936997167333146617691106121136151[[#This Row],[Профит]]/Таблица4936997167333146617691106121136151[[#This Row],[План]]</f>
        <v>0</v>
      </c>
    </row>
    <row r="33" spans="1:8" outlineLevel="1" x14ac:dyDescent="0.2">
      <c r="A33" s="33" t="s">
        <v>35</v>
      </c>
      <c r="B33" s="34">
        <v>0</v>
      </c>
      <c r="C33" s="34">
        <v>360000</v>
      </c>
      <c r="D33" s="32">
        <f>Таблица4936997167333146617691106121136151[[#This Row],[Профит]]/Таблица4936997167333146617691106121136151[[#This Row],[План]]</f>
        <v>0</v>
      </c>
      <c r="H33" s="35"/>
    </row>
    <row r="34" spans="1:8" ht="15" outlineLevel="1" x14ac:dyDescent="0.25">
      <c r="A34" s="36" t="s">
        <v>36</v>
      </c>
      <c r="B34" s="37">
        <f>SUM(B22:B33)</f>
        <v>542023.21000000008</v>
      </c>
      <c r="C34" s="38">
        <f>SUM(C22:C33)</f>
        <v>3290000</v>
      </c>
      <c r="D34" s="39"/>
    </row>
    <row r="35" spans="1:8" outlineLevel="1" x14ac:dyDescent="0.2">
      <c r="A35" s="41" t="s">
        <v>37</v>
      </c>
      <c r="B35" s="42">
        <f>AVERAGE(B22:B26)</f>
        <v>108404.64200000002</v>
      </c>
      <c r="C35" s="42">
        <f>AVERAGE(C22:C33)</f>
        <v>274166.66666666669</v>
      </c>
      <c r="D35" s="43">
        <f>B35/C35</f>
        <v>0.3953968705167174</v>
      </c>
    </row>
    <row r="38" spans="1:8" ht="15" x14ac:dyDescent="0.25">
      <c r="A38" s="386" t="s">
        <v>38</v>
      </c>
      <c r="B38" s="386"/>
      <c r="C38" s="386"/>
      <c r="D38" s="386"/>
    </row>
    <row r="39" spans="1:8" s="45" customFormat="1" outlineLevel="1" x14ac:dyDescent="0.2">
      <c r="A39" s="44" t="s">
        <v>39</v>
      </c>
      <c r="B39" s="44" t="s">
        <v>40</v>
      </c>
      <c r="C39" s="44" t="s">
        <v>41</v>
      </c>
      <c r="D39" s="44" t="s">
        <v>42</v>
      </c>
      <c r="E39" s="44" t="s">
        <v>43</v>
      </c>
      <c r="F39" s="2"/>
    </row>
    <row r="40" spans="1:8" outlineLevel="1" x14ac:dyDescent="0.2">
      <c r="A40" s="8">
        <f>B26</f>
        <v>51147.62</v>
      </c>
      <c r="B40" s="46">
        <f>50000</f>
        <v>50000</v>
      </c>
      <c r="C40" s="136">
        <f>A40*0.065*1</f>
        <v>3324.5953000000004</v>
      </c>
      <c r="D40" s="47">
        <f>SUM(G111:G114)</f>
        <v>1925</v>
      </c>
      <c r="E40" s="48">
        <v>0</v>
      </c>
    </row>
    <row r="41" spans="1:8" outlineLevel="1" x14ac:dyDescent="0.2">
      <c r="A41" s="49" t="s">
        <v>44</v>
      </c>
      <c r="B41" s="137">
        <f>Таблица294459759110712313915517118730466278941101261421585565725886026166306466626786947117282843587388103118133148[Оклад]+Таблица294459759110712313915517118730466278941101261421585565725886026166306466626786947117282843587388103118133148[Премия]+Таблица294459759110712313915517118730466278941101261421585565725886026166306466626786947117282843587388103118133148[Штрафы]+Таблица294459759110712313915517118730466278941101261421585565725886026166306466626786947117282843587388103118133148[Доплата за Задачи]</f>
        <v>55249.595300000001</v>
      </c>
      <c r="C41" s="50"/>
    </row>
    <row r="42" spans="1:8" x14ac:dyDescent="0.2">
      <c r="A42" s="40"/>
      <c r="B42" s="40"/>
    </row>
    <row r="43" spans="1:8" x14ac:dyDescent="0.2">
      <c r="A43" s="51"/>
      <c r="B43" s="51"/>
      <c r="C43" s="51"/>
      <c r="D43" s="52"/>
      <c r="E43" s="53"/>
      <c r="F43" s="53"/>
      <c r="H43" s="22"/>
    </row>
    <row r="44" spans="1:8" ht="15" x14ac:dyDescent="0.25">
      <c r="A44" s="386" t="s">
        <v>45</v>
      </c>
      <c r="B44" s="386"/>
      <c r="C44" s="386"/>
      <c r="D44" s="386"/>
      <c r="E44" s="53"/>
      <c r="F44" s="53"/>
      <c r="H44" s="22"/>
    </row>
    <row r="45" spans="1:8" outlineLevel="1" x14ac:dyDescent="0.2">
      <c r="A45" s="5" t="s">
        <v>46</v>
      </c>
      <c r="B45" s="5" t="s">
        <v>47</v>
      </c>
      <c r="C45" s="5" t="s">
        <v>48</v>
      </c>
      <c r="D45" s="54" t="s">
        <v>49</v>
      </c>
      <c r="G45" s="40"/>
    </row>
    <row r="46" spans="1:8" ht="24.95" customHeight="1" outlineLevel="1" x14ac:dyDescent="0.2">
      <c r="A46" s="55" t="s">
        <v>24</v>
      </c>
      <c r="B46" s="60"/>
      <c r="C46" s="60"/>
      <c r="D46" s="61">
        <v>0</v>
      </c>
      <c r="G46" s="62"/>
      <c r="H46" s="6"/>
    </row>
    <row r="47" spans="1:8" outlineLevel="1" x14ac:dyDescent="0.2">
      <c r="A47" s="63"/>
      <c r="B47" s="64" t="s">
        <v>50</v>
      </c>
      <c r="C47" s="65">
        <f>SUM(Таблица546243318323946536067742532394653606774818895102112437506478921061101291411531651851733496581971131291451611772036526884100116132148547563579593607621637653669685702719193449647994109124139[Общая сумма долга])</f>
        <v>0</v>
      </c>
      <c r="D47" s="66">
        <v>0</v>
      </c>
      <c r="E47" s="67" t="s">
        <v>51</v>
      </c>
      <c r="F47" s="51"/>
      <c r="G47" s="51"/>
      <c r="H47" s="51"/>
    </row>
    <row r="48" spans="1:8" outlineLevel="1" x14ac:dyDescent="0.2">
      <c r="A48" s="63"/>
      <c r="B48" s="64"/>
      <c r="C48" s="65"/>
      <c r="D48" s="51"/>
      <c r="E48" s="51"/>
      <c r="F48" s="51"/>
      <c r="G48" s="51"/>
      <c r="H48" s="51"/>
    </row>
    <row r="49" spans="1:8" x14ac:dyDescent="0.2">
      <c r="A49" s="63"/>
      <c r="B49" s="51"/>
      <c r="C49" s="51"/>
      <c r="D49" s="52"/>
      <c r="E49" s="51"/>
      <c r="F49" s="53"/>
      <c r="G49" s="51"/>
      <c r="H49" s="68"/>
    </row>
    <row r="50" spans="1:8" x14ac:dyDescent="0.2">
      <c r="A50" s="63"/>
      <c r="B50" s="51"/>
      <c r="C50" s="51"/>
      <c r="D50" s="52"/>
      <c r="E50" s="51"/>
      <c r="F50" s="53"/>
      <c r="G50" s="51"/>
      <c r="H50" s="68"/>
    </row>
    <row r="51" spans="1:8" ht="15" x14ac:dyDescent="0.25">
      <c r="A51" s="387" t="s">
        <v>52</v>
      </c>
      <c r="B51" s="387"/>
      <c r="C51" s="387"/>
      <c r="D51" s="387"/>
      <c r="E51" s="53"/>
      <c r="F51" s="53"/>
      <c r="G51" s="51"/>
    </row>
    <row r="52" spans="1:8" s="6" customFormat="1" outlineLevel="1" x14ac:dyDescent="0.2">
      <c r="A52" s="18" t="s">
        <v>53</v>
      </c>
      <c r="B52" s="19" t="s">
        <v>54</v>
      </c>
      <c r="C52" s="19" t="s">
        <v>55</v>
      </c>
      <c r="D52" s="69" t="s">
        <v>56</v>
      </c>
      <c r="E52" s="69" t="s">
        <v>4</v>
      </c>
      <c r="F52" s="70" t="s">
        <v>57</v>
      </c>
      <c r="G52" s="277"/>
    </row>
    <row r="53" spans="1:8" s="6" customFormat="1" ht="26.25" customHeight="1" outlineLevel="1" x14ac:dyDescent="0.2">
      <c r="A53" s="173" t="s">
        <v>1154</v>
      </c>
      <c r="B53" s="246">
        <v>39833.33</v>
      </c>
      <c r="C53" s="131">
        <v>39833.33</v>
      </c>
      <c r="D53" s="249">
        <v>1</v>
      </c>
      <c r="E53" s="177" t="s">
        <v>94</v>
      </c>
      <c r="F53" s="250" t="s">
        <v>1155</v>
      </c>
    </row>
    <row r="54" spans="1:8" s="6" customFormat="1" ht="26.25" customHeight="1" outlineLevel="1" x14ac:dyDescent="0.2">
      <c r="A54" s="173" t="s">
        <v>104</v>
      </c>
      <c r="B54" s="246">
        <v>118017.9</v>
      </c>
      <c r="C54" s="131">
        <v>9862.16</v>
      </c>
      <c r="D54" s="249">
        <v>9.0999999999999998E-2</v>
      </c>
      <c r="E54" s="177" t="s">
        <v>94</v>
      </c>
      <c r="F54" s="250" t="s">
        <v>1511</v>
      </c>
    </row>
    <row r="55" spans="1:8" s="6" customFormat="1" ht="26.25" customHeight="1" outlineLevel="1" x14ac:dyDescent="0.2">
      <c r="A55" s="173" t="s">
        <v>1066</v>
      </c>
      <c r="B55" s="131">
        <v>40199</v>
      </c>
      <c r="C55" s="131">
        <v>1145.73</v>
      </c>
      <c r="D55" s="251">
        <v>2.9000000000000001E-2</v>
      </c>
      <c r="E55" s="177" t="s">
        <v>94</v>
      </c>
      <c r="F55" s="250" t="s">
        <v>1510</v>
      </c>
    </row>
    <row r="56" spans="1:8" s="6" customFormat="1" ht="24" customHeight="1" outlineLevel="1" x14ac:dyDescent="0.2">
      <c r="A56" s="173" t="s">
        <v>1469</v>
      </c>
      <c r="B56" s="246">
        <v>4300</v>
      </c>
      <c r="C56" s="131">
        <v>306.39999999999998</v>
      </c>
      <c r="D56" s="249">
        <v>7.6999999999999999E-2</v>
      </c>
      <c r="E56" s="177" t="s">
        <v>94</v>
      </c>
      <c r="F56" s="250" t="s">
        <v>1509</v>
      </c>
    </row>
    <row r="57" spans="1:8" x14ac:dyDescent="0.2">
      <c r="A57" s="51"/>
      <c r="B57" s="51"/>
      <c r="C57" s="51"/>
      <c r="D57" s="52"/>
      <c r="E57" s="51"/>
      <c r="F57" s="53"/>
      <c r="G57" s="51"/>
    </row>
    <row r="58" spans="1:8" ht="15" x14ac:dyDescent="0.25">
      <c r="A58" s="386" t="s">
        <v>58</v>
      </c>
      <c r="B58" s="386"/>
      <c r="C58" s="386"/>
      <c r="D58" s="386"/>
      <c r="E58" s="79"/>
      <c r="F58" s="79"/>
    </row>
    <row r="59" spans="1:8" ht="15" customHeight="1" outlineLevel="1" x14ac:dyDescent="0.2">
      <c r="A59" s="80">
        <v>45901</v>
      </c>
      <c r="B59" s="81" t="s">
        <v>21</v>
      </c>
      <c r="C59" s="81" t="s">
        <v>59</v>
      </c>
      <c r="D59" s="81" t="s">
        <v>60</v>
      </c>
      <c r="E59" s="81" t="s">
        <v>61</v>
      </c>
      <c r="F59" s="81" t="s">
        <v>62</v>
      </c>
      <c r="G59" s="81" t="s">
        <v>63</v>
      </c>
      <c r="H59" s="81" t="s">
        <v>64</v>
      </c>
    </row>
    <row r="60" spans="1:8" outlineLevel="1" x14ac:dyDescent="0.2">
      <c r="A60" s="87"/>
      <c r="B60" s="72">
        <v>270000</v>
      </c>
      <c r="C60" s="72">
        <v>0</v>
      </c>
      <c r="D60" s="72">
        <v>37000</v>
      </c>
      <c r="E60" s="72">
        <v>89000</v>
      </c>
      <c r="F60" s="72">
        <v>71000</v>
      </c>
      <c r="G60" s="72">
        <f>C60+D60+E60*0.5+F60*0.05</f>
        <v>85050</v>
      </c>
      <c r="H60" s="296">
        <f>Таблица9132738193340475461687582899682891101171241311381451521591661731801871945121926334047546168758289961031101171241311381451521591661741821902052131241361481601721922440627894110126142158174190334965819711312914516155957559160361763164766367969571149[[#This Row],[Столбец6]]/Таблица9132738193340475461687582899682891101171241311381451521591661731801871945121926334047546168758289961031101171241311381451521591661741821902052131241361481601721922440627894110126142158174190334965819711312914516155957559160361763164766367969571149[[#This Row],[Столбец1]]</f>
        <v>0.315</v>
      </c>
    </row>
    <row r="61" spans="1:8" outlineLevel="1" x14ac:dyDescent="0.2">
      <c r="A61" s="40"/>
      <c r="B61" s="40"/>
      <c r="C61" s="40"/>
      <c r="D61" s="40"/>
      <c r="E61" s="40"/>
      <c r="F61" s="40"/>
      <c r="G61" s="40"/>
      <c r="H61" s="86"/>
    </row>
    <row r="62" spans="1:8" outlineLevel="1" x14ac:dyDescent="0.2">
      <c r="A62" s="80">
        <v>45931</v>
      </c>
      <c r="B62" s="81" t="s">
        <v>21</v>
      </c>
      <c r="C62" s="81" t="s">
        <v>59</v>
      </c>
      <c r="D62" s="81" t="s">
        <v>60</v>
      </c>
      <c r="E62" s="81" t="s">
        <v>61</v>
      </c>
      <c r="F62" s="81" t="s">
        <v>62</v>
      </c>
      <c r="G62" s="81" t="s">
        <v>63</v>
      </c>
      <c r="H62" s="81" t="s">
        <v>64</v>
      </c>
    </row>
    <row r="63" spans="1:8" ht="15" customHeight="1" outlineLevel="1" x14ac:dyDescent="0.2">
      <c r="A63" s="87"/>
      <c r="B63" s="72">
        <v>270000</v>
      </c>
      <c r="C63" s="72">
        <v>0</v>
      </c>
      <c r="D63" s="72">
        <v>0</v>
      </c>
      <c r="E63" s="72">
        <v>37000</v>
      </c>
      <c r="F63" s="72">
        <v>163000</v>
      </c>
      <c r="G63" s="72">
        <f>C63+D63+E63*0.5+F63*0.05</f>
        <v>26650</v>
      </c>
      <c r="H63" s="296">
        <f>Таблица9132738193340475461687582899682891101171241311381451521591661731801871945121926334047546168758289961031101171241311381451521591661741821902052131191251371491611731932541567288104120136152168184274359759110712313915555356958559961362764365967569145[[#This Row],[Столбец6]]/Таблица9132738193340475461687582899682891101171241311381451521591661731801871945121926334047546168758289961031101171241311381451521591661741821902052131191251371491611731932541567288104120136152168184274359759110712313915555356958559961362764365967569145[[#This Row],[Столбец1]]</f>
        <v>9.870370370370371E-2</v>
      </c>
    </row>
    <row r="64" spans="1:8" x14ac:dyDescent="0.2">
      <c r="A64" s="63"/>
      <c r="B64" s="51"/>
      <c r="C64" s="51"/>
      <c r="D64" s="52"/>
      <c r="E64" s="51"/>
    </row>
    <row r="65" spans="1:10" x14ac:dyDescent="0.2">
      <c r="A65" s="51"/>
      <c r="B65" s="51"/>
      <c r="C65" s="51"/>
      <c r="D65" s="52"/>
      <c r="E65" s="51"/>
    </row>
    <row r="66" spans="1:10" ht="15.75" x14ac:dyDescent="0.25">
      <c r="A66" s="88" t="s">
        <v>65</v>
      </c>
      <c r="B66" s="89"/>
    </row>
    <row r="67" spans="1:10" ht="15" x14ac:dyDescent="0.25">
      <c r="A67" s="387" t="s">
        <v>66</v>
      </c>
      <c r="B67" s="387"/>
      <c r="C67" s="387"/>
      <c r="D67" s="387"/>
      <c r="E67" s="90"/>
      <c r="F67" s="90"/>
      <c r="G67" s="235">
        <f>SUM(Таблица4211720344148556269768390978390111118125132139146153160167174181188195613202734414855626976839097104111118125132139146153160167175183198206214123135147159171191233955718710311913515116718326425874901061221381545525685845986126266426586746907077144[Сумма, тыс. руб.])*1000</f>
        <v>2235000</v>
      </c>
      <c r="H67" s="276"/>
    </row>
    <row r="68" spans="1:10" outlineLevel="1" x14ac:dyDescent="0.2">
      <c r="A68" s="91" t="s">
        <v>67</v>
      </c>
      <c r="B68" s="91" t="s">
        <v>53</v>
      </c>
      <c r="C68" s="91" t="s">
        <v>4</v>
      </c>
      <c r="D68" s="91" t="s">
        <v>68</v>
      </c>
      <c r="E68" s="91" t="s">
        <v>69</v>
      </c>
      <c r="F68" s="91" t="s">
        <v>70</v>
      </c>
      <c r="G68" s="91" t="s">
        <v>71</v>
      </c>
      <c r="H68" s="91" t="s">
        <v>72</v>
      </c>
      <c r="I68" s="276"/>
      <c r="J68" s="276"/>
    </row>
    <row r="69" spans="1:10" s="258" customFormat="1" ht="24.95" customHeight="1" outlineLevel="1" x14ac:dyDescent="0.2">
      <c r="A69" s="190" t="s">
        <v>1341</v>
      </c>
      <c r="B69" s="176" t="s">
        <v>1342</v>
      </c>
      <c r="C69" s="177" t="s">
        <v>94</v>
      </c>
      <c r="D69" s="177" t="s">
        <v>73</v>
      </c>
      <c r="E69" s="178" t="s">
        <v>1343</v>
      </c>
      <c r="F69" s="179" t="s">
        <v>1498</v>
      </c>
      <c r="G69" s="131">
        <v>735</v>
      </c>
      <c r="H69" s="173" t="s">
        <v>996</v>
      </c>
    </row>
    <row r="70" spans="1:10" ht="24.95" customHeight="1" outlineLevel="1" x14ac:dyDescent="0.2">
      <c r="A70" s="74" t="s">
        <v>999</v>
      </c>
      <c r="B70" s="74" t="s">
        <v>1254</v>
      </c>
      <c r="C70" s="93" t="s">
        <v>94</v>
      </c>
      <c r="D70" s="94" t="s">
        <v>573</v>
      </c>
      <c r="E70" s="74" t="s">
        <v>1259</v>
      </c>
      <c r="F70" s="218" t="s">
        <v>1498</v>
      </c>
      <c r="G70" s="72">
        <v>450</v>
      </c>
      <c r="H70" s="94" t="s">
        <v>996</v>
      </c>
      <c r="I70" s="236"/>
    </row>
    <row r="71" spans="1:10" ht="24.95" customHeight="1" outlineLevel="1" x14ac:dyDescent="0.2">
      <c r="A71" s="190" t="s">
        <v>1005</v>
      </c>
      <c r="B71" s="176" t="s">
        <v>1256</v>
      </c>
      <c r="C71" s="177" t="s">
        <v>94</v>
      </c>
      <c r="D71" s="177" t="s">
        <v>1258</v>
      </c>
      <c r="E71" s="178" t="s">
        <v>1004</v>
      </c>
      <c r="F71" s="179" t="s">
        <v>1357</v>
      </c>
      <c r="G71" s="131">
        <v>386</v>
      </c>
      <c r="H71" s="173" t="s">
        <v>280</v>
      </c>
      <c r="I71" s="236"/>
    </row>
    <row r="72" spans="1:10" ht="24.95" customHeight="1" outlineLevel="1" x14ac:dyDescent="0.2">
      <c r="A72" s="190" t="s">
        <v>1349</v>
      </c>
      <c r="B72" s="176" t="s">
        <v>1266</v>
      </c>
      <c r="C72" s="177" t="s">
        <v>94</v>
      </c>
      <c r="D72" s="177" t="s">
        <v>73</v>
      </c>
      <c r="E72" s="178" t="s">
        <v>1350</v>
      </c>
      <c r="F72" s="179" t="s">
        <v>1357</v>
      </c>
      <c r="G72" s="131">
        <v>371</v>
      </c>
      <c r="H72" s="173" t="s">
        <v>168</v>
      </c>
      <c r="I72" s="236"/>
    </row>
    <row r="73" spans="1:10" ht="24.95" customHeight="1" outlineLevel="1" x14ac:dyDescent="0.2">
      <c r="A73" s="190" t="s">
        <v>1392</v>
      </c>
      <c r="B73" s="176" t="s">
        <v>1391</v>
      </c>
      <c r="C73" s="177" t="s">
        <v>94</v>
      </c>
      <c r="D73" s="177" t="s">
        <v>73</v>
      </c>
      <c r="E73" s="178" t="s">
        <v>1393</v>
      </c>
      <c r="F73" s="179" t="s">
        <v>1357</v>
      </c>
      <c r="G73" s="131">
        <v>160</v>
      </c>
      <c r="H73" s="173" t="s">
        <v>168</v>
      </c>
      <c r="I73" s="236"/>
    </row>
    <row r="74" spans="1:10" ht="24.95" customHeight="1" outlineLevel="1" x14ac:dyDescent="0.2">
      <c r="A74" s="190" t="s">
        <v>1263</v>
      </c>
      <c r="B74" s="176" t="s">
        <v>1264</v>
      </c>
      <c r="C74" s="177" t="s">
        <v>94</v>
      </c>
      <c r="D74" s="177" t="s">
        <v>73</v>
      </c>
      <c r="E74" s="178" t="s">
        <v>1372</v>
      </c>
      <c r="F74" s="179" t="s">
        <v>1357</v>
      </c>
      <c r="G74" s="131">
        <v>78</v>
      </c>
      <c r="H74" s="173" t="s">
        <v>280</v>
      </c>
      <c r="I74" s="236"/>
    </row>
    <row r="75" spans="1:10" ht="24.95" customHeight="1" outlineLevel="1" x14ac:dyDescent="0.2">
      <c r="A75" s="190" t="s">
        <v>1394</v>
      </c>
      <c r="B75" s="176" t="s">
        <v>1174</v>
      </c>
      <c r="C75" s="177" t="s">
        <v>94</v>
      </c>
      <c r="D75" s="177" t="s">
        <v>73</v>
      </c>
      <c r="E75" s="178" t="s">
        <v>1395</v>
      </c>
      <c r="F75" s="179" t="s">
        <v>1357</v>
      </c>
      <c r="G75" s="131">
        <v>55</v>
      </c>
      <c r="H75" s="173" t="s">
        <v>168</v>
      </c>
      <c r="I75" s="236"/>
    </row>
    <row r="76" spans="1:10" x14ac:dyDescent="0.2">
      <c r="A76" s="223"/>
      <c r="B76" s="104"/>
      <c r="C76" s="105"/>
      <c r="D76" s="106"/>
      <c r="E76" s="106"/>
      <c r="F76" s="107"/>
      <c r="G76" s="108"/>
      <c r="H76" s="106"/>
    </row>
    <row r="77" spans="1:10" x14ac:dyDescent="0.2">
      <c r="A77" s="104"/>
      <c r="B77" s="104"/>
      <c r="C77" s="105"/>
      <c r="D77" s="106"/>
      <c r="E77" s="106"/>
      <c r="F77" s="107"/>
      <c r="G77" s="108"/>
      <c r="H77" s="106"/>
    </row>
    <row r="78" spans="1:10" ht="15" x14ac:dyDescent="0.25">
      <c r="A78" s="387" t="s">
        <v>74</v>
      </c>
      <c r="B78" s="387"/>
      <c r="C78" s="387"/>
      <c r="D78" s="387"/>
      <c r="G78" s="235">
        <f>SUM(Таблица125138150162174194264257738910512113715316918528446076921081241401565545705866006146286446606766927097262641567186101116131146[Сумма])*1000</f>
        <v>227529</v>
      </c>
      <c r="H78" s="276"/>
    </row>
    <row r="79" spans="1:10" outlineLevel="1" x14ac:dyDescent="0.2">
      <c r="A79" s="91" t="s">
        <v>67</v>
      </c>
      <c r="B79" s="91" t="s">
        <v>53</v>
      </c>
      <c r="C79" s="91" t="s">
        <v>4</v>
      </c>
      <c r="D79" s="91" t="s">
        <v>68</v>
      </c>
      <c r="E79" s="91" t="s">
        <v>69</v>
      </c>
      <c r="F79" s="91" t="s">
        <v>70</v>
      </c>
      <c r="G79" s="91" t="s">
        <v>75</v>
      </c>
      <c r="H79" s="91" t="s">
        <v>72</v>
      </c>
    </row>
    <row r="80" spans="1:10" ht="24.95" customHeight="1" outlineLevel="1" x14ac:dyDescent="0.2">
      <c r="A80" s="74" t="s">
        <v>1485</v>
      </c>
      <c r="B80" s="74" t="s">
        <v>104</v>
      </c>
      <c r="C80" s="177" t="s">
        <v>94</v>
      </c>
      <c r="D80" s="94" t="s">
        <v>73</v>
      </c>
      <c r="E80" s="74" t="s">
        <v>1493</v>
      </c>
      <c r="F80" s="218" t="s">
        <v>1344</v>
      </c>
      <c r="G80" s="72">
        <v>95.603999999999999</v>
      </c>
      <c r="H80" s="94" t="s">
        <v>107</v>
      </c>
    </row>
    <row r="81" spans="1:10" ht="24.95" customHeight="1" outlineLevel="1" x14ac:dyDescent="0.2">
      <c r="A81" s="74" t="s">
        <v>1486</v>
      </c>
      <c r="B81" s="74" t="s">
        <v>1490</v>
      </c>
      <c r="C81" s="177" t="s">
        <v>94</v>
      </c>
      <c r="D81" s="94" t="s">
        <v>73</v>
      </c>
      <c r="E81" s="74" t="s">
        <v>1494</v>
      </c>
      <c r="F81" s="218" t="s">
        <v>1344</v>
      </c>
      <c r="G81" s="72">
        <v>69.814999999999998</v>
      </c>
      <c r="H81" s="173" t="s">
        <v>284</v>
      </c>
      <c r="J81" s="212"/>
    </row>
    <row r="82" spans="1:10" ht="24.95" customHeight="1" outlineLevel="1" x14ac:dyDescent="0.2">
      <c r="A82" s="74" t="s">
        <v>1487</v>
      </c>
      <c r="B82" s="74" t="s">
        <v>104</v>
      </c>
      <c r="C82" s="177" t="s">
        <v>94</v>
      </c>
      <c r="D82" s="94" t="s">
        <v>73</v>
      </c>
      <c r="E82" s="74" t="s">
        <v>1495</v>
      </c>
      <c r="F82" s="218" t="s">
        <v>1344</v>
      </c>
      <c r="G82" s="72">
        <v>62.11</v>
      </c>
      <c r="H82" s="173" t="s">
        <v>252</v>
      </c>
      <c r="J82" s="212"/>
    </row>
    <row r="83" spans="1:10" ht="24.95" customHeight="1" outlineLevel="1" x14ac:dyDescent="0.2">
      <c r="A83" s="74" t="s">
        <v>1488</v>
      </c>
      <c r="B83" s="74" t="s">
        <v>1491</v>
      </c>
      <c r="C83" s="177" t="s">
        <v>94</v>
      </c>
      <c r="D83" s="94" t="s">
        <v>73</v>
      </c>
      <c r="E83" s="74" t="s">
        <v>1496</v>
      </c>
      <c r="F83" s="218" t="s">
        <v>1357</v>
      </c>
      <c r="G83" s="72">
        <v>0</v>
      </c>
      <c r="H83" s="173" t="s">
        <v>996</v>
      </c>
      <c r="J83" s="212"/>
    </row>
    <row r="84" spans="1:10" ht="24.95" customHeight="1" outlineLevel="1" x14ac:dyDescent="0.2">
      <c r="A84" s="74" t="s">
        <v>1489</v>
      </c>
      <c r="B84" s="74" t="s">
        <v>1492</v>
      </c>
      <c r="C84" s="177" t="s">
        <v>94</v>
      </c>
      <c r="D84" s="94" t="s">
        <v>73</v>
      </c>
      <c r="E84" s="74" t="s">
        <v>1497</v>
      </c>
      <c r="F84" s="218" t="s">
        <v>1357</v>
      </c>
      <c r="G84" s="72">
        <v>0</v>
      </c>
      <c r="H84" s="173" t="s">
        <v>1019</v>
      </c>
      <c r="J84" s="212"/>
    </row>
    <row r="85" spans="1:10" ht="24.95" customHeight="1" outlineLevel="1" x14ac:dyDescent="0.2">
      <c r="A85" s="74" t="s">
        <v>1502</v>
      </c>
      <c r="B85" s="74" t="s">
        <v>1342</v>
      </c>
      <c r="C85" s="177" t="s">
        <v>94</v>
      </c>
      <c r="D85" s="94" t="s">
        <v>73</v>
      </c>
      <c r="E85" s="74" t="s">
        <v>1503</v>
      </c>
      <c r="F85" s="218" t="s">
        <v>1498</v>
      </c>
      <c r="G85" s="72">
        <v>0</v>
      </c>
      <c r="H85" s="173" t="s">
        <v>996</v>
      </c>
      <c r="J85" s="212"/>
    </row>
    <row r="86" spans="1:10" ht="15" customHeight="1" x14ac:dyDescent="0.2"/>
    <row r="87" spans="1:10" ht="15" customHeight="1" x14ac:dyDescent="0.2"/>
    <row r="88" spans="1:10" ht="15.75" x14ac:dyDescent="0.25">
      <c r="A88" s="1" t="s">
        <v>76</v>
      </c>
    </row>
    <row r="89" spans="1:10" ht="15" x14ac:dyDescent="0.25">
      <c r="A89" s="386" t="s">
        <v>77</v>
      </c>
      <c r="B89" s="386"/>
      <c r="C89" s="386"/>
      <c r="D89" s="386"/>
      <c r="E89" s="110"/>
      <c r="F89" s="111"/>
    </row>
    <row r="90" spans="1:10" s="104" customFormat="1" outlineLevel="1" x14ac:dyDescent="0.25">
      <c r="A90" s="112" t="s">
        <v>78</v>
      </c>
      <c r="B90" s="112" t="s">
        <v>53</v>
      </c>
      <c r="C90" s="91" t="s">
        <v>4</v>
      </c>
      <c r="D90" s="112" t="s">
        <v>79</v>
      </c>
      <c r="E90" s="91" t="s">
        <v>80</v>
      </c>
      <c r="F90" s="112" t="s">
        <v>81</v>
      </c>
      <c r="G90" s="112" t="s">
        <v>82</v>
      </c>
    </row>
    <row r="91" spans="1:10" s="104" customFormat="1" ht="24.75" customHeight="1" outlineLevel="1" x14ac:dyDescent="0.25">
      <c r="A91" s="253">
        <v>45894</v>
      </c>
      <c r="B91" s="230" t="s">
        <v>1342</v>
      </c>
      <c r="C91" s="177" t="s">
        <v>94</v>
      </c>
      <c r="D91" s="173" t="s">
        <v>1499</v>
      </c>
      <c r="E91" s="173" t="s">
        <v>1502</v>
      </c>
      <c r="F91" s="173" t="s">
        <v>1501</v>
      </c>
      <c r="G91" s="173" t="s">
        <v>1500</v>
      </c>
    </row>
    <row r="92" spans="1:10" s="104" customFormat="1" ht="12" customHeight="1" outlineLevel="1" x14ac:dyDescent="0.2">
      <c r="A92" s="2"/>
      <c r="B92" s="118"/>
      <c r="C92" s="2"/>
      <c r="D92" s="2"/>
      <c r="E92" s="2"/>
      <c r="F92" s="2"/>
      <c r="G92" s="2"/>
    </row>
    <row r="93" spans="1:10" ht="24" customHeight="1" outlineLevel="1" x14ac:dyDescent="0.2">
      <c r="A93" s="118"/>
      <c r="B93" s="118"/>
    </row>
    <row r="94" spans="1:10" ht="24" customHeight="1" outlineLevel="1" x14ac:dyDescent="0.25">
      <c r="A94" s="387" t="s">
        <v>83</v>
      </c>
      <c r="B94" s="387"/>
      <c r="C94" s="387"/>
      <c r="D94" s="387"/>
      <c r="E94" s="212"/>
    </row>
    <row r="95" spans="1:10" ht="24" customHeight="1" outlineLevel="1" x14ac:dyDescent="0.2">
      <c r="A95" s="112" t="s">
        <v>78</v>
      </c>
      <c r="B95" s="112" t="s">
        <v>53</v>
      </c>
      <c r="C95" s="91" t="s">
        <v>4</v>
      </c>
      <c r="D95" s="112" t="s">
        <v>79</v>
      </c>
      <c r="E95" s="91" t="s">
        <v>80</v>
      </c>
      <c r="F95" s="112" t="s">
        <v>81</v>
      </c>
      <c r="G95" s="112" t="s">
        <v>82</v>
      </c>
    </row>
    <row r="96" spans="1:10" ht="24" customHeight="1" outlineLevel="1" x14ac:dyDescent="0.2">
      <c r="A96" s="91"/>
      <c r="B96" s="91"/>
      <c r="C96" s="278" t="s">
        <v>94</v>
      </c>
      <c r="D96" s="280" t="s">
        <v>1479</v>
      </c>
      <c r="E96" s="91"/>
      <c r="F96" s="91"/>
      <c r="G96" s="91"/>
    </row>
    <row r="97" spans="1:7" ht="24" customHeight="1" outlineLevel="1" x14ac:dyDescent="0.2">
      <c r="A97" s="116">
        <v>45875</v>
      </c>
      <c r="B97" s="116" t="s">
        <v>1419</v>
      </c>
      <c r="C97" s="93" t="s">
        <v>94</v>
      </c>
      <c r="D97" s="116" t="s">
        <v>1421</v>
      </c>
      <c r="E97" s="109"/>
      <c r="F97" s="109" t="s">
        <v>109</v>
      </c>
      <c r="G97" s="109" t="s">
        <v>1420</v>
      </c>
    </row>
    <row r="98" spans="1:7" ht="24" customHeight="1" outlineLevel="1" x14ac:dyDescent="0.2">
      <c r="A98" s="116">
        <v>45870</v>
      </c>
      <c r="B98" s="116" t="s">
        <v>1470</v>
      </c>
      <c r="C98" s="93" t="s">
        <v>94</v>
      </c>
      <c r="D98" s="116" t="s">
        <v>1472</v>
      </c>
      <c r="E98" s="109"/>
      <c r="F98" s="109" t="s">
        <v>109</v>
      </c>
      <c r="G98" s="109" t="s">
        <v>1471</v>
      </c>
    </row>
    <row r="99" spans="1:7" ht="24" customHeight="1" outlineLevel="1" x14ac:dyDescent="0.2">
      <c r="A99" s="116">
        <v>45874</v>
      </c>
      <c r="B99" s="116" t="s">
        <v>1417</v>
      </c>
      <c r="C99" s="93" t="s">
        <v>94</v>
      </c>
      <c r="D99" s="116" t="s">
        <v>1418</v>
      </c>
      <c r="E99" s="109"/>
      <c r="F99" s="109" t="s">
        <v>109</v>
      </c>
      <c r="G99" s="109" t="s">
        <v>1416</v>
      </c>
    </row>
    <row r="100" spans="1:7" ht="24" customHeight="1" outlineLevel="1" x14ac:dyDescent="0.2">
      <c r="A100" s="116">
        <v>45876</v>
      </c>
      <c r="B100" s="116" t="s">
        <v>1297</v>
      </c>
      <c r="C100" s="93" t="s">
        <v>94</v>
      </c>
      <c r="D100" s="116" t="s">
        <v>1298</v>
      </c>
      <c r="E100" s="109"/>
      <c r="F100" s="109" t="s">
        <v>109</v>
      </c>
      <c r="G100" s="109" t="s">
        <v>1426</v>
      </c>
    </row>
    <row r="101" spans="1:7" ht="24" customHeight="1" outlineLevel="1" x14ac:dyDescent="0.2">
      <c r="A101" s="171">
        <v>45880</v>
      </c>
      <c r="B101" s="114" t="s">
        <v>1436</v>
      </c>
      <c r="C101" s="177" t="s">
        <v>94</v>
      </c>
      <c r="D101" s="114" t="s">
        <v>1435</v>
      </c>
      <c r="E101" s="288"/>
      <c r="F101" s="109" t="s">
        <v>109</v>
      </c>
      <c r="G101" s="173" t="s">
        <v>1434</v>
      </c>
    </row>
    <row r="102" spans="1:7" ht="24" customHeight="1" outlineLevel="1" x14ac:dyDescent="0.2">
      <c r="A102" s="171">
        <v>45880</v>
      </c>
      <c r="B102" s="295" t="s">
        <v>1437</v>
      </c>
      <c r="C102" s="177" t="s">
        <v>94</v>
      </c>
      <c r="D102" s="114" t="s">
        <v>937</v>
      </c>
      <c r="E102" s="294"/>
      <c r="F102" s="109" t="s">
        <v>109</v>
      </c>
      <c r="G102" s="294" t="s">
        <v>1438</v>
      </c>
    </row>
    <row r="103" spans="1:7" ht="24" customHeight="1" outlineLevel="1" x14ac:dyDescent="0.2">
      <c r="A103" s="116">
        <v>45882</v>
      </c>
      <c r="B103" s="116" t="s">
        <v>1473</v>
      </c>
      <c r="C103" s="177" t="s">
        <v>94</v>
      </c>
      <c r="D103" s="116" t="s">
        <v>1475</v>
      </c>
      <c r="E103" s="109"/>
      <c r="F103" s="109" t="s">
        <v>109</v>
      </c>
      <c r="G103" s="109" t="s">
        <v>1474</v>
      </c>
    </row>
    <row r="104" spans="1:7" ht="24" customHeight="1" outlineLevel="1" x14ac:dyDescent="0.2">
      <c r="A104" s="171">
        <v>45881</v>
      </c>
      <c r="B104" s="295" t="s">
        <v>1442</v>
      </c>
      <c r="C104" s="177" t="s">
        <v>94</v>
      </c>
      <c r="D104" s="114" t="s">
        <v>1444</v>
      </c>
      <c r="E104" s="294"/>
      <c r="F104" s="109" t="s">
        <v>109</v>
      </c>
      <c r="G104" s="55" t="s">
        <v>1443</v>
      </c>
    </row>
    <row r="105" spans="1:7" ht="24" customHeight="1" outlineLevel="1" x14ac:dyDescent="0.2">
      <c r="A105" s="116">
        <v>45881</v>
      </c>
      <c r="B105" s="116" t="s">
        <v>1476</v>
      </c>
      <c r="C105" s="177" t="s">
        <v>94</v>
      </c>
      <c r="D105" s="116" t="s">
        <v>1477</v>
      </c>
      <c r="E105" s="109"/>
      <c r="F105" s="109" t="s">
        <v>109</v>
      </c>
      <c r="G105" s="109" t="s">
        <v>1478</v>
      </c>
    </row>
    <row r="107" spans="1:7" s="17" customFormat="1" outlineLevel="1" x14ac:dyDescent="0.2">
      <c r="A107" s="2"/>
      <c r="B107" s="2"/>
      <c r="C107" s="2"/>
      <c r="D107" s="2"/>
      <c r="E107" s="2"/>
      <c r="F107" s="2"/>
      <c r="G107" s="2"/>
    </row>
    <row r="108" spans="1:7" ht="60" customHeight="1" outlineLevel="1" x14ac:dyDescent="0.25">
      <c r="A108" s="1" t="s">
        <v>84</v>
      </c>
    </row>
    <row r="109" spans="1:7" ht="12.6" customHeight="1" outlineLevel="1" x14ac:dyDescent="0.25">
      <c r="A109" s="386" t="s">
        <v>85</v>
      </c>
      <c r="B109" s="386"/>
      <c r="C109" s="386"/>
      <c r="D109" s="386"/>
    </row>
    <row r="110" spans="1:7" ht="33" customHeight="1" outlineLevel="1" x14ac:dyDescent="0.2">
      <c r="A110" s="120" t="s">
        <v>81</v>
      </c>
      <c r="B110" s="120" t="s">
        <v>86</v>
      </c>
      <c r="C110" s="120" t="s">
        <v>87</v>
      </c>
      <c r="D110" s="120" t="s">
        <v>88</v>
      </c>
      <c r="E110" s="120" t="s">
        <v>89</v>
      </c>
      <c r="F110" s="120" t="s">
        <v>4</v>
      </c>
      <c r="G110" s="120" t="s">
        <v>90</v>
      </c>
    </row>
    <row r="111" spans="1:7" ht="140.25" x14ac:dyDescent="0.2">
      <c r="A111" s="94"/>
      <c r="B111" s="94" t="s">
        <v>1481</v>
      </c>
      <c r="C111" s="238" t="s">
        <v>761</v>
      </c>
      <c r="D111" s="219" t="s">
        <v>1512</v>
      </c>
      <c r="E111" s="132" t="s">
        <v>1279</v>
      </c>
      <c r="F111" s="74" t="s">
        <v>94</v>
      </c>
      <c r="G111" s="72">
        <v>0</v>
      </c>
    </row>
    <row r="112" spans="1:7" ht="150.75" customHeight="1" x14ac:dyDescent="0.2">
      <c r="A112" s="94"/>
      <c r="B112" s="219" t="s">
        <v>1275</v>
      </c>
      <c r="C112" s="238" t="s">
        <v>761</v>
      </c>
      <c r="D112" s="225" t="s">
        <v>1504</v>
      </c>
      <c r="E112" s="132" t="s">
        <v>1278</v>
      </c>
      <c r="F112" s="74" t="s">
        <v>94</v>
      </c>
      <c r="G112" s="72">
        <v>0</v>
      </c>
    </row>
    <row r="113" spans="1:15" ht="80.25" customHeight="1" x14ac:dyDescent="0.2">
      <c r="A113" s="130"/>
      <c r="B113" s="148" t="s">
        <v>1482</v>
      </c>
      <c r="C113" s="238" t="s">
        <v>1280</v>
      </c>
      <c r="D113" s="96" t="s">
        <v>1483</v>
      </c>
      <c r="E113" s="132" t="s">
        <v>1166</v>
      </c>
      <c r="F113" s="74" t="s">
        <v>94</v>
      </c>
      <c r="G113" s="72">
        <v>675</v>
      </c>
    </row>
    <row r="114" spans="1:15" ht="89.25" x14ac:dyDescent="0.2">
      <c r="A114" s="130"/>
      <c r="B114" s="148" t="s">
        <v>1480</v>
      </c>
      <c r="C114" s="238" t="s">
        <v>1280</v>
      </c>
      <c r="D114" s="173" t="s">
        <v>1484</v>
      </c>
      <c r="E114" s="132">
        <v>5000</v>
      </c>
      <c r="F114" s="74" t="s">
        <v>94</v>
      </c>
      <c r="G114" s="72">
        <v>1250</v>
      </c>
    </row>
    <row r="115" spans="1:15" s="124" customFormat="1" ht="12.75" customHeight="1" outlineLevel="1" x14ac:dyDescent="0.2">
      <c r="A115" s="2"/>
      <c r="B115" s="122"/>
      <c r="C115" s="123"/>
      <c r="D115" s="2"/>
      <c r="E115" s="2"/>
      <c r="F115" s="122"/>
      <c r="G115" s="2"/>
      <c r="H115" s="2"/>
      <c r="I115" s="2"/>
      <c r="J115" s="2"/>
      <c r="K115" s="2"/>
      <c r="L115" s="2"/>
      <c r="M115" s="2"/>
      <c r="N115" s="2"/>
      <c r="O115" s="2"/>
    </row>
    <row r="116" spans="1:15" ht="60" customHeight="1" outlineLevel="1" x14ac:dyDescent="0.2">
      <c r="A116" s="122"/>
      <c r="B116" s="122"/>
      <c r="C116" s="123"/>
      <c r="F116" s="122"/>
    </row>
    <row r="117" spans="1:15" ht="60" customHeight="1" outlineLevel="1" x14ac:dyDescent="0.25">
      <c r="A117" s="386" t="s">
        <v>92</v>
      </c>
      <c r="B117" s="386"/>
      <c r="C117" s="386"/>
      <c r="D117" s="386"/>
    </row>
    <row r="118" spans="1:15" x14ac:dyDescent="0.2">
      <c r="A118" s="120" t="s">
        <v>81</v>
      </c>
      <c r="B118" s="120" t="s">
        <v>86</v>
      </c>
      <c r="C118" s="120" t="s">
        <v>87</v>
      </c>
      <c r="D118" s="120" t="s">
        <v>88</v>
      </c>
      <c r="E118" s="120" t="s">
        <v>89</v>
      </c>
      <c r="F118" s="120" t="s">
        <v>4</v>
      </c>
      <c r="G118" s="120" t="s">
        <v>90</v>
      </c>
    </row>
    <row r="119" spans="1:15" ht="76.5" x14ac:dyDescent="0.2">
      <c r="A119" s="230" t="s">
        <v>109</v>
      </c>
      <c r="B119" s="132" t="s">
        <v>1505</v>
      </c>
      <c r="C119" s="292"/>
      <c r="D119" s="292"/>
      <c r="E119" s="94">
        <v>2500</v>
      </c>
      <c r="F119" s="74" t="s">
        <v>94</v>
      </c>
      <c r="G119" s="292"/>
    </row>
    <row r="120" spans="1:15" ht="140.25" x14ac:dyDescent="0.2">
      <c r="A120" s="230" t="s">
        <v>109</v>
      </c>
      <c r="B120" s="219" t="s">
        <v>1508</v>
      </c>
      <c r="C120" s="292"/>
      <c r="D120" s="292"/>
      <c r="E120" s="94">
        <v>7000</v>
      </c>
      <c r="F120" s="74" t="s">
        <v>94</v>
      </c>
      <c r="G120" s="292"/>
    </row>
    <row r="121" spans="1:15" ht="76.5" x14ac:dyDescent="0.25">
      <c r="A121" s="230" t="s">
        <v>109</v>
      </c>
      <c r="B121" s="148" t="s">
        <v>1506</v>
      </c>
      <c r="C121" s="125"/>
      <c r="D121"/>
      <c r="E121" s="72">
        <v>3000</v>
      </c>
      <c r="F121" s="74" t="s">
        <v>94</v>
      </c>
      <c r="G121" s="9"/>
    </row>
    <row r="122" spans="1:15" ht="89.25" x14ac:dyDescent="0.25">
      <c r="A122" s="230" t="s">
        <v>109</v>
      </c>
      <c r="B122" s="293" t="s">
        <v>1507</v>
      </c>
      <c r="C122" s="125"/>
      <c r="D122"/>
      <c r="E122" s="72">
        <v>7500</v>
      </c>
      <c r="F122" s="74" t="s">
        <v>94</v>
      </c>
      <c r="G122" s="126"/>
    </row>
  </sheetData>
  <mergeCells count="14">
    <mergeCell ref="A109:D109"/>
    <mergeCell ref="A117:D117"/>
    <mergeCell ref="A51:D51"/>
    <mergeCell ref="A58:D58"/>
    <mergeCell ref="A67:D67"/>
    <mergeCell ref="A78:D78"/>
    <mergeCell ref="A89:D89"/>
    <mergeCell ref="A94:D94"/>
    <mergeCell ref="A44:D44"/>
    <mergeCell ref="A5:D5"/>
    <mergeCell ref="A10:D10"/>
    <mergeCell ref="A15:D15"/>
    <mergeCell ref="A20:D20"/>
    <mergeCell ref="A38:D38"/>
  </mergeCells>
  <conditionalFormatting sqref="G111:G114">
    <cfRule type="cellIs" dxfId="408" priority="21" operator="equal">
      <formula>"ДА"</formula>
    </cfRule>
    <cfRule type="cellIs" dxfId="407" priority="22" operator="equal">
      <formula>"НЕТ"</formula>
    </cfRule>
    <cfRule type="cellIs" dxfId="406" priority="23" operator="equal">
      <formula>"Нет"</formula>
    </cfRule>
    <cfRule type="cellIs" dxfId="405" priority="24" operator="equal">
      <formula>"нет"</formula>
    </cfRule>
    <cfRule type="cellIs" dxfId="404" priority="25" operator="equal">
      <formula>"ДА"</formula>
    </cfRule>
    <cfRule type="containsText" dxfId="403" priority="26" operator="containsText" text="Да">
      <formula>NOT(ISERROR(SEARCH("Да",G111)))</formula>
    </cfRule>
  </conditionalFormatting>
  <conditionalFormatting sqref="E7 E12">
    <cfRule type="cellIs" dxfId="402" priority="45" operator="lessThan">
      <formula>0</formula>
    </cfRule>
    <cfRule type="cellIs" dxfId="401" priority="46" operator="greaterThan">
      <formula>0</formula>
    </cfRule>
  </conditionalFormatting>
  <conditionalFormatting sqref="D7 D12 E17">
    <cfRule type="cellIs" dxfId="400" priority="43" operator="lessThan">
      <formula>0</formula>
    </cfRule>
    <cfRule type="cellIs" dxfId="399" priority="44" operator="greaterThan">
      <formula>0</formula>
    </cfRule>
  </conditionalFormatting>
  <conditionalFormatting sqref="H60">
    <cfRule type="cellIs" dxfId="398" priority="41" operator="lessThan">
      <formula>1</formula>
    </cfRule>
    <cfRule type="cellIs" dxfId="397" priority="42" operator="greaterThan">
      <formula>1</formula>
    </cfRule>
  </conditionalFormatting>
  <conditionalFormatting sqref="H63">
    <cfRule type="cellIs" dxfId="396" priority="39" operator="lessThan">
      <formula>1</formula>
    </cfRule>
    <cfRule type="cellIs" dxfId="395" priority="40" operator="greaterThan">
      <formula>1</formula>
    </cfRule>
  </conditionalFormatting>
  <conditionalFormatting sqref="C111:C114">
    <cfRule type="cellIs" dxfId="394" priority="15" operator="equal">
      <formula>"ДА"</formula>
    </cfRule>
    <cfRule type="cellIs" dxfId="393" priority="16" operator="equal">
      <formula>"НЕТ"</formula>
    </cfRule>
    <cfRule type="cellIs" dxfId="392" priority="17" operator="equal">
      <formula>"Нет"</formula>
    </cfRule>
    <cfRule type="cellIs" dxfId="391" priority="18" operator="equal">
      <formula>"нет"</formula>
    </cfRule>
    <cfRule type="cellIs" dxfId="390" priority="19" operator="equal">
      <formula>"ДА"</formula>
    </cfRule>
    <cfRule type="containsText" dxfId="389" priority="20" operator="containsText" text="Да">
      <formula>NOT(ISERROR(SEARCH("Да",C111)))</formula>
    </cfRule>
  </conditionalFormatting>
  <conditionalFormatting sqref="G122">
    <cfRule type="cellIs" dxfId="388" priority="7" operator="equal">
      <formula>"ДА"</formula>
    </cfRule>
    <cfRule type="cellIs" dxfId="387" priority="8" operator="equal">
      <formula>"НЕТ"</formula>
    </cfRule>
    <cfRule type="cellIs" dxfId="386" priority="9" operator="equal">
      <formula>"Нет"</formula>
    </cfRule>
    <cfRule type="cellIs" dxfId="385" priority="10" operator="equal">
      <formula>"нет"</formula>
    </cfRule>
    <cfRule type="cellIs" dxfId="384" priority="11" operator="equal">
      <formula>"ДА"</formula>
    </cfRule>
    <cfRule type="containsText" dxfId="383" priority="12" operator="containsText" text="Да">
      <formula>NOT(ISERROR(SEARCH("Да",G122)))</formula>
    </cfRule>
  </conditionalFormatting>
  <conditionalFormatting sqref="G121">
    <cfRule type="cellIs" dxfId="382" priority="1" operator="equal">
      <formula>"ДА"</formula>
    </cfRule>
    <cfRule type="cellIs" dxfId="381" priority="2" operator="equal">
      <formula>"НЕТ"</formula>
    </cfRule>
    <cfRule type="cellIs" dxfId="380" priority="3" operator="equal">
      <formula>"Нет"</formula>
    </cfRule>
    <cfRule type="cellIs" dxfId="379" priority="4" operator="equal">
      <formula>"нет"</formula>
    </cfRule>
    <cfRule type="cellIs" dxfId="378" priority="5" operator="equal">
      <formula>"ДА"</formula>
    </cfRule>
    <cfRule type="containsText" dxfId="377" priority="6" operator="containsText" text="Да">
      <formula>NOT(ISERROR(SEARCH("Да",G121)))</formula>
    </cfRule>
  </conditionalFormatting>
  <pageMargins left="0.7" right="0.7" top="0.75" bottom="0.75" header="0.3" footer="0.3"/>
  <pageSetup paperSize="9" orientation="portrait" r:id="rId1"/>
  <legacy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0D411-D813-4F21-BE58-8714DD81F2A9}">
  <dimension ref="A1:O174"/>
  <sheetViews>
    <sheetView zoomScale="85" zoomScaleNormal="85" workbookViewId="0">
      <selection activeCell="D35" sqref="D35"/>
    </sheetView>
  </sheetViews>
  <sheetFormatPr defaultColWidth="9.140625" defaultRowHeight="12.75" outlineLevelRow="1" x14ac:dyDescent="0.2"/>
  <cols>
    <col min="1" max="1" width="30.28515625" style="2" customWidth="1"/>
    <col min="2" max="2" width="35.7109375" style="2" customWidth="1"/>
    <col min="3" max="3" width="31.5703125" style="2" bestFit="1" customWidth="1"/>
    <col min="4" max="4" width="68" style="2" customWidth="1"/>
    <col min="5" max="5" width="34.85546875" style="2" customWidth="1"/>
    <col min="6" max="6" width="27.140625" style="2" customWidth="1"/>
    <col min="7" max="7" width="27.42578125" style="2" customWidth="1"/>
    <col min="8" max="8" width="36" style="2" customWidth="1"/>
    <col min="9" max="16384" width="9.140625" style="2"/>
  </cols>
  <sheetData>
    <row r="1" spans="1:7" ht="24.75" customHeight="1" x14ac:dyDescent="0.25">
      <c r="A1" s="134" t="s">
        <v>94</v>
      </c>
    </row>
    <row r="2" spans="1:7" ht="15.75" x14ac:dyDescent="0.25">
      <c r="A2" s="134" t="s">
        <v>1682</v>
      </c>
    </row>
    <row r="3" spans="1:7" x14ac:dyDescent="0.2">
      <c r="A3" s="3"/>
    </row>
    <row r="4" spans="1:7" ht="15.75" x14ac:dyDescent="0.25">
      <c r="A4" s="1" t="s">
        <v>0</v>
      </c>
      <c r="B4" s="2" t="s">
        <v>1</v>
      </c>
      <c r="C4" s="2" t="s">
        <v>2</v>
      </c>
    </row>
    <row r="5" spans="1:7" ht="15" x14ac:dyDescent="0.25">
      <c r="A5" s="386" t="s">
        <v>3</v>
      </c>
      <c r="B5" s="386"/>
      <c r="C5" s="386"/>
      <c r="D5" s="386"/>
      <c r="F5" s="4"/>
    </row>
    <row r="6" spans="1:7" s="6" customFormat="1" outlineLevel="1" x14ac:dyDescent="0.2">
      <c r="A6" s="5" t="s">
        <v>4</v>
      </c>
      <c r="B6" s="5" t="s">
        <v>5</v>
      </c>
      <c r="C6" s="5" t="s">
        <v>6</v>
      </c>
      <c r="D6" s="5" t="s">
        <v>7</v>
      </c>
      <c r="E6" s="5" t="s">
        <v>8</v>
      </c>
      <c r="F6" s="5" t="s">
        <v>10</v>
      </c>
      <c r="G6" s="186"/>
    </row>
    <row r="7" spans="1:7" outlineLevel="1" x14ac:dyDescent="0.2">
      <c r="A7" s="7" t="s">
        <v>94</v>
      </c>
      <c r="B7" s="8">
        <f>C27</f>
        <v>270000</v>
      </c>
      <c r="C7" s="9">
        <f>B27</f>
        <v>126413.71</v>
      </c>
      <c r="D7" s="10">
        <f>Таблица11029163037445158657223303744515865727986931009223548627690104107127139151163183152947637995111127143159175183450668298114130146545561577589605619635651667683700717163247627792107122137152[Факт, руб.]/Таблица11029163037445158657223303744515865727986931009223548627690104107127139151163183152947637995111127143159175183450668298114130146545561577589605619635651667683700717163247627792107122137152[План, руб.]-100%</f>
        <v>-0.53180107407407406</v>
      </c>
      <c r="E7" s="11">
        <f>Таблица11029163037445158657223303744515865727986931009223548627690104107127139151163183152947637995111127143159175183450668298114130146545561577589605619635651667683700717163247627792107122137152[Факт, руб.]-Таблица11029163037445158657223303744515865727986931009223548627690104107127139151163183152947637995111127143159175183450668298114130146545561577589605619635651667683700717163247627792107122137152[План, руб.]</f>
        <v>-143586.28999999998</v>
      </c>
      <c r="F7" s="9">
        <f>B26</f>
        <v>51147.62</v>
      </c>
      <c r="G7" s="185"/>
    </row>
    <row r="8" spans="1:7" x14ac:dyDescent="0.2">
      <c r="A8" s="12"/>
      <c r="B8" s="13"/>
      <c r="C8" s="13"/>
      <c r="D8" s="14"/>
      <c r="F8" s="15"/>
      <c r="G8" s="16"/>
    </row>
    <row r="9" spans="1:7" ht="15" customHeight="1" x14ac:dyDescent="0.2">
      <c r="A9" s="12"/>
      <c r="B9" s="13"/>
      <c r="C9" s="13"/>
      <c r="D9" s="14"/>
      <c r="F9" s="17"/>
    </row>
    <row r="10" spans="1:7" ht="15" x14ac:dyDescent="0.25">
      <c r="A10" s="386" t="s">
        <v>11</v>
      </c>
      <c r="B10" s="386"/>
      <c r="C10" s="386"/>
      <c r="D10" s="386"/>
      <c r="F10" s="17"/>
    </row>
    <row r="11" spans="1:7" s="6" customFormat="1" outlineLevel="1" x14ac:dyDescent="0.2">
      <c r="A11" s="18" t="s">
        <v>4</v>
      </c>
      <c r="B11" s="19" t="s">
        <v>12</v>
      </c>
      <c r="C11" s="19" t="s">
        <v>13</v>
      </c>
      <c r="D11" s="19" t="s">
        <v>7</v>
      </c>
      <c r="E11" s="19" t="s">
        <v>8</v>
      </c>
      <c r="F11" s="20"/>
    </row>
    <row r="12" spans="1:7" outlineLevel="1" x14ac:dyDescent="0.2">
      <c r="A12" s="7" t="s">
        <v>94</v>
      </c>
      <c r="B12" s="8">
        <f>SUM(C22:C27)</f>
        <v>1310000</v>
      </c>
      <c r="C12" s="8">
        <f>B34</f>
        <v>668436.92000000004</v>
      </c>
      <c r="D12" s="21">
        <f>C12/B12-100%</f>
        <v>-0.48974280916030533</v>
      </c>
      <c r="E12" s="8">
        <f>C12-B12</f>
        <v>-641563.07999999996</v>
      </c>
      <c r="F12" s="17"/>
      <c r="G12" s="22"/>
    </row>
    <row r="13" spans="1:7" x14ac:dyDescent="0.2">
      <c r="A13" s="12"/>
      <c r="B13" s="13"/>
      <c r="C13" s="13"/>
      <c r="D13" s="14"/>
      <c r="F13" s="17"/>
    </row>
    <row r="14" spans="1:7" x14ac:dyDescent="0.2">
      <c r="A14" s="13"/>
      <c r="B14" s="13"/>
      <c r="C14" s="13"/>
      <c r="D14" s="14"/>
      <c r="F14" s="17"/>
      <c r="G14" s="22"/>
    </row>
    <row r="15" spans="1:7" ht="15" x14ac:dyDescent="0.25">
      <c r="A15" s="386" t="s">
        <v>393</v>
      </c>
      <c r="B15" s="386"/>
      <c r="C15" s="386"/>
      <c r="D15" s="386"/>
      <c r="F15" s="17"/>
    </row>
    <row r="16" spans="1:7" s="6" customFormat="1" outlineLevel="1" x14ac:dyDescent="0.2">
      <c r="A16" s="5" t="s">
        <v>4</v>
      </c>
      <c r="B16" s="5" t="s">
        <v>16</v>
      </c>
      <c r="C16" s="5" t="s">
        <v>93</v>
      </c>
      <c r="D16" s="5" t="s">
        <v>1037</v>
      </c>
      <c r="E16" s="5" t="s">
        <v>17</v>
      </c>
      <c r="F16" s="23"/>
    </row>
    <row r="17" spans="1:5" outlineLevel="1" x14ac:dyDescent="0.2">
      <c r="A17" s="7" t="s">
        <v>94</v>
      </c>
      <c r="B17" s="8">
        <v>0</v>
      </c>
      <c r="C17" s="24">
        <v>0</v>
      </c>
      <c r="D17" s="24">
        <f>B34</f>
        <v>668436.92000000004</v>
      </c>
      <c r="E17" s="21" t="e">
        <f>Таблица211301731384552596673243138455259667380879410110233649637791105109128140152164184163248648096112128144160176193551678399115131147546562578590606620636652668684701718173348637893108123138153[Профит ФГ 25-26]/Таблица211301731384552596673243138455259667380879410110233649637791105109128140152164184163248648096112128144160176193551678399115131147546562578590606620636652668684701718173348637893108123138153[Профит ФГ 24-25]</f>
        <v>#DIV/0!</v>
      </c>
    </row>
    <row r="20" spans="1:5" ht="15" x14ac:dyDescent="0.25">
      <c r="A20" s="386" t="s">
        <v>18</v>
      </c>
      <c r="B20" s="386"/>
      <c r="C20" s="386"/>
      <c r="D20" s="386"/>
    </row>
    <row r="21" spans="1:5" outlineLevel="1" x14ac:dyDescent="0.2">
      <c r="A21" s="25" t="s">
        <v>19</v>
      </c>
      <c r="B21" s="26" t="s">
        <v>20</v>
      </c>
      <c r="C21" s="26" t="s">
        <v>21</v>
      </c>
      <c r="D21" s="25" t="s">
        <v>22</v>
      </c>
    </row>
    <row r="22" spans="1:5" outlineLevel="1" x14ac:dyDescent="0.2">
      <c r="A22" s="30" t="s">
        <v>23</v>
      </c>
      <c r="B22" s="31">
        <v>255961.25</v>
      </c>
      <c r="C22" s="31">
        <v>170000</v>
      </c>
      <c r="D22" s="32">
        <f>Таблица4936997167333146617691106121136151166[[#This Row],[Профит]]/Таблица4936997167333146617691106121136151166[[#This Row],[План]]</f>
        <v>1.5056544117647059</v>
      </c>
    </row>
    <row r="23" spans="1:5" outlineLevel="1" x14ac:dyDescent="0.2">
      <c r="A23" s="30" t="s">
        <v>25</v>
      </c>
      <c r="B23" s="135">
        <v>85933.41</v>
      </c>
      <c r="C23" s="31">
        <v>190000</v>
      </c>
      <c r="D23" s="32">
        <f>Таблица4936997167333146617691106121136151166[[#This Row],[Профит]]/Таблица4936997167333146617691106121136151166[[#This Row],[План]]</f>
        <v>0.4522811052631579</v>
      </c>
    </row>
    <row r="24" spans="1:5" outlineLevel="1" x14ac:dyDescent="0.2">
      <c r="A24" s="30" t="s">
        <v>26</v>
      </c>
      <c r="B24" s="135">
        <v>60194.18</v>
      </c>
      <c r="C24" s="31">
        <v>210000</v>
      </c>
      <c r="D24" s="32">
        <f>Таблица4936997167333146617691106121136151166[[#This Row],[Профит]]/Таблица4936997167333146617691106121136151166[[#This Row],[План]]</f>
        <v>0.28663895238095238</v>
      </c>
    </row>
    <row r="25" spans="1:5" outlineLevel="1" x14ac:dyDescent="0.2">
      <c r="A25" s="30" t="s">
        <v>27</v>
      </c>
      <c r="B25" s="135">
        <v>88786.75</v>
      </c>
      <c r="C25" s="31">
        <v>220000</v>
      </c>
      <c r="D25" s="32">
        <f>Таблица4936997167333146617691106121136151166[[#This Row],[Профит]]/Таблица4936997167333146617691106121136151166[[#This Row],[План]]</f>
        <v>0.40357613636363637</v>
      </c>
    </row>
    <row r="26" spans="1:5" outlineLevel="1" x14ac:dyDescent="0.2">
      <c r="A26" s="30" t="s">
        <v>28</v>
      </c>
      <c r="B26" s="135">
        <v>51147.62</v>
      </c>
      <c r="C26" s="31">
        <v>250000</v>
      </c>
      <c r="D26" s="32">
        <f>Таблица4936997167333146617691106121136151166[[#This Row],[Профит]]/Таблица4936997167333146617691106121136151166[[#This Row],[План]]</f>
        <v>0.20459048000000002</v>
      </c>
    </row>
    <row r="27" spans="1:5" outlineLevel="1" x14ac:dyDescent="0.2">
      <c r="A27" s="30" t="s">
        <v>29</v>
      </c>
      <c r="B27" s="135">
        <v>126413.71</v>
      </c>
      <c r="C27" s="31">
        <v>270000</v>
      </c>
      <c r="D27" s="32">
        <f>Таблица4936997167333146617691106121136151166[[#This Row],[Профит]]/Таблица4936997167333146617691106121136151166[[#This Row],[План]]</f>
        <v>0.46819892592592594</v>
      </c>
    </row>
    <row r="28" spans="1:5" outlineLevel="1" x14ac:dyDescent="0.2">
      <c r="A28" s="30" t="s">
        <v>30</v>
      </c>
      <c r="B28" s="31">
        <v>0</v>
      </c>
      <c r="C28" s="31">
        <v>270000</v>
      </c>
      <c r="D28" s="32">
        <f>Таблица4936997167333146617691106121136151166[[#This Row],[Профит]]/Таблица4936997167333146617691106121136151166[[#This Row],[План]]</f>
        <v>0</v>
      </c>
    </row>
    <row r="29" spans="1:5" outlineLevel="1" x14ac:dyDescent="0.2">
      <c r="A29" s="30" t="s">
        <v>31</v>
      </c>
      <c r="B29" s="31">
        <v>0</v>
      </c>
      <c r="C29" s="31">
        <v>330000</v>
      </c>
      <c r="D29" s="32">
        <f>Таблица4936997167333146617691106121136151166[[#This Row],[Профит]]/Таблица4936997167333146617691106121136151166[[#This Row],[План]]</f>
        <v>0</v>
      </c>
    </row>
    <row r="30" spans="1:5" outlineLevel="1" x14ac:dyDescent="0.2">
      <c r="A30" s="30" t="s">
        <v>32</v>
      </c>
      <c r="B30" s="34">
        <v>0</v>
      </c>
      <c r="C30" s="34">
        <v>390000</v>
      </c>
      <c r="D30" s="32">
        <f>Таблица4936997167333146617691106121136151166[[#This Row],[Профит]]/Таблица4936997167333146617691106121136151166[[#This Row],[План]]</f>
        <v>0</v>
      </c>
    </row>
    <row r="31" spans="1:5" outlineLevel="1" x14ac:dyDescent="0.2">
      <c r="A31" s="30" t="s">
        <v>33</v>
      </c>
      <c r="B31" s="34">
        <v>0</v>
      </c>
      <c r="C31" s="34">
        <v>300000</v>
      </c>
      <c r="D31" s="32">
        <f>Таблица4936997167333146617691106121136151166[[#This Row],[Профит]]/Таблица4936997167333146617691106121136151166[[#This Row],[План]]</f>
        <v>0</v>
      </c>
    </row>
    <row r="32" spans="1:5" outlineLevel="1" x14ac:dyDescent="0.2">
      <c r="A32" s="30" t="s">
        <v>34</v>
      </c>
      <c r="B32" s="34">
        <v>0</v>
      </c>
      <c r="C32" s="34">
        <v>330000</v>
      </c>
      <c r="D32" s="32">
        <f>Таблица4936997167333146617691106121136151166[[#This Row],[Профит]]/Таблица4936997167333146617691106121136151166[[#This Row],[План]]</f>
        <v>0</v>
      </c>
    </row>
    <row r="33" spans="1:8" outlineLevel="1" x14ac:dyDescent="0.2">
      <c r="A33" s="33" t="s">
        <v>35</v>
      </c>
      <c r="B33" s="34">
        <v>0</v>
      </c>
      <c r="C33" s="34">
        <v>360000</v>
      </c>
      <c r="D33" s="32">
        <f>Таблица4936997167333146617691106121136151166[[#This Row],[Профит]]/Таблица4936997167333146617691106121136151166[[#This Row],[План]]</f>
        <v>0</v>
      </c>
      <c r="H33" s="35"/>
    </row>
    <row r="34" spans="1:8" ht="15" outlineLevel="1" x14ac:dyDescent="0.25">
      <c r="A34" s="36" t="s">
        <v>36</v>
      </c>
      <c r="B34" s="37">
        <f>SUM(B22:B33)</f>
        <v>668436.92000000004</v>
      </c>
      <c r="C34" s="38">
        <f>SUM(C22:C33)</f>
        <v>3290000</v>
      </c>
      <c r="D34" s="39"/>
    </row>
    <row r="35" spans="1:8" outlineLevel="1" x14ac:dyDescent="0.2">
      <c r="A35" s="41" t="s">
        <v>37</v>
      </c>
      <c r="B35" s="42">
        <f>AVERAGE(B22:B27)</f>
        <v>111406.15333333334</v>
      </c>
      <c r="C35" s="42">
        <f>AVERAGE(C22:C33)</f>
        <v>274166.66666666669</v>
      </c>
      <c r="D35" s="43">
        <f>B35/C35</f>
        <v>0.40634463221884498</v>
      </c>
    </row>
    <row r="38" spans="1:8" ht="15" x14ac:dyDescent="0.25">
      <c r="A38" s="386" t="s">
        <v>38</v>
      </c>
      <c r="B38" s="386"/>
      <c r="C38" s="386"/>
      <c r="D38" s="386"/>
    </row>
    <row r="39" spans="1:8" s="45" customFormat="1" outlineLevel="1" x14ac:dyDescent="0.2">
      <c r="A39" s="44" t="s">
        <v>39</v>
      </c>
      <c r="B39" s="44" t="s">
        <v>40</v>
      </c>
      <c r="C39" s="44" t="s">
        <v>41</v>
      </c>
      <c r="D39" s="44" t="s">
        <v>42</v>
      </c>
      <c r="E39" s="44" t="s">
        <v>43</v>
      </c>
      <c r="F39" s="2"/>
    </row>
    <row r="40" spans="1:8" outlineLevel="1" x14ac:dyDescent="0.2">
      <c r="A40" s="8">
        <f>B27</f>
        <v>126413.71</v>
      </c>
      <c r="B40" s="46">
        <f>50000</f>
        <v>50000</v>
      </c>
      <c r="C40" s="136">
        <f>A40*0.065*1</f>
        <v>8216.8911500000013</v>
      </c>
      <c r="D40" s="47">
        <f>SUM(G164:G168)</f>
        <v>10407</v>
      </c>
      <c r="E40" s="48">
        <v>0</v>
      </c>
    </row>
    <row r="41" spans="1:8" outlineLevel="1" x14ac:dyDescent="0.2">
      <c r="A41" s="49" t="s">
        <v>44</v>
      </c>
      <c r="B41" s="137">
        <f>Таблица294459759110712313915517118730466278941101261421585565725886026166306466626786947117282843587388103118133148163[Оклад]+Таблица294459759110712313915517118730466278941101261421585565725886026166306466626786947117282843587388103118133148163[Премия]+Таблица294459759110712313915517118730466278941101261421585565725886026166306466626786947117282843587388103118133148163[Штрафы]+Таблица294459759110712313915517118730466278941101261421585565725886026166306466626786947117282843587388103118133148163[Доплата за Задачи]</f>
        <v>68623.89115000001</v>
      </c>
      <c r="C41" s="50"/>
    </row>
    <row r="42" spans="1:8" x14ac:dyDescent="0.2">
      <c r="A42" s="40"/>
      <c r="B42" s="40"/>
    </row>
    <row r="43" spans="1:8" x14ac:dyDescent="0.2">
      <c r="A43" s="51"/>
      <c r="B43" s="51"/>
      <c r="C43" s="51"/>
      <c r="D43" s="52"/>
      <c r="E43" s="53"/>
      <c r="F43" s="53"/>
      <c r="H43" s="22"/>
    </row>
    <row r="44" spans="1:8" ht="15" x14ac:dyDescent="0.25">
      <c r="A44" s="386" t="s">
        <v>45</v>
      </c>
      <c r="B44" s="386"/>
      <c r="C44" s="386"/>
      <c r="D44" s="386"/>
      <c r="E44" s="53"/>
      <c r="F44" s="53"/>
      <c r="H44" s="22"/>
    </row>
    <row r="45" spans="1:8" outlineLevel="1" x14ac:dyDescent="0.2">
      <c r="A45" s="5" t="s">
        <v>46</v>
      </c>
      <c r="B45" s="5" t="s">
        <v>47</v>
      </c>
      <c r="C45" s="5" t="s">
        <v>48</v>
      </c>
      <c r="D45" s="54" t="s">
        <v>49</v>
      </c>
      <c r="G45" s="40"/>
    </row>
    <row r="46" spans="1:8" ht="24.95" customHeight="1" outlineLevel="1" x14ac:dyDescent="0.2">
      <c r="A46" s="55" t="s">
        <v>24</v>
      </c>
      <c r="B46" s="60"/>
      <c r="C46" s="60"/>
      <c r="D46" s="61">
        <v>0</v>
      </c>
      <c r="G46" s="62"/>
      <c r="H46" s="6"/>
    </row>
    <row r="47" spans="1:8" outlineLevel="1" x14ac:dyDescent="0.2">
      <c r="A47" s="63"/>
      <c r="B47" s="64" t="s">
        <v>50</v>
      </c>
      <c r="C47" s="65">
        <f>SUM(Таблица546243318323946536067742532394653606774818895102112437506478921061101291411531651851733496581971131291451611772036526884100116132148547563579593607621637653669685702719193449647994109124139154[Общая сумма долга])</f>
        <v>0</v>
      </c>
      <c r="D47" s="66">
        <v>0</v>
      </c>
      <c r="E47" s="67" t="s">
        <v>51</v>
      </c>
      <c r="F47" s="51"/>
      <c r="G47" s="51"/>
      <c r="H47" s="51"/>
    </row>
    <row r="48" spans="1:8" outlineLevel="1" x14ac:dyDescent="0.2">
      <c r="A48" s="63"/>
      <c r="B48" s="64"/>
      <c r="C48" s="65"/>
      <c r="D48" s="51"/>
      <c r="E48" s="51"/>
      <c r="F48" s="51"/>
      <c r="G48" s="51"/>
      <c r="H48" s="51"/>
    </row>
    <row r="49" spans="1:8" x14ac:dyDescent="0.2">
      <c r="A49" s="63"/>
      <c r="B49" s="51"/>
      <c r="C49" s="51"/>
      <c r="D49" s="52"/>
      <c r="E49" s="51"/>
      <c r="F49" s="53"/>
      <c r="G49" s="51"/>
      <c r="H49" s="68"/>
    </row>
    <row r="50" spans="1:8" x14ac:dyDescent="0.2">
      <c r="A50" s="63"/>
      <c r="B50" s="51"/>
      <c r="C50" s="51"/>
      <c r="D50" s="52"/>
      <c r="E50" s="51"/>
      <c r="F50" s="53"/>
      <c r="G50" s="51"/>
      <c r="H50" s="68"/>
    </row>
    <row r="51" spans="1:8" ht="15" x14ac:dyDescent="0.25">
      <c r="A51" s="387" t="s">
        <v>52</v>
      </c>
      <c r="B51" s="387"/>
      <c r="C51" s="387"/>
      <c r="D51" s="387"/>
      <c r="E51" s="53"/>
      <c r="F51" s="53"/>
      <c r="G51" s="51"/>
    </row>
    <row r="52" spans="1:8" s="6" customFormat="1" outlineLevel="1" x14ac:dyDescent="0.2">
      <c r="A52" s="18" t="s">
        <v>53</v>
      </c>
      <c r="B52" s="19" t="s">
        <v>54</v>
      </c>
      <c r="C52" s="19" t="s">
        <v>55</v>
      </c>
      <c r="D52" s="69" t="s">
        <v>56</v>
      </c>
      <c r="E52" s="69" t="s">
        <v>4</v>
      </c>
      <c r="F52" s="70" t="s">
        <v>57</v>
      </c>
      <c r="G52" s="277"/>
    </row>
    <row r="53" spans="1:8" s="6" customFormat="1" ht="26.25" customHeight="1" outlineLevel="1" x14ac:dyDescent="0.2">
      <c r="A53" s="173" t="s">
        <v>1154</v>
      </c>
      <c r="B53" s="246">
        <v>39833.33</v>
      </c>
      <c r="C53" s="131">
        <v>39833.33</v>
      </c>
      <c r="D53" s="249">
        <v>1</v>
      </c>
      <c r="E53" s="177" t="s">
        <v>94</v>
      </c>
      <c r="F53" s="250" t="s">
        <v>1155</v>
      </c>
    </row>
    <row r="54" spans="1:8" s="6" customFormat="1" ht="26.25" customHeight="1" outlineLevel="1" x14ac:dyDescent="0.2">
      <c r="A54" s="173" t="s">
        <v>1572</v>
      </c>
      <c r="B54" s="246">
        <v>88857</v>
      </c>
      <c r="C54" s="131">
        <v>28014.13</v>
      </c>
      <c r="D54" s="249">
        <v>0.46</v>
      </c>
      <c r="E54" s="177" t="s">
        <v>94</v>
      </c>
      <c r="F54" s="250" t="s">
        <v>282</v>
      </c>
    </row>
    <row r="55" spans="1:8" s="6" customFormat="1" ht="26.25" customHeight="1" outlineLevel="1" x14ac:dyDescent="0.2">
      <c r="A55" s="173" t="s">
        <v>1571</v>
      </c>
      <c r="B55" s="246">
        <v>74157</v>
      </c>
      <c r="C55" s="131">
        <v>27584.95</v>
      </c>
      <c r="D55" s="249">
        <v>0.59199999999999997</v>
      </c>
      <c r="E55" s="177" t="s">
        <v>94</v>
      </c>
      <c r="F55" s="250" t="s">
        <v>282</v>
      </c>
    </row>
    <row r="56" spans="1:8" s="6" customFormat="1" ht="26.25" customHeight="1" outlineLevel="1" x14ac:dyDescent="0.2">
      <c r="A56" s="173" t="s">
        <v>1575</v>
      </c>
      <c r="B56" s="246">
        <v>80000</v>
      </c>
      <c r="C56" s="131">
        <v>12000</v>
      </c>
      <c r="D56" s="249">
        <v>0.17599999999999999</v>
      </c>
      <c r="E56" s="177" t="s">
        <v>94</v>
      </c>
      <c r="F56" s="250" t="s">
        <v>184</v>
      </c>
    </row>
    <row r="57" spans="1:8" s="6" customFormat="1" ht="26.25" customHeight="1" outlineLevel="1" x14ac:dyDescent="0.2">
      <c r="A57" s="173" t="s">
        <v>104</v>
      </c>
      <c r="B57" s="246">
        <v>176065.94</v>
      </c>
      <c r="C57" s="131">
        <v>8848.2199999999993</v>
      </c>
      <c r="D57" s="249">
        <v>5.2999999999999999E-2</v>
      </c>
      <c r="E57" s="177" t="s">
        <v>94</v>
      </c>
      <c r="F57" s="250" t="s">
        <v>251</v>
      </c>
    </row>
    <row r="58" spans="1:8" s="6" customFormat="1" ht="26.25" customHeight="1" outlineLevel="1" x14ac:dyDescent="0.2">
      <c r="A58" s="173" t="s">
        <v>1599</v>
      </c>
      <c r="B58" s="246">
        <v>77064.75</v>
      </c>
      <c r="C58" s="131">
        <v>3669.75</v>
      </c>
      <c r="D58" s="249">
        <v>0.05</v>
      </c>
      <c r="E58" s="177" t="s">
        <v>94</v>
      </c>
      <c r="F58" s="250" t="s">
        <v>180</v>
      </c>
    </row>
    <row r="59" spans="1:8" s="6" customFormat="1" ht="24" customHeight="1" outlineLevel="1" x14ac:dyDescent="0.2">
      <c r="A59" s="173" t="s">
        <v>1573</v>
      </c>
      <c r="B59" s="246">
        <v>53800</v>
      </c>
      <c r="C59" s="131">
        <v>1908.78</v>
      </c>
      <c r="D59" s="249">
        <v>3.6999999999999998E-2</v>
      </c>
      <c r="E59" s="177" t="s">
        <v>94</v>
      </c>
      <c r="F59" s="250" t="s">
        <v>1666</v>
      </c>
    </row>
    <row r="60" spans="1:8" s="6" customFormat="1" ht="24" customHeight="1" outlineLevel="1" x14ac:dyDescent="0.2">
      <c r="A60" s="173" t="s">
        <v>1570</v>
      </c>
      <c r="B60" s="246">
        <v>33812</v>
      </c>
      <c r="C60" s="131">
        <v>1812</v>
      </c>
      <c r="D60" s="249">
        <v>5.7000000000000002E-2</v>
      </c>
      <c r="E60" s="177" t="s">
        <v>94</v>
      </c>
      <c r="F60" s="250" t="s">
        <v>1153</v>
      </c>
    </row>
    <row r="61" spans="1:8" s="6" customFormat="1" ht="24" customHeight="1" outlineLevel="1" x14ac:dyDescent="0.2">
      <c r="A61" s="173" t="s">
        <v>1574</v>
      </c>
      <c r="B61" s="131">
        <v>9900</v>
      </c>
      <c r="C61" s="131">
        <v>1396</v>
      </c>
      <c r="D61" s="251">
        <v>0.16400000000000001</v>
      </c>
      <c r="E61" s="177" t="s">
        <v>94</v>
      </c>
      <c r="F61" s="250" t="s">
        <v>1153</v>
      </c>
    </row>
    <row r="62" spans="1:8" s="6" customFormat="1" ht="24" customHeight="1" outlineLevel="1" x14ac:dyDescent="0.2">
      <c r="A62" s="173" t="s">
        <v>1154</v>
      </c>
      <c r="B62" s="246">
        <v>127554</v>
      </c>
      <c r="C62" s="131">
        <v>1346.55</v>
      </c>
      <c r="D62" s="249">
        <v>1.0999999999999999E-2</v>
      </c>
      <c r="E62" s="177" t="s">
        <v>94</v>
      </c>
      <c r="F62" s="250" t="s">
        <v>282</v>
      </c>
    </row>
    <row r="63" spans="1:8" x14ac:dyDescent="0.2">
      <c r="A63" s="51"/>
      <c r="B63" s="51"/>
      <c r="C63" s="51"/>
      <c r="D63" s="52"/>
      <c r="E63" s="51"/>
      <c r="F63" s="53"/>
      <c r="G63" s="51"/>
    </row>
    <row r="64" spans="1:8" ht="15" x14ac:dyDescent="0.25">
      <c r="A64" s="386" t="s">
        <v>58</v>
      </c>
      <c r="B64" s="386"/>
      <c r="C64" s="386"/>
      <c r="D64" s="386"/>
      <c r="E64" s="79"/>
      <c r="F64" s="79"/>
    </row>
    <row r="65" spans="1:10" ht="15" customHeight="1" outlineLevel="1" x14ac:dyDescent="0.2">
      <c r="A65" s="80">
        <v>45931</v>
      </c>
      <c r="B65" s="81" t="s">
        <v>21</v>
      </c>
      <c r="C65" s="81" t="s">
        <v>59</v>
      </c>
      <c r="D65" s="81" t="s">
        <v>60</v>
      </c>
      <c r="E65" s="81" t="s">
        <v>61</v>
      </c>
      <c r="F65" s="81" t="s">
        <v>62</v>
      </c>
      <c r="G65" s="81" t="s">
        <v>63</v>
      </c>
      <c r="H65" s="81" t="s">
        <v>64</v>
      </c>
    </row>
    <row r="66" spans="1:10" outlineLevel="1" x14ac:dyDescent="0.2">
      <c r="A66" s="82"/>
      <c r="B66" s="282">
        <v>270000</v>
      </c>
      <c r="C66" s="283">
        <v>0</v>
      </c>
      <c r="D66" s="282">
        <v>58000</v>
      </c>
      <c r="E66" s="282">
        <v>118000</v>
      </c>
      <c r="F66" s="282">
        <v>871000</v>
      </c>
      <c r="G66" s="282">
        <f>C66+D66+E66*0.5+F66*0.05</f>
        <v>160550</v>
      </c>
      <c r="H66" s="284">
        <f>Таблица9132738193340475461687582899682891101171241311381451521591661731801871945121926334047546168758289961031101171241311381451521591661741821902052131241361481601721922440627894110126142158174190334965819711312914516155957559160361763164766367969571164[[#This Row],[Столбец6]]/Таблица9132738193340475461687582899682891101171241311381451521591661731801871945121926334047546168758289961031101171241311381451521591661741821902052131241361481601721922440627894110126142158174190334965819711312914516155957559160361763164766367969571164[[#This Row],[Столбец1]]</f>
        <v>0.59462962962962962</v>
      </c>
    </row>
    <row r="67" spans="1:10" outlineLevel="1" x14ac:dyDescent="0.2">
      <c r="A67" s="40"/>
      <c r="B67" s="40"/>
      <c r="C67" s="40"/>
      <c r="D67" s="40"/>
      <c r="E67" s="40"/>
      <c r="F67" s="40"/>
      <c r="G67" s="40"/>
      <c r="H67" s="86"/>
    </row>
    <row r="68" spans="1:10" outlineLevel="1" x14ac:dyDescent="0.2">
      <c r="A68" s="80">
        <v>45962</v>
      </c>
      <c r="B68" s="81" t="s">
        <v>21</v>
      </c>
      <c r="C68" s="81" t="s">
        <v>59</v>
      </c>
      <c r="D68" s="81" t="s">
        <v>60</v>
      </c>
      <c r="E68" s="81" t="s">
        <v>61</v>
      </c>
      <c r="F68" s="81" t="s">
        <v>62</v>
      </c>
      <c r="G68" s="81" t="s">
        <v>63</v>
      </c>
      <c r="H68" s="81" t="s">
        <v>64</v>
      </c>
    </row>
    <row r="69" spans="1:10" ht="15" customHeight="1" outlineLevel="1" x14ac:dyDescent="0.2">
      <c r="A69" s="87"/>
      <c r="B69" s="282">
        <v>330000</v>
      </c>
      <c r="C69" s="283">
        <v>0</v>
      </c>
      <c r="D69" s="285">
        <v>0</v>
      </c>
      <c r="E69" s="283">
        <v>37000</v>
      </c>
      <c r="F69" s="286">
        <v>132000</v>
      </c>
      <c r="G69" s="282">
        <f>C69+D69+E69*0.5+F69*0.05</f>
        <v>25100</v>
      </c>
      <c r="H69" s="284">
        <f>Таблица9132738193340475461687582899682891101171241311381451521591661731801871945121926334047546168758289961031101171241311381451521591661741821902052131191251371491611731932541567288104120136152168184274359759110712313915555356958559961362764365967569160[[#This Row],[Столбец6]]/Таблица9132738193340475461687582899682891101171241311381451521591661731801871945121926334047546168758289961031101171241311381451521591661741821902052131191251371491611731932541567288104120136152168184274359759110712313915555356958559961362764365967569160[[#This Row],[Столбец1]]</f>
        <v>7.6060606060606065E-2</v>
      </c>
    </row>
    <row r="70" spans="1:10" x14ac:dyDescent="0.2">
      <c r="A70" s="63"/>
      <c r="B70" s="51"/>
      <c r="C70" s="51"/>
      <c r="D70" s="52"/>
      <c r="E70" s="51"/>
    </row>
    <row r="71" spans="1:10" x14ac:dyDescent="0.2">
      <c r="A71" s="51"/>
      <c r="B71" s="51"/>
      <c r="C71" s="51"/>
      <c r="D71" s="52"/>
      <c r="E71" s="51"/>
    </row>
    <row r="72" spans="1:10" ht="15.75" x14ac:dyDescent="0.25">
      <c r="A72" s="88" t="s">
        <v>65</v>
      </c>
      <c r="B72" s="89"/>
    </row>
    <row r="73" spans="1:10" ht="15" x14ac:dyDescent="0.25">
      <c r="A73" s="387" t="s">
        <v>66</v>
      </c>
      <c r="B73" s="387"/>
      <c r="C73" s="387"/>
      <c r="D73" s="387"/>
      <c r="E73" s="90"/>
      <c r="F73" s="90"/>
      <c r="G73" s="235">
        <f>SUM(Таблица4211720344148556269768390978390111118125132139146153160167174181188195613202734414855626976839097104111118125132139146153160167175183198206214123135147159171191233955718710311913515116718326425874901061221381545525685845986126266426586746907077159[Сумма, тыс. руб.])*1000</f>
        <v>6606000</v>
      </c>
      <c r="H73" s="276"/>
    </row>
    <row r="74" spans="1:10" outlineLevel="1" x14ac:dyDescent="0.2">
      <c r="A74" s="91" t="s">
        <v>67</v>
      </c>
      <c r="B74" s="91" t="s">
        <v>53</v>
      </c>
      <c r="C74" s="91" t="s">
        <v>4</v>
      </c>
      <c r="D74" s="91" t="s">
        <v>68</v>
      </c>
      <c r="E74" s="91" t="s">
        <v>69</v>
      </c>
      <c r="F74" s="91" t="s">
        <v>70</v>
      </c>
      <c r="G74" s="91" t="s">
        <v>71</v>
      </c>
      <c r="H74" s="91" t="s">
        <v>72</v>
      </c>
      <c r="I74" s="276"/>
      <c r="J74" s="276"/>
    </row>
    <row r="75" spans="1:10" s="258" customFormat="1" ht="24.95" customHeight="1" outlineLevel="1" x14ac:dyDescent="0.2">
      <c r="A75" s="230" t="s">
        <v>1576</v>
      </c>
      <c r="B75" s="230" t="s">
        <v>1579</v>
      </c>
      <c r="C75" s="177" t="s">
        <v>94</v>
      </c>
      <c r="D75" s="173" t="s">
        <v>73</v>
      </c>
      <c r="E75" s="230" t="s">
        <v>1582</v>
      </c>
      <c r="F75" s="218" t="s">
        <v>1498</v>
      </c>
      <c r="G75" s="131">
        <v>1807</v>
      </c>
      <c r="H75" s="173" t="s">
        <v>1019</v>
      </c>
    </row>
    <row r="76" spans="1:10" s="258" customFormat="1" ht="24.95" customHeight="1" outlineLevel="1" x14ac:dyDescent="0.2">
      <c r="A76" s="190" t="s">
        <v>1577</v>
      </c>
      <c r="B76" s="176" t="s">
        <v>1580</v>
      </c>
      <c r="C76" s="177" t="s">
        <v>94</v>
      </c>
      <c r="D76" s="173" t="s">
        <v>1581</v>
      </c>
      <c r="E76" s="178" t="s">
        <v>1583</v>
      </c>
      <c r="F76" s="218" t="s">
        <v>1498</v>
      </c>
      <c r="G76" s="131">
        <v>1097</v>
      </c>
      <c r="H76" s="173" t="s">
        <v>996</v>
      </c>
    </row>
    <row r="77" spans="1:10" s="258" customFormat="1" ht="24.95" customHeight="1" outlineLevel="1" x14ac:dyDescent="0.2">
      <c r="A77" s="190" t="s">
        <v>1341</v>
      </c>
      <c r="B77" s="176" t="s">
        <v>1342</v>
      </c>
      <c r="C77" s="177" t="s">
        <v>94</v>
      </c>
      <c r="D77" s="173" t="s">
        <v>73</v>
      </c>
      <c r="E77" s="178" t="s">
        <v>1343</v>
      </c>
      <c r="F77" s="218" t="s">
        <v>1498</v>
      </c>
      <c r="G77" s="131">
        <v>735</v>
      </c>
      <c r="H77" s="173" t="s">
        <v>996</v>
      </c>
    </row>
    <row r="78" spans="1:10" s="258" customFormat="1" ht="24.95" customHeight="1" outlineLevel="1" x14ac:dyDescent="0.2">
      <c r="A78" s="190" t="s">
        <v>1601</v>
      </c>
      <c r="B78" s="176" t="s">
        <v>1599</v>
      </c>
      <c r="C78" s="177" t="s">
        <v>94</v>
      </c>
      <c r="D78" s="173" t="s">
        <v>73</v>
      </c>
      <c r="E78" s="178" t="s">
        <v>1641</v>
      </c>
      <c r="F78" s="218" t="s">
        <v>1498</v>
      </c>
      <c r="G78" s="131">
        <v>652</v>
      </c>
      <c r="H78" s="173" t="s">
        <v>168</v>
      </c>
    </row>
    <row r="79" spans="1:10" s="258" customFormat="1" ht="24.95" customHeight="1" outlineLevel="1" x14ac:dyDescent="0.2">
      <c r="A79" s="190" t="s">
        <v>1578</v>
      </c>
      <c r="B79" s="176" t="s">
        <v>1041</v>
      </c>
      <c r="C79" s="177" t="s">
        <v>94</v>
      </c>
      <c r="D79" s="173" t="s">
        <v>73</v>
      </c>
      <c r="E79" s="178" t="s">
        <v>572</v>
      </c>
      <c r="F79" s="218" t="s">
        <v>1498</v>
      </c>
      <c r="G79" s="131">
        <v>500</v>
      </c>
      <c r="H79" s="173" t="s">
        <v>996</v>
      </c>
    </row>
    <row r="80" spans="1:10" s="258" customFormat="1" ht="24.95" customHeight="1" outlineLevel="1" x14ac:dyDescent="0.2">
      <c r="A80" s="190" t="s">
        <v>999</v>
      </c>
      <c r="B80" s="176" t="s">
        <v>1254</v>
      </c>
      <c r="C80" s="177" t="s">
        <v>94</v>
      </c>
      <c r="D80" s="173" t="s">
        <v>1257</v>
      </c>
      <c r="E80" s="178" t="s">
        <v>1259</v>
      </c>
      <c r="F80" s="218" t="s">
        <v>1498</v>
      </c>
      <c r="G80" s="131">
        <v>450</v>
      </c>
      <c r="H80" s="173" t="s">
        <v>996</v>
      </c>
    </row>
    <row r="81" spans="1:9" s="258" customFormat="1" ht="24.95" customHeight="1" outlineLevel="1" x14ac:dyDescent="0.2">
      <c r="A81" s="190" t="s">
        <v>1005</v>
      </c>
      <c r="B81" s="176" t="s">
        <v>1256</v>
      </c>
      <c r="C81" s="177" t="s">
        <v>94</v>
      </c>
      <c r="D81" s="173" t="s">
        <v>994</v>
      </c>
      <c r="E81" s="178" t="s">
        <v>994</v>
      </c>
      <c r="F81" s="218" t="s">
        <v>1590</v>
      </c>
      <c r="G81" s="131">
        <v>386</v>
      </c>
      <c r="H81" s="173" t="s">
        <v>280</v>
      </c>
    </row>
    <row r="82" spans="1:9" s="258" customFormat="1" ht="24.95" customHeight="1" outlineLevel="1" x14ac:dyDescent="0.2">
      <c r="A82" s="190" t="s">
        <v>1349</v>
      </c>
      <c r="B82" s="176" t="s">
        <v>1266</v>
      </c>
      <c r="C82" s="177" t="s">
        <v>94</v>
      </c>
      <c r="D82" s="173" t="s">
        <v>73</v>
      </c>
      <c r="E82" s="178" t="s">
        <v>1350</v>
      </c>
      <c r="F82" s="218" t="s">
        <v>1498</v>
      </c>
      <c r="G82" s="131">
        <v>371</v>
      </c>
      <c r="H82" s="173" t="s">
        <v>168</v>
      </c>
    </row>
    <row r="83" spans="1:9" ht="24.95" customHeight="1" outlineLevel="1" x14ac:dyDescent="0.2">
      <c r="A83" s="74" t="s">
        <v>1392</v>
      </c>
      <c r="B83" s="74" t="s">
        <v>1391</v>
      </c>
      <c r="C83" s="177" t="s">
        <v>94</v>
      </c>
      <c r="D83" s="94" t="s">
        <v>73</v>
      </c>
      <c r="E83" s="94" t="s">
        <v>1393</v>
      </c>
      <c r="F83" s="218" t="s">
        <v>1498</v>
      </c>
      <c r="G83" s="72">
        <v>160</v>
      </c>
      <c r="H83" s="94" t="s">
        <v>168</v>
      </c>
      <c r="I83" s="236"/>
    </row>
    <row r="84" spans="1:9" ht="24.95" customHeight="1" outlineLevel="1" x14ac:dyDescent="0.2">
      <c r="A84" s="190" t="s">
        <v>1584</v>
      </c>
      <c r="B84" s="176" t="s">
        <v>1586</v>
      </c>
      <c r="C84" s="177" t="s">
        <v>94</v>
      </c>
      <c r="D84" s="177" t="s">
        <v>73</v>
      </c>
      <c r="E84" s="178" t="s">
        <v>1588</v>
      </c>
      <c r="F84" s="218" t="s">
        <v>1498</v>
      </c>
      <c r="G84" s="131">
        <v>101</v>
      </c>
      <c r="H84" s="173" t="s">
        <v>168</v>
      </c>
      <c r="I84" s="236"/>
    </row>
    <row r="85" spans="1:9" ht="24.95" customHeight="1" outlineLevel="1" x14ac:dyDescent="0.2">
      <c r="A85" s="190" t="s">
        <v>1585</v>
      </c>
      <c r="B85" s="176" t="s">
        <v>1587</v>
      </c>
      <c r="C85" s="177" t="s">
        <v>94</v>
      </c>
      <c r="D85" s="177" t="s">
        <v>73</v>
      </c>
      <c r="E85" s="178" t="s">
        <v>1589</v>
      </c>
      <c r="F85" s="218" t="s">
        <v>1498</v>
      </c>
      <c r="G85" s="131">
        <v>88</v>
      </c>
      <c r="H85" s="173" t="s">
        <v>168</v>
      </c>
      <c r="I85" s="236"/>
    </row>
    <row r="86" spans="1:9" ht="24.95" customHeight="1" outlineLevel="1" x14ac:dyDescent="0.2">
      <c r="A86" s="190" t="s">
        <v>1263</v>
      </c>
      <c r="B86" s="176" t="s">
        <v>1264</v>
      </c>
      <c r="C86" s="177" t="s">
        <v>94</v>
      </c>
      <c r="D86" s="177" t="s">
        <v>73</v>
      </c>
      <c r="E86" s="178" t="s">
        <v>1372</v>
      </c>
      <c r="F86" s="218" t="s">
        <v>1498</v>
      </c>
      <c r="G86" s="131">
        <v>78</v>
      </c>
      <c r="H86" s="173" t="s">
        <v>280</v>
      </c>
      <c r="I86" s="236"/>
    </row>
    <row r="87" spans="1:9" ht="24.95" customHeight="1" outlineLevel="1" x14ac:dyDescent="0.2">
      <c r="A87" s="190" t="s">
        <v>1600</v>
      </c>
      <c r="B87" s="176" t="s">
        <v>104</v>
      </c>
      <c r="C87" s="177" t="s">
        <v>94</v>
      </c>
      <c r="D87" s="177" t="s">
        <v>73</v>
      </c>
      <c r="E87" s="178" t="s">
        <v>1640</v>
      </c>
      <c r="F87" s="218" t="s">
        <v>1498</v>
      </c>
      <c r="G87" s="131">
        <v>72</v>
      </c>
      <c r="H87" s="173" t="s">
        <v>168</v>
      </c>
      <c r="I87" s="236"/>
    </row>
    <row r="88" spans="1:9" ht="24.95" customHeight="1" outlineLevel="1" x14ac:dyDescent="0.2">
      <c r="A88" s="190" t="s">
        <v>1394</v>
      </c>
      <c r="B88" s="176" t="s">
        <v>1174</v>
      </c>
      <c r="C88" s="177" t="s">
        <v>94</v>
      </c>
      <c r="D88" s="177" t="s">
        <v>73</v>
      </c>
      <c r="E88" s="178" t="s">
        <v>1395</v>
      </c>
      <c r="F88" s="218" t="s">
        <v>1590</v>
      </c>
      <c r="G88" s="131">
        <v>55</v>
      </c>
      <c r="H88" s="173" t="s">
        <v>280</v>
      </c>
      <c r="I88" s="236"/>
    </row>
    <row r="89" spans="1:9" ht="24.95" customHeight="1" outlineLevel="1" x14ac:dyDescent="0.2">
      <c r="A89" s="190" t="s">
        <v>1667</v>
      </c>
      <c r="B89" s="176" t="s">
        <v>1599</v>
      </c>
      <c r="C89" s="177" t="s">
        <v>94</v>
      </c>
      <c r="D89" s="177" t="s">
        <v>73</v>
      </c>
      <c r="E89" s="178" t="s">
        <v>1668</v>
      </c>
      <c r="F89" s="218" t="s">
        <v>1498</v>
      </c>
      <c r="G89" s="131">
        <v>54</v>
      </c>
      <c r="H89" s="173" t="s">
        <v>168</v>
      </c>
      <c r="I89" s="236"/>
    </row>
    <row r="90" spans="1:9" x14ac:dyDescent="0.2">
      <c r="A90" s="223"/>
      <c r="B90" s="104"/>
      <c r="C90" s="105"/>
      <c r="D90" s="106"/>
      <c r="E90" s="106"/>
      <c r="F90" s="107"/>
      <c r="G90" s="108"/>
      <c r="H90" s="106"/>
    </row>
    <row r="91" spans="1:9" x14ac:dyDescent="0.2">
      <c r="A91" s="104"/>
      <c r="B91" s="104"/>
      <c r="C91" s="105"/>
      <c r="D91" s="106"/>
      <c r="E91" s="106"/>
      <c r="F91" s="107"/>
      <c r="G91" s="108"/>
      <c r="H91" s="106"/>
    </row>
    <row r="92" spans="1:9" ht="15" x14ac:dyDescent="0.25">
      <c r="A92" s="387" t="s">
        <v>74</v>
      </c>
      <c r="B92" s="387"/>
      <c r="C92" s="387"/>
      <c r="D92" s="387"/>
      <c r="G92" s="235">
        <f>SUM(Таблица125138150162174194264257738910512113715316918528446076921081241401565545705866006146286446606766927097262641567186101116131146161[Сумма])*1000</f>
        <v>5063000</v>
      </c>
      <c r="H92" s="276"/>
    </row>
    <row r="93" spans="1:9" outlineLevel="1" x14ac:dyDescent="0.2">
      <c r="A93" s="91" t="s">
        <v>67</v>
      </c>
      <c r="B93" s="91" t="s">
        <v>53</v>
      </c>
      <c r="C93" s="91" t="s">
        <v>4</v>
      </c>
      <c r="D93" s="91" t="s">
        <v>68</v>
      </c>
      <c r="E93" s="91" t="s">
        <v>69</v>
      </c>
      <c r="F93" s="91" t="s">
        <v>70</v>
      </c>
      <c r="G93" s="91" t="s">
        <v>75</v>
      </c>
      <c r="H93" s="91" t="s">
        <v>72</v>
      </c>
    </row>
    <row r="94" spans="1:9" ht="24.95" customHeight="1" outlineLevel="1" x14ac:dyDescent="0.2">
      <c r="A94" s="74" t="s">
        <v>1576</v>
      </c>
      <c r="B94" s="74" t="s">
        <v>1579</v>
      </c>
      <c r="C94" s="177" t="s">
        <v>94</v>
      </c>
      <c r="D94" s="94" t="s">
        <v>73</v>
      </c>
      <c r="E94" s="74" t="s">
        <v>1582</v>
      </c>
      <c r="F94" s="218" t="s">
        <v>1498</v>
      </c>
      <c r="G94" s="72">
        <v>1807</v>
      </c>
      <c r="H94" s="94" t="s">
        <v>1019</v>
      </c>
    </row>
    <row r="95" spans="1:9" ht="24.95" customHeight="1" outlineLevel="1" x14ac:dyDescent="0.2">
      <c r="A95" s="74" t="s">
        <v>1577</v>
      </c>
      <c r="B95" s="74" t="s">
        <v>1580</v>
      </c>
      <c r="C95" s="177" t="s">
        <v>94</v>
      </c>
      <c r="D95" s="94" t="s">
        <v>1581</v>
      </c>
      <c r="E95" s="74" t="s">
        <v>1583</v>
      </c>
      <c r="F95" s="218" t="s">
        <v>1498</v>
      </c>
      <c r="G95" s="72">
        <v>1097</v>
      </c>
      <c r="H95" s="94" t="s">
        <v>996</v>
      </c>
    </row>
    <row r="96" spans="1:9" ht="24.95" customHeight="1" outlineLevel="1" x14ac:dyDescent="0.2">
      <c r="A96" s="74" t="s">
        <v>1601</v>
      </c>
      <c r="B96" s="74" t="s">
        <v>1599</v>
      </c>
      <c r="C96" s="177" t="s">
        <v>94</v>
      </c>
      <c r="D96" s="94" t="s">
        <v>73</v>
      </c>
      <c r="E96" s="74" t="s">
        <v>1641</v>
      </c>
      <c r="F96" s="218" t="s">
        <v>1498</v>
      </c>
      <c r="G96" s="72">
        <v>652</v>
      </c>
      <c r="H96" s="94" t="s">
        <v>168</v>
      </c>
    </row>
    <row r="97" spans="1:8" ht="24.95" customHeight="1" outlineLevel="1" x14ac:dyDescent="0.2">
      <c r="A97" s="74" t="s">
        <v>1578</v>
      </c>
      <c r="B97" s="74" t="s">
        <v>1041</v>
      </c>
      <c r="C97" s="177" t="s">
        <v>94</v>
      </c>
      <c r="D97" s="94" t="s">
        <v>73</v>
      </c>
      <c r="E97" s="74" t="s">
        <v>572</v>
      </c>
      <c r="F97" s="218" t="s">
        <v>1498</v>
      </c>
      <c r="G97" s="72">
        <v>500</v>
      </c>
      <c r="H97" s="94" t="s">
        <v>996</v>
      </c>
    </row>
    <row r="98" spans="1:8" ht="24.95" customHeight="1" outlineLevel="1" x14ac:dyDescent="0.2">
      <c r="A98" s="74" t="s">
        <v>1591</v>
      </c>
      <c r="B98" s="74" t="s">
        <v>1573</v>
      </c>
      <c r="C98" s="177" t="s">
        <v>94</v>
      </c>
      <c r="D98" s="94" t="s">
        <v>73</v>
      </c>
      <c r="E98" s="74" t="s">
        <v>1594</v>
      </c>
      <c r="F98" s="218" t="s">
        <v>1357</v>
      </c>
      <c r="G98" s="72">
        <v>244</v>
      </c>
      <c r="H98" s="94" t="s">
        <v>284</v>
      </c>
    </row>
    <row r="99" spans="1:8" ht="24.95" customHeight="1" outlineLevel="1" x14ac:dyDescent="0.2">
      <c r="A99" s="74" t="s">
        <v>1592</v>
      </c>
      <c r="B99" s="74" t="s">
        <v>1593</v>
      </c>
      <c r="C99" s="177" t="s">
        <v>94</v>
      </c>
      <c r="D99" s="94" t="s">
        <v>73</v>
      </c>
      <c r="E99" s="74" t="s">
        <v>1595</v>
      </c>
      <c r="F99" s="218" t="s">
        <v>1357</v>
      </c>
      <c r="G99" s="72">
        <v>163</v>
      </c>
      <c r="H99" s="94" t="s">
        <v>107</v>
      </c>
    </row>
    <row r="100" spans="1:8" ht="24.95" customHeight="1" outlineLevel="1" x14ac:dyDescent="0.2">
      <c r="A100" s="74" t="s">
        <v>1596</v>
      </c>
      <c r="B100" s="74" t="s">
        <v>1154</v>
      </c>
      <c r="C100" s="177" t="s">
        <v>94</v>
      </c>
      <c r="D100" s="94" t="s">
        <v>73</v>
      </c>
      <c r="E100" s="74" t="s">
        <v>1637</v>
      </c>
      <c r="F100" s="218" t="s">
        <v>1357</v>
      </c>
      <c r="G100" s="72">
        <v>128</v>
      </c>
      <c r="H100" s="94" t="s">
        <v>107</v>
      </c>
    </row>
    <row r="101" spans="1:8" ht="24.95" customHeight="1" outlineLevel="1" x14ac:dyDescent="0.2">
      <c r="A101" s="74" t="s">
        <v>1584</v>
      </c>
      <c r="B101" s="74" t="s">
        <v>1586</v>
      </c>
      <c r="C101" s="177" t="s">
        <v>94</v>
      </c>
      <c r="D101" s="94" t="s">
        <v>73</v>
      </c>
      <c r="E101" s="74" t="s">
        <v>1588</v>
      </c>
      <c r="F101" s="218" t="s">
        <v>1498</v>
      </c>
      <c r="G101" s="72">
        <v>101</v>
      </c>
      <c r="H101" s="94" t="s">
        <v>168</v>
      </c>
    </row>
    <row r="102" spans="1:8" ht="24.95" customHeight="1" outlineLevel="1" x14ac:dyDescent="0.2">
      <c r="A102" s="74" t="s">
        <v>1585</v>
      </c>
      <c r="B102" s="74" t="s">
        <v>1587</v>
      </c>
      <c r="C102" s="177" t="s">
        <v>94</v>
      </c>
      <c r="D102" s="94" t="s">
        <v>73</v>
      </c>
      <c r="E102" s="74" t="s">
        <v>1589</v>
      </c>
      <c r="F102" s="218" t="s">
        <v>1498</v>
      </c>
      <c r="G102" s="72">
        <v>88</v>
      </c>
      <c r="H102" s="94" t="s">
        <v>168</v>
      </c>
    </row>
    <row r="103" spans="1:8" ht="24.95" customHeight="1" outlineLevel="1" x14ac:dyDescent="0.2">
      <c r="A103" s="74" t="s">
        <v>1597</v>
      </c>
      <c r="B103" s="74" t="s">
        <v>1575</v>
      </c>
      <c r="C103" s="177" t="s">
        <v>94</v>
      </c>
      <c r="D103" s="94" t="s">
        <v>73</v>
      </c>
      <c r="E103" s="74" t="s">
        <v>1638</v>
      </c>
      <c r="F103" s="218" t="s">
        <v>1357</v>
      </c>
      <c r="G103" s="72">
        <v>80</v>
      </c>
      <c r="H103" s="94" t="s">
        <v>107</v>
      </c>
    </row>
    <row r="104" spans="1:8" ht="24.95" customHeight="1" outlineLevel="1" x14ac:dyDescent="0.2">
      <c r="A104" s="74" t="s">
        <v>1598</v>
      </c>
      <c r="B104" s="74" t="s">
        <v>1599</v>
      </c>
      <c r="C104" s="177" t="s">
        <v>94</v>
      </c>
      <c r="D104" s="94" t="s">
        <v>73</v>
      </c>
      <c r="E104" s="74" t="s">
        <v>1639</v>
      </c>
      <c r="F104" s="218" t="s">
        <v>1357</v>
      </c>
      <c r="G104" s="72">
        <v>77</v>
      </c>
      <c r="H104" s="94" t="s">
        <v>107</v>
      </c>
    </row>
    <row r="105" spans="1:8" ht="24.95" customHeight="1" outlineLevel="1" x14ac:dyDescent="0.2">
      <c r="A105" s="244" t="s">
        <v>1600</v>
      </c>
      <c r="B105" s="220" t="s">
        <v>104</v>
      </c>
      <c r="C105" s="177" t="s">
        <v>94</v>
      </c>
      <c r="D105" s="93" t="s">
        <v>73</v>
      </c>
      <c r="E105" s="221" t="s">
        <v>1640</v>
      </c>
      <c r="F105" s="218" t="s">
        <v>1498</v>
      </c>
      <c r="G105" s="72">
        <v>72</v>
      </c>
      <c r="H105" s="94" t="s">
        <v>168</v>
      </c>
    </row>
    <row r="106" spans="1:8" ht="24.95" customHeight="1" outlineLevel="1" x14ac:dyDescent="0.2">
      <c r="A106" s="190" t="s">
        <v>1667</v>
      </c>
      <c r="B106" s="176" t="s">
        <v>1599</v>
      </c>
      <c r="C106" s="177" t="s">
        <v>94</v>
      </c>
      <c r="D106" s="177" t="s">
        <v>73</v>
      </c>
      <c r="E106" s="178" t="s">
        <v>1668</v>
      </c>
      <c r="F106" s="179" t="s">
        <v>1498</v>
      </c>
      <c r="G106" s="131">
        <v>54</v>
      </c>
      <c r="H106" s="173" t="s">
        <v>168</v>
      </c>
    </row>
    <row r="107" spans="1:8" ht="24.95" customHeight="1" outlineLevel="1" x14ac:dyDescent="0.2">
      <c r="A107" s="74" t="s">
        <v>1617</v>
      </c>
      <c r="B107" s="74" t="s">
        <v>1041</v>
      </c>
      <c r="C107" s="177" t="s">
        <v>94</v>
      </c>
      <c r="D107" s="94" t="s">
        <v>73</v>
      </c>
      <c r="E107" s="74" t="s">
        <v>102</v>
      </c>
      <c r="F107" s="218" t="s">
        <v>1498</v>
      </c>
      <c r="G107" s="72">
        <v>0</v>
      </c>
      <c r="H107" s="94" t="s">
        <v>996</v>
      </c>
    </row>
    <row r="108" spans="1:8" ht="24.95" customHeight="1" outlineLevel="1" x14ac:dyDescent="0.2">
      <c r="A108" s="74" t="s">
        <v>1618</v>
      </c>
      <c r="B108" s="74" t="s">
        <v>1526</v>
      </c>
      <c r="C108" s="177" t="s">
        <v>94</v>
      </c>
      <c r="D108" s="94" t="s">
        <v>1581</v>
      </c>
      <c r="E108" s="74" t="s">
        <v>1581</v>
      </c>
      <c r="F108" s="218" t="s">
        <v>1590</v>
      </c>
      <c r="G108" s="72">
        <v>0</v>
      </c>
      <c r="H108" s="94" t="s">
        <v>996</v>
      </c>
    </row>
    <row r="109" spans="1:8" ht="24.95" customHeight="1" outlineLevel="1" x14ac:dyDescent="0.2">
      <c r="A109" s="74" t="s">
        <v>1616</v>
      </c>
      <c r="B109" s="74" t="s">
        <v>1615</v>
      </c>
      <c r="C109" s="177" t="s">
        <v>94</v>
      </c>
      <c r="D109" s="94" t="s">
        <v>73</v>
      </c>
      <c r="E109" s="74" t="s">
        <v>1646</v>
      </c>
      <c r="F109" s="218" t="s">
        <v>1498</v>
      </c>
      <c r="G109" s="72">
        <v>0</v>
      </c>
      <c r="H109" s="94" t="s">
        <v>1348</v>
      </c>
    </row>
    <row r="110" spans="1:8" ht="24.95" customHeight="1" outlineLevel="1" x14ac:dyDescent="0.2">
      <c r="A110" s="74" t="s">
        <v>1614</v>
      </c>
      <c r="B110" s="74" t="s">
        <v>1615</v>
      </c>
      <c r="C110" s="177" t="s">
        <v>94</v>
      </c>
      <c r="D110" s="94" t="s">
        <v>73</v>
      </c>
      <c r="E110" s="74" t="s">
        <v>1650</v>
      </c>
      <c r="F110" s="218" t="s">
        <v>1498</v>
      </c>
      <c r="G110" s="72">
        <v>0</v>
      </c>
      <c r="H110" s="94" t="s">
        <v>1348</v>
      </c>
    </row>
    <row r="111" spans="1:8" ht="24.95" customHeight="1" outlineLevel="1" x14ac:dyDescent="0.2">
      <c r="A111" s="74" t="s">
        <v>1613</v>
      </c>
      <c r="B111" s="74" t="s">
        <v>104</v>
      </c>
      <c r="C111" s="177" t="s">
        <v>94</v>
      </c>
      <c r="D111" s="94" t="s">
        <v>73</v>
      </c>
      <c r="E111" s="74" t="s">
        <v>1649</v>
      </c>
      <c r="F111" s="218" t="s">
        <v>1498</v>
      </c>
      <c r="G111" s="72">
        <v>0</v>
      </c>
      <c r="H111" s="94" t="s">
        <v>1348</v>
      </c>
    </row>
    <row r="112" spans="1:8" ht="24.95" customHeight="1" outlineLevel="1" x14ac:dyDescent="0.2">
      <c r="A112" s="74" t="s">
        <v>1612</v>
      </c>
      <c r="B112" s="74" t="s">
        <v>104</v>
      </c>
      <c r="C112" s="177" t="s">
        <v>94</v>
      </c>
      <c r="D112" s="94" t="s">
        <v>73</v>
      </c>
      <c r="E112" s="74" t="s">
        <v>1646</v>
      </c>
      <c r="F112" s="218" t="s">
        <v>1498</v>
      </c>
      <c r="G112" s="72">
        <v>0</v>
      </c>
      <c r="H112" s="94" t="s">
        <v>1348</v>
      </c>
    </row>
    <row r="113" spans="1:8" ht="24.95" customHeight="1" outlineLevel="1" x14ac:dyDescent="0.2">
      <c r="A113" s="74" t="s">
        <v>1611</v>
      </c>
      <c r="B113" s="74" t="s">
        <v>104</v>
      </c>
      <c r="C113" s="177" t="s">
        <v>94</v>
      </c>
      <c r="D113" s="94" t="s">
        <v>73</v>
      </c>
      <c r="E113" s="74" t="s">
        <v>1648</v>
      </c>
      <c r="F113" s="218" t="s">
        <v>1498</v>
      </c>
      <c r="G113" s="72">
        <v>0</v>
      </c>
      <c r="H113" s="94" t="s">
        <v>1348</v>
      </c>
    </row>
    <row r="114" spans="1:8" ht="24.95" customHeight="1" outlineLevel="1" x14ac:dyDescent="0.2">
      <c r="A114" s="74" t="s">
        <v>1610</v>
      </c>
      <c r="B114" s="74" t="s">
        <v>104</v>
      </c>
      <c r="C114" s="177" t="s">
        <v>94</v>
      </c>
      <c r="D114" s="94" t="s">
        <v>73</v>
      </c>
      <c r="E114" s="74" t="s">
        <v>1647</v>
      </c>
      <c r="F114" s="218" t="s">
        <v>1498</v>
      </c>
      <c r="G114" s="72">
        <v>0</v>
      </c>
      <c r="H114" s="94" t="s">
        <v>1348</v>
      </c>
    </row>
    <row r="115" spans="1:8" ht="24.95" customHeight="1" outlineLevel="1" x14ac:dyDescent="0.2">
      <c r="A115" s="74" t="s">
        <v>1619</v>
      </c>
      <c r="B115" s="74" t="s">
        <v>1620</v>
      </c>
      <c r="C115" s="177" t="s">
        <v>94</v>
      </c>
      <c r="D115" s="94" t="s">
        <v>1581</v>
      </c>
      <c r="E115" s="74" t="s">
        <v>1581</v>
      </c>
      <c r="F115" s="218" t="s">
        <v>1498</v>
      </c>
      <c r="G115" s="72">
        <v>0</v>
      </c>
      <c r="H115" s="94" t="s">
        <v>996</v>
      </c>
    </row>
    <row r="116" spans="1:8" ht="24.95" customHeight="1" outlineLevel="1" x14ac:dyDescent="0.2">
      <c r="A116" s="74" t="s">
        <v>1609</v>
      </c>
      <c r="B116" s="74" t="s">
        <v>1608</v>
      </c>
      <c r="C116" s="177" t="s">
        <v>94</v>
      </c>
      <c r="D116" s="94" t="s">
        <v>73</v>
      </c>
      <c r="E116" s="74" t="s">
        <v>1646</v>
      </c>
      <c r="F116" s="218" t="s">
        <v>1498</v>
      </c>
      <c r="G116" s="72">
        <v>0</v>
      </c>
      <c r="H116" s="94" t="s">
        <v>1348</v>
      </c>
    </row>
    <row r="117" spans="1:8" ht="24.95" customHeight="1" outlineLevel="1" x14ac:dyDescent="0.2">
      <c r="A117" s="74" t="s">
        <v>1607</v>
      </c>
      <c r="B117" s="74" t="s">
        <v>1608</v>
      </c>
      <c r="C117" s="177" t="s">
        <v>94</v>
      </c>
      <c r="D117" s="94" t="s">
        <v>73</v>
      </c>
      <c r="E117" s="74" t="s">
        <v>1645</v>
      </c>
      <c r="F117" s="218" t="s">
        <v>1498</v>
      </c>
      <c r="G117" s="72">
        <v>0</v>
      </c>
      <c r="H117" s="94" t="s">
        <v>996</v>
      </c>
    </row>
    <row r="118" spans="1:8" ht="24.95" customHeight="1" outlineLevel="1" x14ac:dyDescent="0.2">
      <c r="A118" s="74" t="s">
        <v>1606</v>
      </c>
      <c r="B118" s="74" t="s">
        <v>1599</v>
      </c>
      <c r="C118" s="177" t="s">
        <v>94</v>
      </c>
      <c r="D118" s="94" t="s">
        <v>73</v>
      </c>
      <c r="E118" s="74" t="s">
        <v>1641</v>
      </c>
      <c r="F118" s="218" t="s">
        <v>1659</v>
      </c>
      <c r="G118" s="72">
        <v>0</v>
      </c>
      <c r="H118" s="94" t="s">
        <v>284</v>
      </c>
    </row>
    <row r="119" spans="1:8" ht="24.95" customHeight="1" outlineLevel="1" x14ac:dyDescent="0.2">
      <c r="A119" s="74" t="s">
        <v>1605</v>
      </c>
      <c r="B119" s="74" t="s">
        <v>1580</v>
      </c>
      <c r="C119" s="177" t="s">
        <v>94</v>
      </c>
      <c r="D119" s="94" t="s">
        <v>73</v>
      </c>
      <c r="E119" s="74" t="s">
        <v>1644</v>
      </c>
      <c r="F119" s="218" t="s">
        <v>1498</v>
      </c>
      <c r="G119" s="72">
        <v>0</v>
      </c>
      <c r="H119" s="94" t="s">
        <v>1348</v>
      </c>
    </row>
    <row r="120" spans="1:8" ht="24.95" customHeight="1" outlineLevel="1" x14ac:dyDescent="0.2">
      <c r="A120" s="74" t="s">
        <v>1621</v>
      </c>
      <c r="B120" s="74" t="s">
        <v>1620</v>
      </c>
      <c r="C120" s="177" t="s">
        <v>94</v>
      </c>
      <c r="D120" s="94" t="s">
        <v>73</v>
      </c>
      <c r="E120" s="74" t="s">
        <v>102</v>
      </c>
      <c r="F120" s="218" t="s">
        <v>1498</v>
      </c>
      <c r="G120" s="72">
        <v>0</v>
      </c>
      <c r="H120" s="94" t="s">
        <v>996</v>
      </c>
    </row>
    <row r="121" spans="1:8" ht="24.95" customHeight="1" outlineLevel="1" x14ac:dyDescent="0.2">
      <c r="A121" s="74" t="s">
        <v>1622</v>
      </c>
      <c r="B121" s="74" t="s">
        <v>1620</v>
      </c>
      <c r="C121" s="177" t="s">
        <v>94</v>
      </c>
      <c r="D121" s="94" t="s">
        <v>1259</v>
      </c>
      <c r="E121" s="74" t="s">
        <v>1259</v>
      </c>
      <c r="F121" s="218" t="s">
        <v>1498</v>
      </c>
      <c r="G121" s="72">
        <v>0</v>
      </c>
      <c r="H121" s="94" t="s">
        <v>996</v>
      </c>
    </row>
    <row r="122" spans="1:8" ht="24.95" customHeight="1" outlineLevel="1" x14ac:dyDescent="0.2">
      <c r="A122" s="74" t="s">
        <v>1623</v>
      </c>
      <c r="B122" s="74" t="s">
        <v>1624</v>
      </c>
      <c r="C122" s="177" t="s">
        <v>94</v>
      </c>
      <c r="D122" s="94" t="s">
        <v>1651</v>
      </c>
      <c r="E122" s="74" t="s">
        <v>1652</v>
      </c>
      <c r="F122" s="218" t="s">
        <v>1498</v>
      </c>
      <c r="G122" s="72">
        <v>0</v>
      </c>
      <c r="H122" s="94" t="s">
        <v>996</v>
      </c>
    </row>
    <row r="123" spans="1:8" ht="24.95" customHeight="1" outlineLevel="1" x14ac:dyDescent="0.2">
      <c r="A123" s="74" t="s">
        <v>1604</v>
      </c>
      <c r="B123" s="74" t="s">
        <v>1264</v>
      </c>
      <c r="C123" s="177" t="s">
        <v>94</v>
      </c>
      <c r="D123" s="94" t="s">
        <v>73</v>
      </c>
      <c r="E123" s="74" t="s">
        <v>1643</v>
      </c>
      <c r="F123" s="218" t="s">
        <v>1498</v>
      </c>
      <c r="G123" s="72">
        <v>0</v>
      </c>
      <c r="H123" s="94" t="s">
        <v>996</v>
      </c>
    </row>
    <row r="124" spans="1:8" ht="24.95" customHeight="1" outlineLevel="1" x14ac:dyDescent="0.2">
      <c r="A124" s="74" t="s">
        <v>1602</v>
      </c>
      <c r="B124" s="74" t="s">
        <v>1603</v>
      </c>
      <c r="C124" s="177" t="s">
        <v>94</v>
      </c>
      <c r="D124" s="94" t="s">
        <v>73</v>
      </c>
      <c r="E124" s="74" t="s">
        <v>1642</v>
      </c>
      <c r="F124" s="218" t="s">
        <v>1498</v>
      </c>
      <c r="G124" s="72">
        <v>0</v>
      </c>
      <c r="H124" s="94" t="s">
        <v>996</v>
      </c>
    </row>
    <row r="125" spans="1:8" ht="24.95" customHeight="1" outlineLevel="1" x14ac:dyDescent="0.2">
      <c r="A125" s="74" t="s">
        <v>1636</v>
      </c>
      <c r="B125" s="74" t="s">
        <v>1342</v>
      </c>
      <c r="C125" s="177" t="s">
        <v>94</v>
      </c>
      <c r="D125" s="94" t="s">
        <v>1651</v>
      </c>
      <c r="E125" s="74" t="s">
        <v>1658</v>
      </c>
      <c r="F125" s="218" t="s">
        <v>1498</v>
      </c>
      <c r="G125" s="72">
        <v>0</v>
      </c>
      <c r="H125" s="94" t="s">
        <v>996</v>
      </c>
    </row>
    <row r="126" spans="1:8" ht="24.95" customHeight="1" outlineLevel="1" x14ac:dyDescent="0.2">
      <c r="A126" s="74" t="s">
        <v>1625</v>
      </c>
      <c r="B126" s="74" t="s">
        <v>1624</v>
      </c>
      <c r="C126" s="177" t="s">
        <v>94</v>
      </c>
      <c r="D126" s="94" t="s">
        <v>73</v>
      </c>
      <c r="E126" s="74" t="s">
        <v>1653</v>
      </c>
      <c r="F126" s="218" t="s">
        <v>1498</v>
      </c>
      <c r="G126" s="72">
        <v>0</v>
      </c>
      <c r="H126" s="94" t="s">
        <v>996</v>
      </c>
    </row>
    <row r="127" spans="1:8" ht="24.95" customHeight="1" outlineLevel="1" x14ac:dyDescent="0.2">
      <c r="A127" s="74" t="s">
        <v>1635</v>
      </c>
      <c r="B127" s="74" t="s">
        <v>1264</v>
      </c>
      <c r="C127" s="177" t="s">
        <v>94</v>
      </c>
      <c r="D127" s="94" t="s">
        <v>73</v>
      </c>
      <c r="E127" s="74" t="s">
        <v>1657</v>
      </c>
      <c r="F127" s="218" t="s">
        <v>1498</v>
      </c>
      <c r="G127" s="72">
        <v>0</v>
      </c>
      <c r="H127" s="94" t="s">
        <v>1348</v>
      </c>
    </row>
    <row r="128" spans="1:8" ht="24.95" customHeight="1" outlineLevel="1" x14ac:dyDescent="0.2">
      <c r="A128" s="74" t="s">
        <v>1634</v>
      </c>
      <c r="B128" s="74" t="s">
        <v>1264</v>
      </c>
      <c r="C128" s="177" t="s">
        <v>94</v>
      </c>
      <c r="D128" s="94" t="s">
        <v>73</v>
      </c>
      <c r="E128" s="74" t="s">
        <v>1656</v>
      </c>
      <c r="F128" s="218" t="s">
        <v>1498</v>
      </c>
      <c r="G128" s="72">
        <v>0</v>
      </c>
      <c r="H128" s="94" t="s">
        <v>1348</v>
      </c>
    </row>
    <row r="129" spans="1:8" ht="24.95" customHeight="1" outlineLevel="1" x14ac:dyDescent="0.2">
      <c r="A129" s="74" t="s">
        <v>1633</v>
      </c>
      <c r="B129" s="74" t="s">
        <v>1264</v>
      </c>
      <c r="C129" s="177" t="s">
        <v>94</v>
      </c>
      <c r="D129" s="94" t="s">
        <v>73</v>
      </c>
      <c r="E129" s="74" t="s">
        <v>1646</v>
      </c>
      <c r="F129" s="218" t="s">
        <v>1357</v>
      </c>
      <c r="G129" s="72">
        <v>0</v>
      </c>
      <c r="H129" s="94" t="s">
        <v>1348</v>
      </c>
    </row>
    <row r="130" spans="1:8" ht="24.95" customHeight="1" outlineLevel="1" x14ac:dyDescent="0.2">
      <c r="A130" s="74" t="s">
        <v>1632</v>
      </c>
      <c r="B130" s="74" t="s">
        <v>1264</v>
      </c>
      <c r="C130" s="177" t="s">
        <v>94</v>
      </c>
      <c r="D130" s="94" t="s">
        <v>73</v>
      </c>
      <c r="E130" s="74" t="s">
        <v>1650</v>
      </c>
      <c r="F130" s="218" t="s">
        <v>1498</v>
      </c>
      <c r="G130" s="72">
        <v>0</v>
      </c>
      <c r="H130" s="94" t="s">
        <v>1348</v>
      </c>
    </row>
    <row r="131" spans="1:8" ht="24.95" customHeight="1" outlineLevel="1" x14ac:dyDescent="0.2">
      <c r="A131" s="74" t="s">
        <v>1631</v>
      </c>
      <c r="B131" s="74" t="s">
        <v>1264</v>
      </c>
      <c r="C131" s="177" t="s">
        <v>94</v>
      </c>
      <c r="D131" s="94" t="s">
        <v>73</v>
      </c>
      <c r="E131" s="74" t="s">
        <v>1644</v>
      </c>
      <c r="F131" s="218" t="s">
        <v>1498</v>
      </c>
      <c r="G131" s="72">
        <v>0</v>
      </c>
      <c r="H131" s="94" t="s">
        <v>1348</v>
      </c>
    </row>
    <row r="132" spans="1:8" ht="24.95" customHeight="1" outlineLevel="1" x14ac:dyDescent="0.2">
      <c r="A132" s="74" t="s">
        <v>1630</v>
      </c>
      <c r="B132" s="74" t="s">
        <v>1580</v>
      </c>
      <c r="C132" s="177" t="s">
        <v>94</v>
      </c>
      <c r="D132" s="94" t="s">
        <v>73</v>
      </c>
      <c r="E132" s="74" t="s">
        <v>573</v>
      </c>
      <c r="F132" s="218" t="s">
        <v>1498</v>
      </c>
      <c r="G132" s="72">
        <v>0</v>
      </c>
      <c r="H132" s="94" t="s">
        <v>1348</v>
      </c>
    </row>
    <row r="133" spans="1:8" ht="24.95" customHeight="1" outlineLevel="1" x14ac:dyDescent="0.2">
      <c r="A133" s="74" t="s">
        <v>1629</v>
      </c>
      <c r="B133" s="74" t="s">
        <v>1580</v>
      </c>
      <c r="C133" s="177" t="s">
        <v>94</v>
      </c>
      <c r="D133" s="94" t="s">
        <v>73</v>
      </c>
      <c r="E133" s="74" t="s">
        <v>1650</v>
      </c>
      <c r="F133" s="218" t="s">
        <v>1498</v>
      </c>
      <c r="G133" s="72">
        <v>0</v>
      </c>
      <c r="H133" s="94" t="s">
        <v>1348</v>
      </c>
    </row>
    <row r="134" spans="1:8" ht="24.95" customHeight="1" outlineLevel="1" x14ac:dyDescent="0.2">
      <c r="A134" s="74" t="s">
        <v>1628</v>
      </c>
      <c r="B134" s="74" t="s">
        <v>1580</v>
      </c>
      <c r="C134" s="177" t="s">
        <v>94</v>
      </c>
      <c r="D134" s="94" t="s">
        <v>73</v>
      </c>
      <c r="E134" s="74" t="s">
        <v>1655</v>
      </c>
      <c r="F134" s="218" t="s">
        <v>1498</v>
      </c>
      <c r="G134" s="72">
        <v>0</v>
      </c>
      <c r="H134" s="94" t="s">
        <v>1348</v>
      </c>
    </row>
    <row r="135" spans="1:8" ht="24.95" customHeight="1" outlineLevel="1" x14ac:dyDescent="0.2">
      <c r="A135" s="74" t="s">
        <v>1627</v>
      </c>
      <c r="B135" s="74" t="s">
        <v>1624</v>
      </c>
      <c r="C135" s="177" t="s">
        <v>94</v>
      </c>
      <c r="D135" s="94" t="s">
        <v>73</v>
      </c>
      <c r="E135" s="74" t="s">
        <v>1650</v>
      </c>
      <c r="F135" s="218" t="s">
        <v>1498</v>
      </c>
      <c r="G135" s="72">
        <v>0</v>
      </c>
      <c r="H135" s="94" t="s">
        <v>1348</v>
      </c>
    </row>
    <row r="136" spans="1:8" ht="24.95" customHeight="1" outlineLevel="1" x14ac:dyDescent="0.2">
      <c r="A136" s="74" t="s">
        <v>1626</v>
      </c>
      <c r="B136" s="74" t="s">
        <v>1624</v>
      </c>
      <c r="C136" s="177" t="s">
        <v>94</v>
      </c>
      <c r="D136" s="94" t="s">
        <v>1651</v>
      </c>
      <c r="E136" s="74" t="s">
        <v>1654</v>
      </c>
      <c r="F136" s="218" t="s">
        <v>1498</v>
      </c>
      <c r="G136" s="72">
        <v>0</v>
      </c>
      <c r="H136" s="94" t="s">
        <v>996</v>
      </c>
    </row>
    <row r="137" spans="1:8" ht="15" customHeight="1" x14ac:dyDescent="0.2"/>
    <row r="138" spans="1:8" ht="15" customHeight="1" x14ac:dyDescent="0.2"/>
    <row r="139" spans="1:8" ht="15.75" x14ac:dyDescent="0.25">
      <c r="A139" s="1" t="s">
        <v>76</v>
      </c>
    </row>
    <row r="140" spans="1:8" ht="15" x14ac:dyDescent="0.25">
      <c r="A140" s="386" t="s">
        <v>77</v>
      </c>
      <c r="B140" s="386"/>
      <c r="C140" s="386"/>
      <c r="D140" s="386"/>
      <c r="E140" s="110"/>
      <c r="F140" s="111"/>
    </row>
    <row r="141" spans="1:8" s="104" customFormat="1" outlineLevel="1" x14ac:dyDescent="0.25">
      <c r="A141" s="112" t="s">
        <v>78</v>
      </c>
      <c r="B141" s="112" t="s">
        <v>53</v>
      </c>
      <c r="C141" s="91" t="s">
        <v>4</v>
      </c>
      <c r="D141" s="112" t="s">
        <v>79</v>
      </c>
      <c r="E141" s="91" t="s">
        <v>80</v>
      </c>
      <c r="F141" s="112" t="s">
        <v>81</v>
      </c>
      <c r="G141" s="112" t="s">
        <v>82</v>
      </c>
    </row>
    <row r="142" spans="1:8" s="104" customFormat="1" ht="24.75" customHeight="1" outlineLevel="1" x14ac:dyDescent="0.25">
      <c r="A142" s="187">
        <v>45924</v>
      </c>
      <c r="B142" s="314" t="s">
        <v>1580</v>
      </c>
      <c r="C142" s="119" t="s">
        <v>94</v>
      </c>
      <c r="D142" s="109" t="s">
        <v>1670</v>
      </c>
      <c r="E142" s="109" t="s">
        <v>1577</v>
      </c>
      <c r="F142" s="109" t="s">
        <v>1671</v>
      </c>
      <c r="G142" s="109" t="s">
        <v>1672</v>
      </c>
    </row>
    <row r="143" spans="1:8" s="104" customFormat="1" ht="12" customHeight="1" outlineLevel="1" x14ac:dyDescent="0.2">
      <c r="A143" s="2"/>
      <c r="B143" s="118"/>
      <c r="C143" s="2"/>
      <c r="D143" s="2"/>
      <c r="E143" s="2"/>
      <c r="F143" s="2"/>
      <c r="G143" s="2"/>
    </row>
    <row r="144" spans="1:8" ht="24" customHeight="1" outlineLevel="1" x14ac:dyDescent="0.2">
      <c r="A144" s="118"/>
      <c r="B144" s="118"/>
    </row>
    <row r="145" spans="1:7" ht="24" customHeight="1" outlineLevel="1" x14ac:dyDescent="0.25">
      <c r="A145" s="387" t="s">
        <v>83</v>
      </c>
      <c r="B145" s="387"/>
      <c r="C145" s="387"/>
      <c r="D145" s="387"/>
      <c r="E145" s="212"/>
    </row>
    <row r="146" spans="1:7" ht="24" customHeight="1" outlineLevel="1" x14ac:dyDescent="0.2">
      <c r="A146" s="112" t="s">
        <v>78</v>
      </c>
      <c r="B146" s="112" t="s">
        <v>53</v>
      </c>
      <c r="C146" s="91" t="s">
        <v>4</v>
      </c>
      <c r="D146" s="112" t="s">
        <v>79</v>
      </c>
      <c r="E146" s="91" t="s">
        <v>80</v>
      </c>
      <c r="F146" s="112" t="s">
        <v>81</v>
      </c>
      <c r="G146" s="112" t="s">
        <v>82</v>
      </c>
    </row>
    <row r="147" spans="1:7" ht="24" customHeight="1" outlineLevel="1" x14ac:dyDescent="0.2">
      <c r="A147" s="91"/>
      <c r="B147" s="91"/>
      <c r="C147" s="278" t="s">
        <v>94</v>
      </c>
      <c r="D147" s="280" t="s">
        <v>1268</v>
      </c>
      <c r="E147" s="91"/>
      <c r="F147" s="91"/>
      <c r="G147" s="91"/>
    </row>
    <row r="148" spans="1:7" ht="24" customHeight="1" outlineLevel="1" x14ac:dyDescent="0.2">
      <c r="A148" s="171">
        <v>45904</v>
      </c>
      <c r="B148" s="173" t="s">
        <v>1132</v>
      </c>
      <c r="C148" s="177" t="s">
        <v>94</v>
      </c>
      <c r="D148" s="290" t="s">
        <v>1131</v>
      </c>
      <c r="E148" s="173"/>
      <c r="F148" s="109" t="s">
        <v>109</v>
      </c>
      <c r="G148" s="173" t="s">
        <v>1678</v>
      </c>
    </row>
    <row r="149" spans="1:7" ht="24" customHeight="1" outlineLevel="1" x14ac:dyDescent="0.2">
      <c r="A149" s="299">
        <v>45904</v>
      </c>
      <c r="B149" s="299" t="s">
        <v>1526</v>
      </c>
      <c r="C149" s="93" t="s">
        <v>94</v>
      </c>
      <c r="D149" s="315" t="s">
        <v>1681</v>
      </c>
      <c r="E149" s="298"/>
      <c r="F149" s="298" t="s">
        <v>109</v>
      </c>
      <c r="G149" s="55" t="s">
        <v>1660</v>
      </c>
    </row>
    <row r="150" spans="1:7" ht="24" customHeight="1" outlineLevel="1" x14ac:dyDescent="0.2">
      <c r="A150" s="299">
        <v>45909</v>
      </c>
      <c r="B150" s="299" t="s">
        <v>1549</v>
      </c>
      <c r="C150" s="93" t="s">
        <v>94</v>
      </c>
      <c r="D150" s="311" t="s">
        <v>1548</v>
      </c>
      <c r="E150" s="298"/>
      <c r="F150" s="298" t="s">
        <v>109</v>
      </c>
      <c r="G150" s="109" t="s">
        <v>1550</v>
      </c>
    </row>
    <row r="151" spans="1:7" ht="24" customHeight="1" outlineLevel="1" x14ac:dyDescent="0.2">
      <c r="A151" s="299">
        <v>45917</v>
      </c>
      <c r="B151" s="114" t="s">
        <v>1559</v>
      </c>
      <c r="C151" s="93" t="s">
        <v>94</v>
      </c>
      <c r="D151" s="114" t="s">
        <v>1561</v>
      </c>
      <c r="E151" s="298"/>
      <c r="F151" s="298" t="s">
        <v>109</v>
      </c>
      <c r="G151" s="55" t="s">
        <v>1560</v>
      </c>
    </row>
    <row r="152" spans="1:7" ht="24" customHeight="1" outlineLevel="1" x14ac:dyDescent="0.2">
      <c r="A152" s="298"/>
      <c r="B152" s="299"/>
      <c r="C152" s="93"/>
      <c r="D152" s="299"/>
      <c r="E152" s="298"/>
      <c r="F152" s="298"/>
      <c r="G152" s="298"/>
    </row>
    <row r="153" spans="1:7" ht="24" customHeight="1" outlineLevel="1" x14ac:dyDescent="0.2">
      <c r="A153" s="297"/>
      <c r="B153" s="297"/>
      <c r="C153" s="278" t="s">
        <v>94</v>
      </c>
      <c r="D153" s="280" t="s">
        <v>1669</v>
      </c>
      <c r="E153" s="297"/>
      <c r="F153" s="297"/>
      <c r="G153" s="297"/>
    </row>
    <row r="154" spans="1:7" ht="24" customHeight="1" outlineLevel="1" x14ac:dyDescent="0.2">
      <c r="A154" s="171">
        <v>45903</v>
      </c>
      <c r="B154" s="114" t="s">
        <v>1661</v>
      </c>
      <c r="C154" s="177" t="s">
        <v>94</v>
      </c>
      <c r="D154" s="114" t="s">
        <v>873</v>
      </c>
      <c r="E154" s="298"/>
      <c r="F154" s="109" t="s">
        <v>109</v>
      </c>
      <c r="G154" s="55" t="s">
        <v>1662</v>
      </c>
    </row>
    <row r="155" spans="1:7" ht="24" customHeight="1" outlineLevel="1" x14ac:dyDescent="0.2">
      <c r="A155" s="299">
        <v>45911</v>
      </c>
      <c r="B155" s="299" t="s">
        <v>1663</v>
      </c>
      <c r="C155" s="177" t="s">
        <v>94</v>
      </c>
      <c r="D155" s="114" t="s">
        <v>1664</v>
      </c>
      <c r="E155" s="298"/>
      <c r="F155" s="109" t="s">
        <v>109</v>
      </c>
      <c r="G155" s="298" t="s">
        <v>1665</v>
      </c>
    </row>
    <row r="156" spans="1:7" ht="24" customHeight="1" outlineLevel="1" x14ac:dyDescent="0.2">
      <c r="A156" s="299">
        <v>45915</v>
      </c>
      <c r="B156" s="299" t="s">
        <v>1553</v>
      </c>
      <c r="C156" s="93" t="s">
        <v>94</v>
      </c>
      <c r="D156" s="299" t="s">
        <v>1555</v>
      </c>
      <c r="E156" s="298"/>
      <c r="F156" s="298" t="s">
        <v>109</v>
      </c>
      <c r="G156" s="298" t="s">
        <v>1554</v>
      </c>
    </row>
    <row r="157" spans="1:7" ht="24" customHeight="1" outlineLevel="1" x14ac:dyDescent="0.2">
      <c r="A157" s="171">
        <v>45922</v>
      </c>
      <c r="B157" s="114" t="s">
        <v>1562</v>
      </c>
      <c r="C157" s="177" t="s">
        <v>94</v>
      </c>
      <c r="D157" s="114" t="s">
        <v>1563</v>
      </c>
      <c r="E157" s="298"/>
      <c r="F157" s="109" t="s">
        <v>109</v>
      </c>
      <c r="G157" s="55" t="s">
        <v>1564</v>
      </c>
    </row>
    <row r="158" spans="1:7" ht="24" customHeight="1" outlineLevel="1" x14ac:dyDescent="0.2">
      <c r="A158" s="171"/>
      <c r="B158" s="114"/>
      <c r="C158" s="177"/>
      <c r="D158" s="114"/>
      <c r="E158" s="298"/>
      <c r="F158" s="109"/>
      <c r="G158" s="55"/>
    </row>
    <row r="160" spans="1:7" s="17" customFormat="1" outlineLevel="1" x14ac:dyDescent="0.2">
      <c r="A160" s="2"/>
      <c r="B160" s="2"/>
      <c r="C160" s="2"/>
      <c r="D160" s="2"/>
      <c r="E160" s="2"/>
      <c r="F160" s="2"/>
      <c r="G160" s="2"/>
    </row>
    <row r="161" spans="1:15" ht="60" customHeight="1" outlineLevel="1" x14ac:dyDescent="0.25">
      <c r="A161" s="1" t="s">
        <v>84</v>
      </c>
    </row>
    <row r="162" spans="1:15" ht="12.6" customHeight="1" outlineLevel="1" x14ac:dyDescent="0.25">
      <c r="A162" s="386" t="s">
        <v>85</v>
      </c>
      <c r="B162" s="386"/>
      <c r="C162" s="386"/>
      <c r="D162" s="386"/>
    </row>
    <row r="163" spans="1:15" ht="33" customHeight="1" outlineLevel="1" x14ac:dyDescent="0.2">
      <c r="A163" s="120" t="s">
        <v>81</v>
      </c>
      <c r="B163" s="120" t="s">
        <v>86</v>
      </c>
      <c r="C163" s="120" t="s">
        <v>87</v>
      </c>
      <c r="D163" s="120" t="s">
        <v>88</v>
      </c>
      <c r="E163" s="120" t="s">
        <v>89</v>
      </c>
      <c r="F163" s="120" t="s">
        <v>4</v>
      </c>
      <c r="G163" s="120" t="s">
        <v>90</v>
      </c>
    </row>
    <row r="164" spans="1:15" ht="159.75" customHeight="1" x14ac:dyDescent="0.2">
      <c r="A164" s="94"/>
      <c r="B164" s="94" t="s">
        <v>1518</v>
      </c>
      <c r="C164" s="313" t="s">
        <v>1280</v>
      </c>
      <c r="D164" s="219" t="s">
        <v>1674</v>
      </c>
      <c r="E164" s="219" t="s">
        <v>1519</v>
      </c>
      <c r="F164" s="74" t="s">
        <v>94</v>
      </c>
      <c r="G164" s="72">
        <v>2750</v>
      </c>
    </row>
    <row r="165" spans="1:15" ht="160.5" customHeight="1" x14ac:dyDescent="0.2">
      <c r="A165" s="312"/>
      <c r="B165" s="312" t="s">
        <v>1517</v>
      </c>
      <c r="C165" s="313" t="s">
        <v>1280</v>
      </c>
      <c r="D165" s="96" t="s">
        <v>1673</v>
      </c>
      <c r="E165" s="72" t="s">
        <v>1516</v>
      </c>
      <c r="F165" s="74" t="s">
        <v>94</v>
      </c>
      <c r="G165" s="72">
        <v>2750</v>
      </c>
    </row>
    <row r="166" spans="1:15" ht="107.25" customHeight="1" x14ac:dyDescent="0.2">
      <c r="A166" s="94"/>
      <c r="B166" s="219" t="s">
        <v>1169</v>
      </c>
      <c r="C166" s="238" t="s">
        <v>1280</v>
      </c>
      <c r="D166" s="225" t="s">
        <v>1679</v>
      </c>
      <c r="E166" s="132" t="s">
        <v>1513</v>
      </c>
      <c r="F166" s="74" t="s">
        <v>94</v>
      </c>
      <c r="G166" s="72">
        <v>2857</v>
      </c>
    </row>
    <row r="167" spans="1:15" ht="80.25" customHeight="1" x14ac:dyDescent="0.2">
      <c r="A167" s="130"/>
      <c r="B167" s="148" t="s">
        <v>1514</v>
      </c>
      <c r="C167" s="238" t="s">
        <v>1280</v>
      </c>
      <c r="D167" s="96" t="s">
        <v>1680</v>
      </c>
      <c r="E167" s="132" t="s">
        <v>1166</v>
      </c>
      <c r="F167" s="74" t="s">
        <v>94</v>
      </c>
      <c r="G167" s="72">
        <v>800</v>
      </c>
    </row>
    <row r="168" spans="1:15" ht="51" x14ac:dyDescent="0.2">
      <c r="A168" s="130"/>
      <c r="B168" s="148" t="s">
        <v>1569</v>
      </c>
      <c r="C168" s="238" t="s">
        <v>1280</v>
      </c>
      <c r="D168" s="94" t="s">
        <v>1568</v>
      </c>
      <c r="E168" s="132" t="s">
        <v>1515</v>
      </c>
      <c r="F168" s="74" t="s">
        <v>94</v>
      </c>
      <c r="G168" s="72">
        <v>1250</v>
      </c>
    </row>
    <row r="169" spans="1:15" s="124" customFormat="1" ht="12.75" customHeight="1" outlineLevel="1" x14ac:dyDescent="0.2">
      <c r="A169" s="2"/>
      <c r="B169" s="122"/>
      <c r="C169" s="123"/>
      <c r="D169" s="2"/>
      <c r="E169" s="2"/>
      <c r="F169" s="122"/>
      <c r="G169" s="2"/>
      <c r="H169" s="2"/>
      <c r="I169" s="2"/>
      <c r="J169" s="2"/>
      <c r="K169" s="2"/>
      <c r="L169" s="2"/>
      <c r="M169" s="2"/>
      <c r="N169" s="2"/>
      <c r="O169" s="2"/>
    </row>
    <row r="170" spans="1:15" ht="60" customHeight="1" outlineLevel="1" x14ac:dyDescent="0.2">
      <c r="A170" s="122"/>
      <c r="B170" s="122"/>
      <c r="C170" s="123"/>
      <c r="F170" s="122"/>
    </row>
    <row r="171" spans="1:15" ht="60" customHeight="1" outlineLevel="1" x14ac:dyDescent="0.25">
      <c r="A171" s="386" t="s">
        <v>92</v>
      </c>
      <c r="B171" s="386"/>
      <c r="C171" s="386"/>
      <c r="D171" s="386"/>
    </row>
    <row r="172" spans="1:15" x14ac:dyDescent="0.2">
      <c r="A172" s="120" t="s">
        <v>81</v>
      </c>
      <c r="B172" s="120" t="s">
        <v>86</v>
      </c>
      <c r="C172" s="120" t="s">
        <v>87</v>
      </c>
      <c r="D172" s="120" t="s">
        <v>88</v>
      </c>
      <c r="E172" s="120" t="s">
        <v>89</v>
      </c>
      <c r="F172" s="120" t="s">
        <v>4</v>
      </c>
      <c r="G172" s="120" t="s">
        <v>90</v>
      </c>
    </row>
    <row r="173" spans="1:15" ht="15" x14ac:dyDescent="0.25">
      <c r="A173" s="94"/>
      <c r="B173" s="94"/>
      <c r="C173" s="125"/>
      <c r="D173"/>
      <c r="E173" s="121"/>
      <c r="F173" s="74" t="s">
        <v>94</v>
      </c>
      <c r="G173" s="9"/>
    </row>
    <row r="174" spans="1:15" ht="15" x14ac:dyDescent="0.25">
      <c r="A174" s="94"/>
      <c r="B174" s="94"/>
      <c r="C174" s="125"/>
      <c r="D174"/>
      <c r="E174" s="121"/>
      <c r="F174" s="74" t="s">
        <v>94</v>
      </c>
      <c r="G174" s="126"/>
    </row>
  </sheetData>
  <mergeCells count="14">
    <mergeCell ref="A162:D162"/>
    <mergeCell ref="A171:D171"/>
    <mergeCell ref="A51:D51"/>
    <mergeCell ref="A64:D64"/>
    <mergeCell ref="A73:D73"/>
    <mergeCell ref="A92:D92"/>
    <mergeCell ref="A140:D140"/>
    <mergeCell ref="A145:D145"/>
    <mergeCell ref="A44:D44"/>
    <mergeCell ref="A5:D5"/>
    <mergeCell ref="A10:D10"/>
    <mergeCell ref="A15:D15"/>
    <mergeCell ref="A20:D20"/>
    <mergeCell ref="A38:D38"/>
  </mergeCells>
  <conditionalFormatting sqref="G174 G166:G168 G164 C166:C168 C164">
    <cfRule type="cellIs" dxfId="376" priority="27" operator="equal">
      <formula>"ДА"</formula>
    </cfRule>
    <cfRule type="cellIs" dxfId="375" priority="28" operator="equal">
      <formula>"НЕТ"</formula>
    </cfRule>
    <cfRule type="cellIs" dxfId="374" priority="29" operator="equal">
      <formula>"Нет"</formula>
    </cfRule>
    <cfRule type="cellIs" dxfId="373" priority="30" operator="equal">
      <formula>"нет"</formula>
    </cfRule>
    <cfRule type="cellIs" dxfId="372" priority="31" operator="equal">
      <formula>"ДА"</formula>
    </cfRule>
    <cfRule type="containsText" dxfId="371" priority="32" operator="containsText" text="Да">
      <formula>NOT(ISERROR(SEARCH("Да",C164)))</formula>
    </cfRule>
  </conditionalFormatting>
  <conditionalFormatting sqref="E7 E12">
    <cfRule type="cellIs" dxfId="370" priority="39" operator="lessThan">
      <formula>0</formula>
    </cfRule>
    <cfRule type="cellIs" dxfId="369" priority="40" operator="greaterThan">
      <formula>0</formula>
    </cfRule>
  </conditionalFormatting>
  <conditionalFormatting sqref="D7 D12 E17">
    <cfRule type="cellIs" dxfId="368" priority="37" operator="lessThan">
      <formula>0</formula>
    </cfRule>
    <cfRule type="cellIs" dxfId="367" priority="38" operator="greaterThan">
      <formula>0</formula>
    </cfRule>
  </conditionalFormatting>
  <conditionalFormatting sqref="H66">
    <cfRule type="cellIs" dxfId="366" priority="35" operator="lessThan">
      <formula>1</formula>
    </cfRule>
    <cfRule type="cellIs" dxfId="365" priority="36" operator="greaterThan">
      <formula>1</formula>
    </cfRule>
  </conditionalFormatting>
  <conditionalFormatting sqref="H69">
    <cfRule type="cellIs" dxfId="364" priority="33" operator="lessThan">
      <formula>1</formula>
    </cfRule>
    <cfRule type="cellIs" dxfId="363" priority="34" operator="greaterThan">
      <formula>1</formula>
    </cfRule>
  </conditionalFormatting>
  <conditionalFormatting sqref="G173">
    <cfRule type="cellIs" dxfId="362" priority="21" operator="equal">
      <formula>"ДА"</formula>
    </cfRule>
    <cfRule type="cellIs" dxfId="361" priority="22" operator="equal">
      <formula>"НЕТ"</formula>
    </cfRule>
    <cfRule type="cellIs" dxfId="360" priority="23" operator="equal">
      <formula>"Нет"</formula>
    </cfRule>
    <cfRule type="cellIs" dxfId="359" priority="24" operator="equal">
      <formula>"нет"</formula>
    </cfRule>
    <cfRule type="cellIs" dxfId="358" priority="25" operator="equal">
      <formula>"ДА"</formula>
    </cfRule>
    <cfRule type="containsText" dxfId="357" priority="26" operator="containsText" text="Да">
      <formula>NOT(ISERROR(SEARCH("Да",G173)))</formula>
    </cfRule>
  </conditionalFormatting>
  <conditionalFormatting sqref="C165">
    <cfRule type="cellIs" dxfId="356" priority="1" operator="equal">
      <formula>"ДА"</formula>
    </cfRule>
    <cfRule type="cellIs" dxfId="355" priority="2" operator="equal">
      <formula>"НЕТ"</formula>
    </cfRule>
    <cfRule type="cellIs" dxfId="354" priority="3" operator="equal">
      <formula>"Нет"</formula>
    </cfRule>
    <cfRule type="cellIs" dxfId="353" priority="4" operator="equal">
      <formula>"нет"</formula>
    </cfRule>
    <cfRule type="cellIs" dxfId="352" priority="5" operator="equal">
      <formula>"ДА"</formula>
    </cfRule>
    <cfRule type="containsText" dxfId="351" priority="6" operator="containsText" text="Да">
      <formula>NOT(ISERROR(SEARCH("Да",C165)))</formula>
    </cfRule>
  </conditionalFormatting>
  <pageMargins left="0.7" right="0.7" top="0.75" bottom="0.75" header="0.3" footer="0.3"/>
  <pageSetup paperSize="9" orientation="portrait" r:id="rId1"/>
  <legacy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97D6F-9466-44D4-9211-E7291A5C5A5B}">
  <dimension ref="A1:O140"/>
  <sheetViews>
    <sheetView zoomScale="85" zoomScaleNormal="85" workbookViewId="0">
      <selection activeCell="B12" sqref="B12"/>
    </sheetView>
  </sheetViews>
  <sheetFormatPr defaultColWidth="9.140625" defaultRowHeight="12.75" outlineLevelRow="1" x14ac:dyDescent="0.2"/>
  <cols>
    <col min="1" max="1" width="30.28515625" style="2" customWidth="1"/>
    <col min="2" max="2" width="35.7109375" style="2" customWidth="1"/>
    <col min="3" max="3" width="31.5703125" style="2" bestFit="1" customWidth="1"/>
    <col min="4" max="4" width="41.42578125" style="2" customWidth="1"/>
    <col min="5" max="5" width="34.85546875" style="2" customWidth="1"/>
    <col min="6" max="6" width="27.140625" style="2" customWidth="1"/>
    <col min="7" max="7" width="27.42578125" style="2" customWidth="1"/>
    <col min="8" max="8" width="36" style="2" customWidth="1"/>
    <col min="9" max="16384" width="9.140625" style="2"/>
  </cols>
  <sheetData>
    <row r="1" spans="1:7" ht="24.75" customHeight="1" x14ac:dyDescent="0.25">
      <c r="A1" s="134" t="s">
        <v>94</v>
      </c>
    </row>
    <row r="2" spans="1:7" ht="15.75" x14ac:dyDescent="0.25">
      <c r="A2" s="134" t="s">
        <v>1691</v>
      </c>
    </row>
    <row r="3" spans="1:7" x14ac:dyDescent="0.2">
      <c r="A3" s="3"/>
    </row>
    <row r="4" spans="1:7" ht="15.75" x14ac:dyDescent="0.25">
      <c r="A4" s="1" t="s">
        <v>0</v>
      </c>
      <c r="B4" s="2" t="s">
        <v>1</v>
      </c>
      <c r="C4" s="2" t="s">
        <v>2</v>
      </c>
    </row>
    <row r="5" spans="1:7" ht="15" x14ac:dyDescent="0.25">
      <c r="A5" s="386" t="s">
        <v>3</v>
      </c>
      <c r="B5" s="386"/>
      <c r="C5" s="386"/>
      <c r="D5" s="386"/>
      <c r="F5" s="4"/>
    </row>
    <row r="6" spans="1:7" s="6" customFormat="1" outlineLevel="1" x14ac:dyDescent="0.2">
      <c r="A6" s="5" t="s">
        <v>4</v>
      </c>
      <c r="B6" s="5" t="s">
        <v>5</v>
      </c>
      <c r="C6" s="5" t="s">
        <v>6</v>
      </c>
      <c r="D6" s="5" t="s">
        <v>7</v>
      </c>
      <c r="E6" s="5" t="s">
        <v>8</v>
      </c>
      <c r="F6" s="5" t="s">
        <v>10</v>
      </c>
      <c r="G6" s="186"/>
    </row>
    <row r="7" spans="1:7" outlineLevel="1" x14ac:dyDescent="0.2">
      <c r="A7" s="7" t="s">
        <v>94</v>
      </c>
      <c r="B7" s="8">
        <f>C28</f>
        <v>270000</v>
      </c>
      <c r="C7" s="9">
        <f>B28</f>
        <v>140746</v>
      </c>
      <c r="D7" s="10">
        <f>Таблица11029163037445158657223303744515865727986931009223548627690104107127139151163183152947637995111127143159175183450668298114130146545561577589605619635651667683700717163247627792107122137152182167[Факт, руб.]/Таблица11029163037445158657223303744515865727986931009223548627690104107127139151163183152947637995111127143159175183450668298114130146545561577589605619635651667683700717163247627792107122137152182167[План, руб.]-100%</f>
        <v>-0.47871851851851854</v>
      </c>
      <c r="E7" s="11">
        <f>Таблица11029163037445158657223303744515865727986931009223548627690104107127139151163183152947637995111127143159175183450668298114130146545561577589605619635651667683700717163247627792107122137152182167[Факт, руб.]-Таблица11029163037445158657223303744515865727986931009223548627690104107127139151163183152947637995111127143159175183450668298114130146545561577589605619635651667683700717163247627792107122137152182167[План, руб.]</f>
        <v>-129254</v>
      </c>
      <c r="F7" s="9">
        <f>B27</f>
        <v>126413.71</v>
      </c>
      <c r="G7" s="185"/>
    </row>
    <row r="8" spans="1:7" x14ac:dyDescent="0.2">
      <c r="A8" s="12"/>
      <c r="B8" s="13"/>
      <c r="C8" s="13"/>
      <c r="D8" s="14"/>
      <c r="F8" s="15"/>
      <c r="G8" s="16"/>
    </row>
    <row r="9" spans="1:7" ht="15" customHeight="1" x14ac:dyDescent="0.2">
      <c r="A9" s="12"/>
      <c r="B9" s="13"/>
      <c r="C9" s="13"/>
      <c r="D9" s="14"/>
      <c r="F9" s="17"/>
    </row>
    <row r="10" spans="1:7" ht="15" x14ac:dyDescent="0.25">
      <c r="A10" s="386" t="s">
        <v>11</v>
      </c>
      <c r="B10" s="386"/>
      <c r="C10" s="386"/>
      <c r="D10" s="386"/>
      <c r="F10" s="17"/>
    </row>
    <row r="11" spans="1:7" s="6" customFormat="1" outlineLevel="1" x14ac:dyDescent="0.2">
      <c r="A11" s="18" t="s">
        <v>4</v>
      </c>
      <c r="B11" s="19" t="s">
        <v>12</v>
      </c>
      <c r="C11" s="19" t="s">
        <v>13</v>
      </c>
      <c r="D11" s="19" t="s">
        <v>7</v>
      </c>
      <c r="E11" s="19" t="s">
        <v>8</v>
      </c>
      <c r="F11" s="20"/>
    </row>
    <row r="12" spans="1:7" outlineLevel="1" x14ac:dyDescent="0.2">
      <c r="A12" s="7" t="s">
        <v>94</v>
      </c>
      <c r="B12" s="8">
        <f>SUM(C22:C28)</f>
        <v>1580000</v>
      </c>
      <c r="C12" s="8">
        <f>B34</f>
        <v>809182.92</v>
      </c>
      <c r="D12" s="21">
        <f>C12/B12-100%</f>
        <v>-0.487858911392405</v>
      </c>
      <c r="E12" s="8">
        <f>C12-B12</f>
        <v>-770817.08</v>
      </c>
      <c r="F12" s="17"/>
      <c r="G12" s="22"/>
    </row>
    <row r="13" spans="1:7" x14ac:dyDescent="0.2">
      <c r="A13" s="12"/>
      <c r="B13" s="13"/>
      <c r="C13" s="13"/>
      <c r="D13" s="14"/>
      <c r="F13" s="17"/>
    </row>
    <row r="14" spans="1:7" x14ac:dyDescent="0.2">
      <c r="A14" s="13"/>
      <c r="B14" s="13"/>
      <c r="C14" s="13"/>
      <c r="D14" s="14"/>
      <c r="F14" s="17"/>
      <c r="G14" s="22"/>
    </row>
    <row r="15" spans="1:7" ht="15" x14ac:dyDescent="0.25">
      <c r="A15" s="386" t="s">
        <v>393</v>
      </c>
      <c r="B15" s="386"/>
      <c r="C15" s="386"/>
      <c r="D15" s="386"/>
      <c r="F15" s="17"/>
    </row>
    <row r="16" spans="1:7" s="6" customFormat="1" outlineLevel="1" x14ac:dyDescent="0.2">
      <c r="A16" s="5" t="s">
        <v>4</v>
      </c>
      <c r="B16" s="5" t="s">
        <v>16</v>
      </c>
      <c r="C16" s="5" t="s">
        <v>93</v>
      </c>
      <c r="D16" s="5" t="s">
        <v>1037</v>
      </c>
      <c r="E16" s="5" t="s">
        <v>17</v>
      </c>
      <c r="F16" s="23"/>
    </row>
    <row r="17" spans="1:5" outlineLevel="1" x14ac:dyDescent="0.2">
      <c r="A17" s="7" t="s">
        <v>94</v>
      </c>
      <c r="B17" s="8">
        <v>0</v>
      </c>
      <c r="C17" s="24">
        <v>0</v>
      </c>
      <c r="D17" s="24">
        <f>B34</f>
        <v>809182.92</v>
      </c>
      <c r="E17" s="21" t="e">
        <f>Таблица211301731384552596673243138455259667380879410110233649637791105109128140152164184163248648096112128144160176193551678399115131147546562578590606620636652668684701718173348637893108123138153183168[Профит ФГ 25-26]/Таблица211301731384552596673243138455259667380879410110233649637791105109128140152164184163248648096112128144160176193551678399115131147546562578590606620636652668684701718173348637893108123138153183168[Профит ФГ 24-25]</f>
        <v>#DIV/0!</v>
      </c>
    </row>
    <row r="20" spans="1:5" ht="15" x14ac:dyDescent="0.25">
      <c r="A20" s="386" t="s">
        <v>18</v>
      </c>
      <c r="B20" s="386"/>
      <c r="C20" s="386"/>
      <c r="D20" s="386"/>
    </row>
    <row r="21" spans="1:5" ht="24.95" customHeight="1" outlineLevel="1" x14ac:dyDescent="0.2">
      <c r="A21" s="25" t="s">
        <v>19</v>
      </c>
      <c r="B21" s="26" t="s">
        <v>20</v>
      </c>
      <c r="C21" s="26" t="s">
        <v>21</v>
      </c>
      <c r="D21" s="25" t="s">
        <v>22</v>
      </c>
    </row>
    <row r="22" spans="1:5" outlineLevel="1" x14ac:dyDescent="0.2">
      <c r="A22" s="30" t="s">
        <v>23</v>
      </c>
      <c r="B22" s="31">
        <v>255961.25</v>
      </c>
      <c r="C22" s="31">
        <v>170000</v>
      </c>
      <c r="D22" s="32">
        <f>Таблица4936997167333146617691106121136151166196181[[#This Row],[Профит]]/Таблица4936997167333146617691106121136151166196181[[#This Row],[План]]</f>
        <v>1.5056544117647059</v>
      </c>
    </row>
    <row r="23" spans="1:5" outlineLevel="1" x14ac:dyDescent="0.2">
      <c r="A23" s="30" t="s">
        <v>25</v>
      </c>
      <c r="B23" s="135">
        <v>85933.41</v>
      </c>
      <c r="C23" s="31">
        <v>190000</v>
      </c>
      <c r="D23" s="32">
        <f>Таблица4936997167333146617691106121136151166196181[[#This Row],[Профит]]/Таблица4936997167333146617691106121136151166196181[[#This Row],[План]]</f>
        <v>0.4522811052631579</v>
      </c>
    </row>
    <row r="24" spans="1:5" outlineLevel="1" x14ac:dyDescent="0.2">
      <c r="A24" s="30" t="s">
        <v>26</v>
      </c>
      <c r="B24" s="135">
        <v>60194.18</v>
      </c>
      <c r="C24" s="31">
        <v>210000</v>
      </c>
      <c r="D24" s="32">
        <f>Таблица4936997167333146617691106121136151166196181[[#This Row],[Профит]]/Таблица4936997167333146617691106121136151166196181[[#This Row],[План]]</f>
        <v>0.28663895238095238</v>
      </c>
      <c r="E24" s="24"/>
    </row>
    <row r="25" spans="1:5" outlineLevel="1" x14ac:dyDescent="0.2">
      <c r="A25" s="30" t="s">
        <v>27</v>
      </c>
      <c r="B25" s="135">
        <v>88786.75</v>
      </c>
      <c r="C25" s="31">
        <v>220000</v>
      </c>
      <c r="D25" s="32">
        <f>Таблица4936997167333146617691106121136151166196181[[#This Row],[Профит]]/Таблица4936997167333146617691106121136151166196181[[#This Row],[План]]</f>
        <v>0.40357613636363637</v>
      </c>
    </row>
    <row r="26" spans="1:5" outlineLevel="1" x14ac:dyDescent="0.2">
      <c r="A26" s="30" t="s">
        <v>28</v>
      </c>
      <c r="B26" s="135">
        <v>51147.62</v>
      </c>
      <c r="C26" s="31">
        <v>250000</v>
      </c>
      <c r="D26" s="32">
        <f>Таблица4936997167333146617691106121136151166196181[[#This Row],[Профит]]/Таблица4936997167333146617691106121136151166196181[[#This Row],[План]]</f>
        <v>0.20459048000000002</v>
      </c>
    </row>
    <row r="27" spans="1:5" outlineLevel="1" x14ac:dyDescent="0.2">
      <c r="A27" s="30" t="s">
        <v>29</v>
      </c>
      <c r="B27" s="135">
        <v>126413.71</v>
      </c>
      <c r="C27" s="31">
        <v>270000</v>
      </c>
      <c r="D27" s="32">
        <f>Таблица4936997167333146617691106121136151166196181[[#This Row],[Профит]]/Таблица4936997167333146617691106121136151166196181[[#This Row],[План]]</f>
        <v>0.46819892592592594</v>
      </c>
    </row>
    <row r="28" spans="1:5" outlineLevel="1" x14ac:dyDescent="0.2">
      <c r="A28" s="30" t="s">
        <v>30</v>
      </c>
      <c r="B28" s="135">
        <v>140746</v>
      </c>
      <c r="C28" s="31">
        <v>270000</v>
      </c>
      <c r="D28" s="32">
        <f>Таблица4936997167333146617691106121136151166196181[[#This Row],[Профит]]/Таблица4936997167333146617691106121136151166196181[[#This Row],[План]]</f>
        <v>0.52128148148148146</v>
      </c>
    </row>
    <row r="29" spans="1:5" outlineLevel="1" x14ac:dyDescent="0.2">
      <c r="A29" s="30" t="s">
        <v>31</v>
      </c>
      <c r="B29" s="31">
        <v>0</v>
      </c>
      <c r="C29" s="31">
        <v>330000</v>
      </c>
      <c r="D29" s="32">
        <f>Таблица4936997167333146617691106121136151166196181[[#This Row],[Профит]]/Таблица4936997167333146617691106121136151166196181[[#This Row],[План]]</f>
        <v>0</v>
      </c>
    </row>
    <row r="30" spans="1:5" outlineLevel="1" x14ac:dyDescent="0.2">
      <c r="A30" s="30" t="s">
        <v>32</v>
      </c>
      <c r="B30" s="34">
        <v>0</v>
      </c>
      <c r="C30" s="34">
        <v>390000</v>
      </c>
      <c r="D30" s="32">
        <f>Таблица4936997167333146617691106121136151166196181[[#This Row],[Профит]]/Таблица4936997167333146617691106121136151166196181[[#This Row],[План]]</f>
        <v>0</v>
      </c>
    </row>
    <row r="31" spans="1:5" outlineLevel="1" x14ac:dyDescent="0.2">
      <c r="A31" s="30" t="s">
        <v>33</v>
      </c>
      <c r="B31" s="34">
        <v>0</v>
      </c>
      <c r="C31" s="34">
        <v>300000</v>
      </c>
      <c r="D31" s="32">
        <f>Таблица4936997167333146617691106121136151166196181[[#This Row],[Профит]]/Таблица4936997167333146617691106121136151166196181[[#This Row],[План]]</f>
        <v>0</v>
      </c>
    </row>
    <row r="32" spans="1:5" outlineLevel="1" x14ac:dyDescent="0.2">
      <c r="A32" s="30" t="s">
        <v>34</v>
      </c>
      <c r="B32" s="34">
        <v>0</v>
      </c>
      <c r="C32" s="34">
        <v>330000</v>
      </c>
      <c r="D32" s="32">
        <f>Таблица4936997167333146617691106121136151166196181[[#This Row],[Профит]]/Таблица4936997167333146617691106121136151166196181[[#This Row],[План]]</f>
        <v>0</v>
      </c>
    </row>
    <row r="33" spans="1:8" outlineLevel="1" x14ac:dyDescent="0.2">
      <c r="A33" s="33" t="s">
        <v>35</v>
      </c>
      <c r="B33" s="34">
        <v>0</v>
      </c>
      <c r="C33" s="34">
        <v>360000</v>
      </c>
      <c r="D33" s="32">
        <f>Таблица4936997167333146617691106121136151166196181[[#This Row],[Профит]]/Таблица4936997167333146617691106121136151166196181[[#This Row],[План]]</f>
        <v>0</v>
      </c>
      <c r="H33" s="35"/>
    </row>
    <row r="34" spans="1:8" ht="15" outlineLevel="1" x14ac:dyDescent="0.25">
      <c r="A34" s="36" t="s">
        <v>36</v>
      </c>
      <c r="B34" s="37">
        <f>SUM(B22:B33)</f>
        <v>809182.92</v>
      </c>
      <c r="C34" s="38">
        <f>SUM(C22:C33)</f>
        <v>3290000</v>
      </c>
      <c r="D34" s="39"/>
    </row>
    <row r="35" spans="1:8" outlineLevel="1" x14ac:dyDescent="0.2">
      <c r="A35" s="41" t="s">
        <v>37</v>
      </c>
      <c r="B35" s="42">
        <f>AVERAGE(B22:B28)</f>
        <v>115597.56000000001</v>
      </c>
      <c r="C35" s="42">
        <f>AVERAGE(C22:C33)</f>
        <v>274166.66666666669</v>
      </c>
      <c r="D35" s="43">
        <f>B35/C35</f>
        <v>0.42163243768996961</v>
      </c>
    </row>
    <row r="38" spans="1:8" ht="15" x14ac:dyDescent="0.25">
      <c r="A38" s="386" t="s">
        <v>38</v>
      </c>
      <c r="B38" s="386"/>
      <c r="C38" s="386"/>
      <c r="D38" s="386"/>
    </row>
    <row r="39" spans="1:8" s="328" customFormat="1" ht="24.95" customHeight="1" outlineLevel="1" x14ac:dyDescent="0.25">
      <c r="A39" s="327" t="s">
        <v>39</v>
      </c>
      <c r="B39" s="327" t="s">
        <v>40</v>
      </c>
      <c r="C39" s="327" t="s">
        <v>41</v>
      </c>
      <c r="D39" s="327" t="s">
        <v>42</v>
      </c>
      <c r="E39" s="327" t="s">
        <v>43</v>
      </c>
      <c r="F39" s="325"/>
    </row>
    <row r="40" spans="1:8" outlineLevel="1" x14ac:dyDescent="0.2">
      <c r="A40" s="8">
        <f>B28</f>
        <v>140746</v>
      </c>
      <c r="B40" s="46">
        <f>50000</f>
        <v>50000</v>
      </c>
      <c r="C40" s="136">
        <f>A40*0.065*1</f>
        <v>9148.49</v>
      </c>
      <c r="D40" s="47">
        <f>SUM(G130:G132)</f>
        <v>7500</v>
      </c>
      <c r="E40" s="48">
        <v>0</v>
      </c>
    </row>
    <row r="41" spans="1:8" outlineLevel="1" x14ac:dyDescent="0.2">
      <c r="A41" s="49" t="s">
        <v>44</v>
      </c>
      <c r="B41" s="137">
        <f>Таблица294459759110712313915517118730466278941101261421585565725886026166306466626786947117282843587388103118133148163193178[Оклад]+Таблица294459759110712313915517118730466278941101261421585565725886026166306466626786947117282843587388103118133148163193178[Премия]+Таблица294459759110712313915517118730466278941101261421585565725886026166306466626786947117282843587388103118133148163193178[Штрафы]+Таблица294459759110712313915517118730466278941101261421585565725886026166306466626786947117282843587388103118133148163193178[Доплата за Задачи]</f>
        <v>66648.489999999991</v>
      </c>
      <c r="C41" s="50"/>
    </row>
    <row r="42" spans="1:8" x14ac:dyDescent="0.2">
      <c r="A42" s="40"/>
      <c r="B42" s="40"/>
    </row>
    <row r="43" spans="1:8" x14ac:dyDescent="0.2">
      <c r="A43" s="51"/>
      <c r="B43" s="51"/>
      <c r="C43" s="51"/>
      <c r="D43" s="52"/>
      <c r="E43" s="53"/>
      <c r="F43" s="53"/>
      <c r="H43" s="22"/>
    </row>
    <row r="44" spans="1:8" ht="15" x14ac:dyDescent="0.25">
      <c r="A44" s="386" t="s">
        <v>45</v>
      </c>
      <c r="B44" s="386"/>
      <c r="C44" s="386"/>
      <c r="D44" s="386"/>
      <c r="E44" s="53"/>
      <c r="F44" s="53"/>
      <c r="H44" s="22"/>
    </row>
    <row r="45" spans="1:8" s="325" customFormat="1" ht="24.95" customHeight="1" outlineLevel="1" x14ac:dyDescent="0.25">
      <c r="A45" s="74" t="s">
        <v>46</v>
      </c>
      <c r="B45" s="74" t="s">
        <v>47</v>
      </c>
      <c r="C45" s="74" t="s">
        <v>48</v>
      </c>
      <c r="D45" s="94" t="s">
        <v>49</v>
      </c>
      <c r="G45" s="326"/>
    </row>
    <row r="46" spans="1:8" ht="24.95" customHeight="1" outlineLevel="1" x14ac:dyDescent="0.2">
      <c r="A46" s="55" t="s">
        <v>24</v>
      </c>
      <c r="B46" s="60"/>
      <c r="C46" s="60"/>
      <c r="D46" s="61">
        <v>0</v>
      </c>
      <c r="G46" s="62"/>
      <c r="H46" s="6"/>
    </row>
    <row r="47" spans="1:8" outlineLevel="1" x14ac:dyDescent="0.2">
      <c r="A47" s="63"/>
      <c r="B47" s="64" t="s">
        <v>50</v>
      </c>
      <c r="C47" s="65">
        <f>SUM(Таблица546243318323946536067742532394653606774818895102112437506478921061101291411531651851733496581971131291451611772036526884100116132148547563579593607621637653669685702719193449647994109124139154184169[Общая сумма долга])</f>
        <v>0</v>
      </c>
      <c r="D47" s="66">
        <v>0</v>
      </c>
      <c r="E47" s="67" t="s">
        <v>51</v>
      </c>
      <c r="F47" s="51"/>
      <c r="G47" s="51"/>
      <c r="H47" s="51"/>
    </row>
    <row r="48" spans="1:8" outlineLevel="1" x14ac:dyDescent="0.2">
      <c r="A48" s="63"/>
      <c r="B48" s="64"/>
      <c r="C48" s="65"/>
      <c r="D48" s="51"/>
      <c r="E48" s="51"/>
      <c r="F48" s="51"/>
      <c r="G48" s="51"/>
      <c r="H48" s="51"/>
    </row>
    <row r="49" spans="1:8" x14ac:dyDescent="0.2">
      <c r="A49" s="63"/>
      <c r="B49" s="51"/>
      <c r="C49" s="51"/>
      <c r="D49" s="52"/>
      <c r="E49" s="51"/>
      <c r="F49" s="53"/>
      <c r="G49" s="51"/>
      <c r="H49" s="68"/>
    </row>
    <row r="50" spans="1:8" x14ac:dyDescent="0.2">
      <c r="A50" s="63"/>
      <c r="B50" s="51"/>
      <c r="C50" s="51"/>
      <c r="D50" s="52"/>
      <c r="E50" s="51"/>
      <c r="F50" s="53"/>
      <c r="G50" s="51"/>
      <c r="H50" s="68"/>
    </row>
    <row r="51" spans="1:8" ht="15" x14ac:dyDescent="0.25">
      <c r="A51" s="387" t="s">
        <v>52</v>
      </c>
      <c r="B51" s="387"/>
      <c r="C51" s="387"/>
      <c r="D51" s="387"/>
      <c r="E51" s="53"/>
      <c r="F51" s="53"/>
      <c r="G51" s="51"/>
    </row>
    <row r="52" spans="1:8" s="104" customFormat="1" ht="24.95" customHeight="1" outlineLevel="1" x14ac:dyDescent="0.25">
      <c r="A52" s="329" t="s">
        <v>53</v>
      </c>
      <c r="B52" s="330" t="s">
        <v>54</v>
      </c>
      <c r="C52" s="330" t="s">
        <v>55</v>
      </c>
      <c r="D52" s="331" t="s">
        <v>56</v>
      </c>
      <c r="E52" s="331" t="s">
        <v>4</v>
      </c>
      <c r="F52" s="332" t="s">
        <v>57</v>
      </c>
      <c r="G52" s="333"/>
    </row>
    <row r="53" spans="1:8" s="6" customFormat="1" ht="26.25" customHeight="1" outlineLevel="1" x14ac:dyDescent="0.2">
      <c r="A53" s="173" t="s">
        <v>1154</v>
      </c>
      <c r="B53" s="131">
        <v>39750</v>
      </c>
      <c r="C53" s="131">
        <v>39750</v>
      </c>
      <c r="D53" s="249">
        <v>1</v>
      </c>
      <c r="E53" s="177" t="s">
        <v>94</v>
      </c>
      <c r="F53" s="250" t="s">
        <v>1155</v>
      </c>
    </row>
    <row r="54" spans="1:8" s="6" customFormat="1" ht="26.25" customHeight="1" outlineLevel="1" x14ac:dyDescent="0.2">
      <c r="A54" s="173" t="s">
        <v>1041</v>
      </c>
      <c r="B54" s="246">
        <v>168050</v>
      </c>
      <c r="C54" s="131">
        <v>24959.52</v>
      </c>
      <c r="D54" s="249">
        <v>0.17399999999999999</v>
      </c>
      <c r="E54" s="177" t="s">
        <v>94</v>
      </c>
      <c r="F54" s="250" t="s">
        <v>1736</v>
      </c>
    </row>
    <row r="55" spans="1:8" s="6" customFormat="1" ht="26.25" customHeight="1" outlineLevel="1" x14ac:dyDescent="0.2">
      <c r="A55" s="173" t="s">
        <v>1725</v>
      </c>
      <c r="B55" s="246">
        <v>108228</v>
      </c>
      <c r="C55" s="131">
        <v>24716.38</v>
      </c>
      <c r="D55" s="249">
        <v>0.29599999999999999</v>
      </c>
      <c r="E55" s="177" t="s">
        <v>94</v>
      </c>
      <c r="F55" s="250" t="s">
        <v>1735</v>
      </c>
    </row>
    <row r="56" spans="1:8" s="6" customFormat="1" ht="26.25" customHeight="1" outlineLevel="1" x14ac:dyDescent="0.2">
      <c r="A56" s="173" t="s">
        <v>1370</v>
      </c>
      <c r="B56" s="323">
        <v>21600</v>
      </c>
      <c r="C56" s="131">
        <v>21600</v>
      </c>
      <c r="D56" s="249">
        <v>1</v>
      </c>
      <c r="E56" s="177" t="s">
        <v>94</v>
      </c>
      <c r="F56" s="250" t="s">
        <v>1155</v>
      </c>
    </row>
    <row r="57" spans="1:8" s="6" customFormat="1" ht="24.75" customHeight="1" outlineLevel="1" x14ac:dyDescent="0.2">
      <c r="A57" s="173" t="s">
        <v>1726</v>
      </c>
      <c r="B57" s="246">
        <v>68000</v>
      </c>
      <c r="C57" s="131">
        <v>9108.6200000000008</v>
      </c>
      <c r="D57" s="249">
        <v>0.155</v>
      </c>
      <c r="E57" s="177" t="s">
        <v>94</v>
      </c>
      <c r="F57" s="250" t="s">
        <v>102</v>
      </c>
    </row>
    <row r="58" spans="1:8" s="6" customFormat="1" ht="41.25" customHeight="1" outlineLevel="1" x14ac:dyDescent="0.2">
      <c r="A58" s="173" t="s">
        <v>1727</v>
      </c>
      <c r="B58" s="246">
        <v>74780</v>
      </c>
      <c r="C58" s="131">
        <v>5617.76</v>
      </c>
      <c r="D58" s="249">
        <v>8.1000000000000003E-2</v>
      </c>
      <c r="E58" s="177" t="s">
        <v>94</v>
      </c>
      <c r="F58" s="250" t="s">
        <v>102</v>
      </c>
    </row>
    <row r="59" spans="1:8" s="6" customFormat="1" ht="24" customHeight="1" outlineLevel="1" x14ac:dyDescent="0.2">
      <c r="A59" s="173" t="s">
        <v>1728</v>
      </c>
      <c r="B59" s="246">
        <v>173250</v>
      </c>
      <c r="C59" s="131">
        <v>5157.3</v>
      </c>
      <c r="D59" s="249">
        <v>3.1E-2</v>
      </c>
      <c r="E59" s="177" t="s">
        <v>94</v>
      </c>
      <c r="F59" s="250" t="s">
        <v>102</v>
      </c>
    </row>
    <row r="60" spans="1:8" s="6" customFormat="1" ht="24" customHeight="1" outlineLevel="1" x14ac:dyDescent="0.2">
      <c r="A60" s="173" t="s">
        <v>1729</v>
      </c>
      <c r="B60" s="246">
        <v>26800</v>
      </c>
      <c r="C60" s="131">
        <v>3365.04</v>
      </c>
      <c r="D60" s="249">
        <v>0.14399999999999999</v>
      </c>
      <c r="E60" s="177" t="s">
        <v>94</v>
      </c>
      <c r="F60" s="250" t="s">
        <v>1734</v>
      </c>
    </row>
    <row r="61" spans="1:8" s="6" customFormat="1" ht="24" customHeight="1" outlineLevel="1" x14ac:dyDescent="0.2">
      <c r="A61" s="173" t="s">
        <v>1730</v>
      </c>
      <c r="B61" s="246">
        <v>28599</v>
      </c>
      <c r="C61" s="131">
        <v>1899.63</v>
      </c>
      <c r="D61" s="249">
        <v>7.0999999999999994E-2</v>
      </c>
      <c r="E61" s="177" t="s">
        <v>94</v>
      </c>
      <c r="F61" s="250" t="s">
        <v>1737</v>
      </c>
    </row>
    <row r="62" spans="1:8" s="6" customFormat="1" ht="24" customHeight="1" outlineLevel="1" x14ac:dyDescent="0.2">
      <c r="A62" s="173" t="s">
        <v>1731</v>
      </c>
      <c r="B62" s="246">
        <v>26439</v>
      </c>
      <c r="C62" s="131">
        <v>1525.16</v>
      </c>
      <c r="D62" s="249">
        <v>6.0999999999999999E-2</v>
      </c>
      <c r="E62" s="177" t="s">
        <v>94</v>
      </c>
      <c r="F62" s="250" t="s">
        <v>282</v>
      </c>
    </row>
    <row r="63" spans="1:8" s="6" customFormat="1" ht="24" customHeight="1" outlineLevel="1" x14ac:dyDescent="0.2">
      <c r="A63" s="173" t="s">
        <v>1570</v>
      </c>
      <c r="B63" s="246">
        <v>5460</v>
      </c>
      <c r="C63" s="131">
        <v>1272.52</v>
      </c>
      <c r="D63" s="249">
        <v>0.30399999999999999</v>
      </c>
      <c r="E63" s="177" t="s">
        <v>94</v>
      </c>
      <c r="F63" s="250" t="s">
        <v>1248</v>
      </c>
    </row>
    <row r="64" spans="1:8" s="6" customFormat="1" ht="25.5" customHeight="1" outlineLevel="1" x14ac:dyDescent="0.2">
      <c r="A64" s="173" t="s">
        <v>1732</v>
      </c>
      <c r="B64" s="246">
        <v>10420</v>
      </c>
      <c r="C64" s="131">
        <v>1224.43</v>
      </c>
      <c r="D64" s="249">
        <v>0.13300000000000001</v>
      </c>
      <c r="E64" s="177" t="s">
        <v>94</v>
      </c>
      <c r="F64" s="250" t="s">
        <v>1738</v>
      </c>
    </row>
    <row r="65" spans="1:10" s="6" customFormat="1" ht="24" customHeight="1" outlineLevel="1" x14ac:dyDescent="0.2">
      <c r="A65" s="173" t="s">
        <v>1733</v>
      </c>
      <c r="B65" s="246">
        <v>6600</v>
      </c>
      <c r="C65" s="131">
        <v>549.41999999999996</v>
      </c>
      <c r="D65" s="249">
        <v>9.0999999999999998E-2</v>
      </c>
      <c r="E65" s="177" t="s">
        <v>94</v>
      </c>
      <c r="F65" s="250" t="s">
        <v>1739</v>
      </c>
    </row>
    <row r="66" spans="1:10" x14ac:dyDescent="0.2">
      <c r="A66" s="51"/>
      <c r="B66" s="51"/>
      <c r="C66" s="51"/>
      <c r="D66" s="52"/>
      <c r="E66" s="51"/>
      <c r="F66" s="53"/>
      <c r="G66" s="51"/>
    </row>
    <row r="67" spans="1:10" ht="15.75" x14ac:dyDescent="0.25">
      <c r="A67" s="386" t="s">
        <v>58</v>
      </c>
      <c r="B67" s="386"/>
      <c r="C67" s="386"/>
      <c r="D67" s="386"/>
      <c r="E67" s="335"/>
      <c r="F67" s="79"/>
    </row>
    <row r="68" spans="1:10" ht="15" customHeight="1" outlineLevel="1" x14ac:dyDescent="0.2">
      <c r="A68" s="80">
        <v>45962</v>
      </c>
      <c r="B68" s="81" t="s">
        <v>21</v>
      </c>
      <c r="C68" s="81" t="s">
        <v>59</v>
      </c>
      <c r="D68" s="81" t="s">
        <v>60</v>
      </c>
      <c r="E68" s="81" t="s">
        <v>61</v>
      </c>
      <c r="F68" s="81" t="s">
        <v>62</v>
      </c>
      <c r="G68" s="81" t="s">
        <v>63</v>
      </c>
      <c r="H68" s="81" t="s">
        <v>64</v>
      </c>
    </row>
    <row r="69" spans="1:10" outlineLevel="1" x14ac:dyDescent="0.2">
      <c r="A69" s="82"/>
      <c r="B69" s="282">
        <v>330000</v>
      </c>
      <c r="C69" s="336">
        <v>0</v>
      </c>
      <c r="D69" s="282">
        <v>115000</v>
      </c>
      <c r="E69" s="282">
        <v>69000</v>
      </c>
      <c r="F69" s="282">
        <v>192000</v>
      </c>
      <c r="G69" s="282">
        <f>C69+D69+E69*0.5+F69*0.05</f>
        <v>159100</v>
      </c>
      <c r="H69" s="284">
        <f>Таблица9132738193340475461687582899682891101171241311381451521591661731801871945121926334047546168758289961031101171241311381451521591661741821902052131241361481601721922440627894110126142158174190334965819711312914516155957559160361763164766367969571179[[#This Row],[Столбец6]]/Таблица9132738193340475461687582899682891101171241311381451521591661731801871945121926334047546168758289961031101171241311381451521591661741821902052131241361481601721922440627894110126142158174190334965819711312914516155957559160361763164766367969571179[[#This Row],[Столбец1]]</f>
        <v>0.48212121212121212</v>
      </c>
    </row>
    <row r="70" spans="1:10" outlineLevel="1" x14ac:dyDescent="0.2">
      <c r="A70" s="40"/>
      <c r="B70" s="40"/>
      <c r="C70" s="40"/>
      <c r="D70" s="40"/>
      <c r="E70" s="40"/>
      <c r="F70" s="40"/>
      <c r="G70" s="40"/>
      <c r="H70" s="86"/>
    </row>
    <row r="71" spans="1:10" outlineLevel="1" x14ac:dyDescent="0.2">
      <c r="A71" s="80">
        <v>45992</v>
      </c>
      <c r="B71" s="81" t="s">
        <v>21</v>
      </c>
      <c r="C71" s="81" t="s">
        <v>59</v>
      </c>
      <c r="D71" s="81" t="s">
        <v>60</v>
      </c>
      <c r="E71" s="81" t="s">
        <v>61</v>
      </c>
      <c r="F71" s="81" t="s">
        <v>62</v>
      </c>
      <c r="G71" s="81" t="s">
        <v>63</v>
      </c>
      <c r="H71" s="81" t="s">
        <v>64</v>
      </c>
    </row>
    <row r="72" spans="1:10" ht="15" customHeight="1" outlineLevel="1" x14ac:dyDescent="0.2">
      <c r="A72" s="87"/>
      <c r="B72" s="282">
        <v>390000</v>
      </c>
      <c r="C72" s="283">
        <v>0</v>
      </c>
      <c r="D72" s="285">
        <v>0</v>
      </c>
      <c r="E72" s="283">
        <v>39000</v>
      </c>
      <c r="F72" s="286">
        <v>51000</v>
      </c>
      <c r="G72" s="282">
        <f>C72+D72+E72*0.5+F72*0.05</f>
        <v>22050</v>
      </c>
      <c r="H72" s="284">
        <f>Таблица9132738193340475461687582899682891101171241311381451521591661731801871945121926334047546168758289961031101171241311381451521591661741821902052131191251371491611731932541567288104120136152168184274359759110712313915555356958559961362764365967569175[[#This Row],[Столбец6]]/Таблица9132738193340475461687582899682891101171241311381451521591661731801871945121926334047546168758289961031101171241311381451521591661741821902052131191251371491611731932541567288104120136152168184274359759110712313915555356958559961362764365967569175[[#This Row],[Столбец1]]</f>
        <v>5.6538461538461537E-2</v>
      </c>
    </row>
    <row r="73" spans="1:10" x14ac:dyDescent="0.2">
      <c r="A73" s="63"/>
      <c r="B73" s="51"/>
      <c r="C73" s="51"/>
      <c r="D73" s="52"/>
      <c r="E73" s="51"/>
    </row>
    <row r="74" spans="1:10" x14ac:dyDescent="0.2">
      <c r="A74" s="51"/>
      <c r="B74" s="51"/>
      <c r="C74" s="51"/>
      <c r="D74" s="52"/>
      <c r="E74" s="51"/>
    </row>
    <row r="75" spans="1:10" ht="15.75" x14ac:dyDescent="0.25">
      <c r="A75" s="88" t="s">
        <v>65</v>
      </c>
      <c r="B75" s="89"/>
    </row>
    <row r="76" spans="1:10" ht="15.75" x14ac:dyDescent="0.25">
      <c r="A76" s="387" t="s">
        <v>66</v>
      </c>
      <c r="B76" s="387"/>
      <c r="C76" s="387"/>
      <c r="D76" s="387"/>
      <c r="E76" s="334"/>
      <c r="F76" s="90"/>
      <c r="G76" s="235">
        <f>SUM(Таблица4211720344148556269768390978390111118125132139146153160167174181188195613202734414855626976839097104111118125132139146153160167175183198206214123135147159171191233955718710311913515116718326425874901061221381545525685845986126266426586746907077174[Сумма, тыс. руб.])*1000</f>
        <v>2686000</v>
      </c>
      <c r="H76" s="276"/>
    </row>
    <row r="77" spans="1:10" ht="24.95" customHeight="1" outlineLevel="1" x14ac:dyDescent="0.2">
      <c r="A77" s="91" t="s">
        <v>67</v>
      </c>
      <c r="B77" s="91" t="s">
        <v>53</v>
      </c>
      <c r="C77" s="91" t="s">
        <v>4</v>
      </c>
      <c r="D77" s="91" t="s">
        <v>68</v>
      </c>
      <c r="E77" s="91" t="s">
        <v>69</v>
      </c>
      <c r="F77" s="91" t="s">
        <v>70</v>
      </c>
      <c r="G77" s="91" t="s">
        <v>71</v>
      </c>
      <c r="H77" s="91" t="s">
        <v>72</v>
      </c>
      <c r="I77" s="276"/>
      <c r="J77" s="276"/>
    </row>
    <row r="78" spans="1:10" s="258" customFormat="1" ht="24.95" customHeight="1" outlineLevel="1" x14ac:dyDescent="0.2">
      <c r="A78" s="230" t="s">
        <v>1341</v>
      </c>
      <c r="B78" s="230" t="s">
        <v>1342</v>
      </c>
      <c r="C78" s="177" t="s">
        <v>94</v>
      </c>
      <c r="D78" s="173" t="s">
        <v>73</v>
      </c>
      <c r="E78" s="230" t="s">
        <v>1343</v>
      </c>
      <c r="F78" s="218" t="s">
        <v>1590</v>
      </c>
      <c r="G78" s="131">
        <v>735</v>
      </c>
      <c r="H78" s="173" t="s">
        <v>996</v>
      </c>
    </row>
    <row r="79" spans="1:10" s="258" customFormat="1" ht="24.95" customHeight="1" outlineLevel="1" x14ac:dyDescent="0.2">
      <c r="A79" s="230" t="s">
        <v>1601</v>
      </c>
      <c r="B79" s="230" t="s">
        <v>1599</v>
      </c>
      <c r="C79" s="177" t="s">
        <v>94</v>
      </c>
      <c r="D79" s="173" t="s">
        <v>73</v>
      </c>
      <c r="E79" s="230" t="s">
        <v>1641</v>
      </c>
      <c r="F79" s="218" t="s">
        <v>1590</v>
      </c>
      <c r="G79" s="131">
        <v>652</v>
      </c>
      <c r="H79" s="173" t="s">
        <v>168</v>
      </c>
    </row>
    <row r="80" spans="1:10" s="258" customFormat="1" ht="24.95" customHeight="1" outlineLevel="1" x14ac:dyDescent="0.2">
      <c r="A80" s="230" t="s">
        <v>1578</v>
      </c>
      <c r="B80" s="230" t="s">
        <v>1041</v>
      </c>
      <c r="C80" s="177" t="s">
        <v>94</v>
      </c>
      <c r="D80" s="173" t="s">
        <v>73</v>
      </c>
      <c r="E80" s="230" t="s">
        <v>572</v>
      </c>
      <c r="F80" s="218" t="s">
        <v>1590</v>
      </c>
      <c r="G80" s="131">
        <v>500</v>
      </c>
      <c r="H80" s="173" t="s">
        <v>996</v>
      </c>
    </row>
    <row r="81" spans="1:8" s="258" customFormat="1" ht="24.95" customHeight="1" outlineLevel="1" x14ac:dyDescent="0.2">
      <c r="A81" s="230" t="s">
        <v>1777</v>
      </c>
      <c r="B81" s="230" t="s">
        <v>1780</v>
      </c>
      <c r="C81" s="177" t="s">
        <v>94</v>
      </c>
      <c r="D81" s="173" t="s">
        <v>73</v>
      </c>
      <c r="E81" s="230" t="s">
        <v>1782</v>
      </c>
      <c r="F81" s="218" t="s">
        <v>1590</v>
      </c>
      <c r="G81" s="131">
        <v>384</v>
      </c>
      <c r="H81" s="173" t="s">
        <v>168</v>
      </c>
    </row>
    <row r="82" spans="1:8" s="258" customFormat="1" ht="24.95" customHeight="1" outlineLevel="1" x14ac:dyDescent="0.2">
      <c r="A82" s="230" t="s">
        <v>1392</v>
      </c>
      <c r="B82" s="230" t="s">
        <v>1391</v>
      </c>
      <c r="C82" s="177" t="s">
        <v>94</v>
      </c>
      <c r="D82" s="173" t="s">
        <v>73</v>
      </c>
      <c r="E82" s="230" t="s">
        <v>1393</v>
      </c>
      <c r="F82" s="218" t="s">
        <v>1659</v>
      </c>
      <c r="G82" s="131">
        <v>160</v>
      </c>
      <c r="H82" s="173" t="s">
        <v>168</v>
      </c>
    </row>
    <row r="83" spans="1:8" s="258" customFormat="1" ht="24.95" customHeight="1" outlineLevel="1" x14ac:dyDescent="0.2">
      <c r="A83" s="230" t="s">
        <v>1263</v>
      </c>
      <c r="B83" s="230" t="s">
        <v>1264</v>
      </c>
      <c r="C83" s="177" t="s">
        <v>94</v>
      </c>
      <c r="D83" s="173" t="s">
        <v>73</v>
      </c>
      <c r="E83" s="230" t="s">
        <v>1372</v>
      </c>
      <c r="F83" s="218" t="s">
        <v>1659</v>
      </c>
      <c r="G83" s="131">
        <v>78</v>
      </c>
      <c r="H83" s="173" t="s">
        <v>280</v>
      </c>
    </row>
    <row r="84" spans="1:8" s="258" customFormat="1" ht="24.95" customHeight="1" outlineLevel="1" x14ac:dyDescent="0.2">
      <c r="A84" s="230" t="s">
        <v>1394</v>
      </c>
      <c r="B84" s="230" t="s">
        <v>1174</v>
      </c>
      <c r="C84" s="177" t="s">
        <v>94</v>
      </c>
      <c r="D84" s="173" t="s">
        <v>73</v>
      </c>
      <c r="E84" s="230" t="s">
        <v>1395</v>
      </c>
      <c r="F84" s="218" t="s">
        <v>1590</v>
      </c>
      <c r="G84" s="131">
        <v>55</v>
      </c>
      <c r="H84" s="173" t="s">
        <v>280</v>
      </c>
    </row>
    <row r="85" spans="1:8" s="258" customFormat="1" ht="24.95" customHeight="1" outlineLevel="1" x14ac:dyDescent="0.2">
      <c r="A85" s="230" t="s">
        <v>1667</v>
      </c>
      <c r="B85" s="230" t="s">
        <v>1599</v>
      </c>
      <c r="C85" s="177" t="s">
        <v>94</v>
      </c>
      <c r="D85" s="173" t="s">
        <v>73</v>
      </c>
      <c r="E85" s="230" t="s">
        <v>1668</v>
      </c>
      <c r="F85" s="218" t="s">
        <v>1590</v>
      </c>
      <c r="G85" s="131">
        <v>54</v>
      </c>
      <c r="H85" s="173" t="s">
        <v>168</v>
      </c>
    </row>
    <row r="86" spans="1:8" s="258" customFormat="1" ht="24.95" customHeight="1" outlineLevel="1" x14ac:dyDescent="0.2">
      <c r="A86" s="230" t="s">
        <v>1779</v>
      </c>
      <c r="B86" s="230" t="s">
        <v>1264</v>
      </c>
      <c r="C86" s="177" t="s">
        <v>94</v>
      </c>
      <c r="D86" s="173" t="s">
        <v>73</v>
      </c>
      <c r="E86" s="230" t="s">
        <v>1785</v>
      </c>
      <c r="F86" s="218" t="s">
        <v>1590</v>
      </c>
      <c r="G86" s="131">
        <v>53</v>
      </c>
      <c r="H86" s="173" t="s">
        <v>168</v>
      </c>
    </row>
    <row r="87" spans="1:8" s="258" customFormat="1" ht="24.95" customHeight="1" outlineLevel="1" x14ac:dyDescent="0.2">
      <c r="A87" s="230" t="s">
        <v>1792</v>
      </c>
      <c r="B87" s="230" t="s">
        <v>1029</v>
      </c>
      <c r="C87" s="177" t="s">
        <v>94</v>
      </c>
      <c r="D87" s="173" t="s">
        <v>1793</v>
      </c>
      <c r="E87" s="230" t="s">
        <v>1794</v>
      </c>
      <c r="F87" s="218" t="s">
        <v>1590</v>
      </c>
      <c r="G87" s="131">
        <v>15</v>
      </c>
      <c r="H87" s="173" t="s">
        <v>168</v>
      </c>
    </row>
    <row r="88" spans="1:8" x14ac:dyDescent="0.2">
      <c r="A88" s="223"/>
      <c r="B88" s="104"/>
      <c r="C88" s="105"/>
      <c r="D88" s="106"/>
      <c r="E88" s="106"/>
      <c r="F88" s="107"/>
      <c r="G88" s="108"/>
      <c r="H88" s="106"/>
    </row>
    <row r="89" spans="1:8" x14ac:dyDescent="0.2">
      <c r="A89" s="104"/>
      <c r="B89" s="104"/>
      <c r="C89" s="105"/>
      <c r="D89" s="106"/>
      <c r="E89" s="106"/>
      <c r="F89" s="107"/>
      <c r="G89" s="108"/>
      <c r="H89" s="106"/>
    </row>
    <row r="90" spans="1:8" ht="15" x14ac:dyDescent="0.25">
      <c r="A90" s="387" t="s">
        <v>74</v>
      </c>
      <c r="B90" s="387"/>
      <c r="C90" s="387"/>
      <c r="D90" s="387"/>
      <c r="G90" s="235">
        <f>SUM(Таблица125138150162174194264257738910512113715316918528446076921081241401565545705866006146286446606766927097262641567186101116131146161191176[Сумма])*1000</f>
        <v>1958000</v>
      </c>
      <c r="H90" s="276"/>
    </row>
    <row r="91" spans="1:8" ht="24.95" customHeight="1" outlineLevel="1" x14ac:dyDescent="0.2">
      <c r="A91" s="91" t="s">
        <v>67</v>
      </c>
      <c r="B91" s="91" t="s">
        <v>53</v>
      </c>
      <c r="C91" s="91" t="s">
        <v>4</v>
      </c>
      <c r="D91" s="91" t="s">
        <v>68</v>
      </c>
      <c r="E91" s="91" t="s">
        <v>69</v>
      </c>
      <c r="F91" s="91" t="s">
        <v>70</v>
      </c>
      <c r="G91" s="91" t="s">
        <v>75</v>
      </c>
      <c r="H91" s="91" t="s">
        <v>72</v>
      </c>
    </row>
    <row r="92" spans="1:8" ht="24.95" customHeight="1" outlineLevel="1" x14ac:dyDescent="0.2">
      <c r="A92" s="74" t="s">
        <v>1765</v>
      </c>
      <c r="B92" s="74" t="s">
        <v>1766</v>
      </c>
      <c r="C92" s="177" t="s">
        <v>94</v>
      </c>
      <c r="D92" s="94" t="s">
        <v>73</v>
      </c>
      <c r="E92" s="74" t="s">
        <v>1783</v>
      </c>
      <c r="F92" s="218" t="s">
        <v>1590</v>
      </c>
      <c r="G92" s="72">
        <v>1000</v>
      </c>
      <c r="H92" s="94" t="s">
        <v>1019</v>
      </c>
    </row>
    <row r="93" spans="1:8" ht="24.95" customHeight="1" outlineLevel="1" x14ac:dyDescent="0.2">
      <c r="A93" s="74" t="s">
        <v>1777</v>
      </c>
      <c r="B93" s="74" t="s">
        <v>1780</v>
      </c>
      <c r="C93" s="177" t="s">
        <v>94</v>
      </c>
      <c r="D93" s="94" t="s">
        <v>73</v>
      </c>
      <c r="E93" s="74" t="s">
        <v>1782</v>
      </c>
      <c r="F93" s="218" t="s">
        <v>1590</v>
      </c>
      <c r="G93" s="72">
        <v>384</v>
      </c>
      <c r="H93" s="94" t="s">
        <v>168</v>
      </c>
    </row>
    <row r="94" spans="1:8" ht="24.95" customHeight="1" outlineLevel="1" x14ac:dyDescent="0.2">
      <c r="A94" s="74" t="s">
        <v>1786</v>
      </c>
      <c r="B94" s="74" t="s">
        <v>1728</v>
      </c>
      <c r="C94" s="177" t="s">
        <v>94</v>
      </c>
      <c r="D94" s="94" t="s">
        <v>73</v>
      </c>
      <c r="E94" s="74" t="s">
        <v>1789</v>
      </c>
      <c r="F94" s="218" t="s">
        <v>1498</v>
      </c>
      <c r="G94" s="72">
        <v>173</v>
      </c>
      <c r="H94" s="94" t="s">
        <v>107</v>
      </c>
    </row>
    <row r="95" spans="1:8" ht="24.95" customHeight="1" outlineLevel="1" x14ac:dyDescent="0.2">
      <c r="A95" s="74" t="s">
        <v>1778</v>
      </c>
      <c r="B95" s="74" t="s">
        <v>1781</v>
      </c>
      <c r="C95" s="177" t="s">
        <v>94</v>
      </c>
      <c r="D95" s="94" t="s">
        <v>73</v>
      </c>
      <c r="E95" s="74" t="s">
        <v>1784</v>
      </c>
      <c r="F95" s="218" t="s">
        <v>1590</v>
      </c>
      <c r="G95" s="72">
        <v>150</v>
      </c>
      <c r="H95" s="94" t="s">
        <v>168</v>
      </c>
    </row>
    <row r="96" spans="1:8" ht="24.95" customHeight="1" outlineLevel="1" x14ac:dyDescent="0.2">
      <c r="A96" s="74" t="s">
        <v>1787</v>
      </c>
      <c r="B96" s="74" t="s">
        <v>1725</v>
      </c>
      <c r="C96" s="177" t="s">
        <v>94</v>
      </c>
      <c r="D96" s="94" t="s">
        <v>73</v>
      </c>
      <c r="E96" s="74" t="s">
        <v>1790</v>
      </c>
      <c r="F96" s="218" t="s">
        <v>1498</v>
      </c>
      <c r="G96" s="72">
        <v>123</v>
      </c>
      <c r="H96" s="94" t="s">
        <v>107</v>
      </c>
    </row>
    <row r="97" spans="1:8" ht="24.95" customHeight="1" outlineLevel="1" x14ac:dyDescent="0.2">
      <c r="A97" s="74" t="s">
        <v>1788</v>
      </c>
      <c r="B97" s="74" t="s">
        <v>1727</v>
      </c>
      <c r="C97" s="177" t="s">
        <v>94</v>
      </c>
      <c r="D97" s="94" t="s">
        <v>73</v>
      </c>
      <c r="E97" s="74" t="s">
        <v>1791</v>
      </c>
      <c r="F97" s="218" t="s">
        <v>1498</v>
      </c>
      <c r="G97" s="72">
        <v>75</v>
      </c>
      <c r="H97" s="94" t="s">
        <v>107</v>
      </c>
    </row>
    <row r="98" spans="1:8" ht="24.95" customHeight="1" outlineLevel="1" x14ac:dyDescent="0.2">
      <c r="A98" s="74" t="s">
        <v>1779</v>
      </c>
      <c r="B98" s="74" t="s">
        <v>1264</v>
      </c>
      <c r="C98" s="177" t="s">
        <v>94</v>
      </c>
      <c r="D98" s="94" t="s">
        <v>73</v>
      </c>
      <c r="E98" s="74" t="s">
        <v>1785</v>
      </c>
      <c r="F98" s="218" t="s">
        <v>1590</v>
      </c>
      <c r="G98" s="72">
        <v>53</v>
      </c>
      <c r="H98" s="94" t="s">
        <v>168</v>
      </c>
    </row>
    <row r="99" spans="1:8" ht="15" customHeight="1" x14ac:dyDescent="0.2"/>
    <row r="100" spans="1:8" ht="15" customHeight="1" x14ac:dyDescent="0.2"/>
    <row r="101" spans="1:8" ht="15.75" x14ac:dyDescent="0.25">
      <c r="A101" s="1" t="s">
        <v>76</v>
      </c>
    </row>
    <row r="102" spans="1:8" ht="15" x14ac:dyDescent="0.25">
      <c r="A102" s="386" t="s">
        <v>77</v>
      </c>
      <c r="B102" s="386"/>
      <c r="C102" s="386"/>
      <c r="D102" s="386"/>
      <c r="E102" s="110"/>
      <c r="F102" s="111"/>
    </row>
    <row r="103" spans="1:8" s="104" customFormat="1" ht="24.95" customHeight="1" outlineLevel="1" x14ac:dyDescent="0.25">
      <c r="A103" s="112" t="s">
        <v>78</v>
      </c>
      <c r="B103" s="112" t="s">
        <v>53</v>
      </c>
      <c r="C103" s="91" t="s">
        <v>4</v>
      </c>
      <c r="D103" s="112" t="s">
        <v>79</v>
      </c>
      <c r="E103" s="91" t="s">
        <v>80</v>
      </c>
      <c r="F103" s="112" t="s">
        <v>81</v>
      </c>
      <c r="G103" s="112" t="s">
        <v>82</v>
      </c>
    </row>
    <row r="104" spans="1:8" s="104" customFormat="1" ht="23.25" customHeight="1" outlineLevel="1" x14ac:dyDescent="0.25">
      <c r="A104" s="171">
        <v>45953</v>
      </c>
      <c r="B104" s="173" t="s">
        <v>104</v>
      </c>
      <c r="C104" s="177" t="s">
        <v>94</v>
      </c>
      <c r="D104" s="173" t="s">
        <v>1758</v>
      </c>
      <c r="E104" s="173" t="s">
        <v>1761</v>
      </c>
      <c r="F104" s="173" t="s">
        <v>1760</v>
      </c>
      <c r="G104" s="173" t="s">
        <v>1759</v>
      </c>
    </row>
    <row r="105" spans="1:8" s="104" customFormat="1" ht="24.75" customHeight="1" outlineLevel="1" x14ac:dyDescent="0.25">
      <c r="A105" s="171">
        <v>45956</v>
      </c>
      <c r="B105" s="230" t="s">
        <v>1766</v>
      </c>
      <c r="C105" s="177" t="s">
        <v>94</v>
      </c>
      <c r="D105" s="173" t="s">
        <v>1762</v>
      </c>
      <c r="E105" s="173" t="s">
        <v>1765</v>
      </c>
      <c r="F105" s="173" t="s">
        <v>1763</v>
      </c>
      <c r="G105" s="173" t="s">
        <v>1764</v>
      </c>
    </row>
    <row r="106" spans="1:8" s="104" customFormat="1" ht="12" customHeight="1" outlineLevel="1" x14ac:dyDescent="0.2">
      <c r="A106" s="2"/>
      <c r="B106" s="118"/>
      <c r="C106" s="2"/>
      <c r="D106" s="2"/>
      <c r="E106" s="2"/>
      <c r="F106" s="2"/>
      <c r="G106" s="2"/>
    </row>
    <row r="107" spans="1:8" ht="24" customHeight="1" outlineLevel="1" x14ac:dyDescent="0.2">
      <c r="A107" s="118"/>
      <c r="B107" s="118"/>
    </row>
    <row r="108" spans="1:8" ht="15" customHeight="1" outlineLevel="1" x14ac:dyDescent="0.25">
      <c r="A108" s="388" t="s">
        <v>83</v>
      </c>
      <c r="B108" s="387"/>
      <c r="C108" s="387"/>
      <c r="D108" s="387"/>
      <c r="E108" s="212"/>
    </row>
    <row r="109" spans="1:8" ht="24.95" customHeight="1" outlineLevel="1" x14ac:dyDescent="0.2">
      <c r="A109" s="112" t="s">
        <v>78</v>
      </c>
      <c r="B109" s="112" t="s">
        <v>53</v>
      </c>
      <c r="C109" s="91" t="s">
        <v>4</v>
      </c>
      <c r="D109" s="112" t="s">
        <v>79</v>
      </c>
      <c r="E109" s="91" t="s">
        <v>80</v>
      </c>
      <c r="F109" s="112" t="s">
        <v>81</v>
      </c>
      <c r="G109" s="112" t="s">
        <v>82</v>
      </c>
    </row>
    <row r="110" spans="1:8" ht="24" customHeight="1" outlineLevel="1" x14ac:dyDescent="0.2">
      <c r="A110" s="116">
        <v>45953</v>
      </c>
      <c r="B110" s="116" t="s">
        <v>1768</v>
      </c>
      <c r="C110" s="177" t="s">
        <v>94</v>
      </c>
      <c r="D110" s="116" t="s">
        <v>1767</v>
      </c>
      <c r="E110" s="109"/>
      <c r="F110" s="109" t="s">
        <v>109</v>
      </c>
      <c r="G110" s="109" t="s">
        <v>1769</v>
      </c>
    </row>
    <row r="111" spans="1:8" ht="24" customHeight="1" outlineLevel="1" x14ac:dyDescent="0.2">
      <c r="A111" s="116">
        <v>45953</v>
      </c>
      <c r="B111" s="116" t="s">
        <v>1771</v>
      </c>
      <c r="C111" s="177" t="s">
        <v>94</v>
      </c>
      <c r="D111" s="116" t="s">
        <v>1770</v>
      </c>
      <c r="E111" s="109"/>
      <c r="F111" s="109" t="s">
        <v>109</v>
      </c>
      <c r="G111" s="109" t="s">
        <v>1772</v>
      </c>
    </row>
    <row r="112" spans="1:8" ht="24" customHeight="1" outlineLevel="1" x14ac:dyDescent="0.2">
      <c r="A112" s="116">
        <v>45957</v>
      </c>
      <c r="B112" s="116" t="s">
        <v>1696</v>
      </c>
      <c r="C112" s="177" t="s">
        <v>94</v>
      </c>
      <c r="D112" s="116" t="s">
        <v>1757</v>
      </c>
      <c r="E112" s="109"/>
      <c r="F112" s="109" t="s">
        <v>109</v>
      </c>
      <c r="G112" s="109" t="s">
        <v>1697</v>
      </c>
    </row>
    <row r="113" spans="1:8" ht="24" customHeight="1" outlineLevel="1" x14ac:dyDescent="0.2">
      <c r="A113" s="116">
        <v>45958</v>
      </c>
      <c r="B113" s="116" t="s">
        <v>1705</v>
      </c>
      <c r="C113" s="177" t="s">
        <v>94</v>
      </c>
      <c r="D113" s="116" t="s">
        <v>1703</v>
      </c>
      <c r="E113" s="109"/>
      <c r="F113" s="109" t="s">
        <v>109</v>
      </c>
      <c r="G113" s="109" t="s">
        <v>1704</v>
      </c>
    </row>
    <row r="114" spans="1:8" ht="24" customHeight="1" outlineLevel="1" x14ac:dyDescent="0.2">
      <c r="A114" s="116">
        <v>45958</v>
      </c>
      <c r="B114" s="116" t="s">
        <v>1706</v>
      </c>
      <c r="C114" s="177" t="s">
        <v>94</v>
      </c>
      <c r="D114" s="116" t="s">
        <v>1773</v>
      </c>
      <c r="E114" s="109"/>
      <c r="F114" s="109" t="s">
        <v>109</v>
      </c>
      <c r="G114" s="109" t="s">
        <v>1707</v>
      </c>
    </row>
    <row r="115" spans="1:8" ht="24" customHeight="1" outlineLevel="1" x14ac:dyDescent="0.2">
      <c r="A115" s="116">
        <v>45959</v>
      </c>
      <c r="B115" s="116" t="s">
        <v>1712</v>
      </c>
      <c r="C115" s="177" t="s">
        <v>94</v>
      </c>
      <c r="D115" s="116" t="s">
        <v>1711</v>
      </c>
      <c r="E115" s="109"/>
      <c r="F115" s="109" t="s">
        <v>109</v>
      </c>
      <c r="G115" s="109" t="s">
        <v>1713</v>
      </c>
      <c r="H115" s="324"/>
    </row>
    <row r="116" spans="1:8" ht="24" customHeight="1" outlineLevel="1" x14ac:dyDescent="0.2">
      <c r="A116" s="116">
        <v>45959</v>
      </c>
      <c r="B116" s="116" t="s">
        <v>1715</v>
      </c>
      <c r="C116" s="177" t="s">
        <v>94</v>
      </c>
      <c r="D116" s="116" t="s">
        <v>1717</v>
      </c>
      <c r="E116" s="109"/>
      <c r="F116" s="109" t="s">
        <v>109</v>
      </c>
      <c r="G116" s="109" t="s">
        <v>1716</v>
      </c>
    </row>
    <row r="117" spans="1:8" ht="24" customHeight="1" outlineLevel="1" x14ac:dyDescent="0.2">
      <c r="A117" s="116">
        <v>45959</v>
      </c>
      <c r="B117" s="116" t="s">
        <v>1751</v>
      </c>
      <c r="C117" s="177" t="s">
        <v>94</v>
      </c>
      <c r="D117" s="116" t="s">
        <v>1714</v>
      </c>
      <c r="E117" s="109"/>
      <c r="F117" s="109" t="s">
        <v>109</v>
      </c>
      <c r="G117" s="109" t="s">
        <v>1752</v>
      </c>
    </row>
    <row r="118" spans="1:8" ht="24" customHeight="1" outlineLevel="1" x14ac:dyDescent="0.2">
      <c r="A118" s="116">
        <v>45960</v>
      </c>
      <c r="B118" s="116" t="s">
        <v>1721</v>
      </c>
      <c r="C118" s="177" t="s">
        <v>94</v>
      </c>
      <c r="D118" s="116" t="s">
        <v>1720</v>
      </c>
      <c r="E118" s="109"/>
      <c r="F118" s="109" t="s">
        <v>109</v>
      </c>
      <c r="G118" s="109" t="s">
        <v>1719</v>
      </c>
    </row>
    <row r="119" spans="1:8" ht="24" customHeight="1" outlineLevel="1" x14ac:dyDescent="0.2">
      <c r="A119" s="116">
        <v>45960</v>
      </c>
      <c r="B119" s="116" t="s">
        <v>1724</v>
      </c>
      <c r="C119" s="177" t="s">
        <v>94</v>
      </c>
      <c r="D119" s="116" t="s">
        <v>1722</v>
      </c>
      <c r="E119" s="109"/>
      <c r="F119" s="109" t="s">
        <v>109</v>
      </c>
      <c r="G119" s="109" t="s">
        <v>1723</v>
      </c>
    </row>
    <row r="120" spans="1:8" ht="24" customHeight="1" outlineLevel="1" x14ac:dyDescent="0.2">
      <c r="A120" s="116">
        <v>45961</v>
      </c>
      <c r="B120" s="116" t="s">
        <v>1702</v>
      </c>
      <c r="C120" s="177" t="s">
        <v>94</v>
      </c>
      <c r="D120" s="116" t="s">
        <v>1746</v>
      </c>
      <c r="E120" s="109"/>
      <c r="F120" s="109" t="s">
        <v>109</v>
      </c>
      <c r="G120" s="109" t="s">
        <v>1747</v>
      </c>
    </row>
    <row r="121" spans="1:8" ht="24" customHeight="1" outlineLevel="1" x14ac:dyDescent="0.2">
      <c r="A121" s="116">
        <v>45961</v>
      </c>
      <c r="B121" s="116" t="s">
        <v>1708</v>
      </c>
      <c r="C121" s="177" t="s">
        <v>94</v>
      </c>
      <c r="D121" s="116" t="s">
        <v>1748</v>
      </c>
      <c r="E121" s="109"/>
      <c r="F121" s="109" t="s">
        <v>109</v>
      </c>
      <c r="G121" s="109" t="s">
        <v>1749</v>
      </c>
    </row>
    <row r="122" spans="1:8" ht="24" customHeight="1" outlineLevel="1" x14ac:dyDescent="0.2">
      <c r="A122" s="116">
        <v>45961</v>
      </c>
      <c r="B122" s="116" t="s">
        <v>1709</v>
      </c>
      <c r="C122" s="177" t="s">
        <v>94</v>
      </c>
      <c r="D122" s="116" t="s">
        <v>1750</v>
      </c>
      <c r="E122" s="109"/>
      <c r="F122" s="109" t="s">
        <v>109</v>
      </c>
      <c r="G122" s="109" t="s">
        <v>1710</v>
      </c>
    </row>
    <row r="123" spans="1:8" ht="24" customHeight="1" outlineLevel="1" x14ac:dyDescent="0.2">
      <c r="A123" s="116">
        <v>45961</v>
      </c>
      <c r="B123" s="116" t="s">
        <v>1700</v>
      </c>
      <c r="C123" s="177" t="s">
        <v>94</v>
      </c>
      <c r="D123" s="116" t="s">
        <v>1754</v>
      </c>
      <c r="E123" s="109"/>
      <c r="F123" s="109" t="s">
        <v>109</v>
      </c>
      <c r="G123" s="109" t="s">
        <v>1753</v>
      </c>
    </row>
    <row r="124" spans="1:8" ht="24" customHeight="1" outlineLevel="1" x14ac:dyDescent="0.2">
      <c r="A124" s="116">
        <v>45961</v>
      </c>
      <c r="B124" s="116" t="s">
        <v>1701</v>
      </c>
      <c r="C124" s="177" t="s">
        <v>94</v>
      </c>
      <c r="D124" s="116" t="s">
        <v>1756</v>
      </c>
      <c r="E124" s="109"/>
      <c r="F124" s="109" t="s">
        <v>109</v>
      </c>
      <c r="G124" s="109" t="s">
        <v>1755</v>
      </c>
    </row>
    <row r="126" spans="1:8" s="17" customFormat="1" outlineLevel="1" x14ac:dyDescent="0.2">
      <c r="A126" s="2"/>
      <c r="B126" s="2"/>
      <c r="C126" s="2"/>
      <c r="D126" s="2"/>
      <c r="E126" s="2"/>
      <c r="F126" s="2"/>
      <c r="G126" s="2"/>
    </row>
    <row r="127" spans="1:8" ht="60" customHeight="1" outlineLevel="1" x14ac:dyDescent="0.25">
      <c r="A127" s="1" t="s">
        <v>84</v>
      </c>
    </row>
    <row r="128" spans="1:8" ht="12.6" customHeight="1" outlineLevel="1" x14ac:dyDescent="0.25">
      <c r="A128" s="386" t="s">
        <v>85</v>
      </c>
      <c r="B128" s="386"/>
      <c r="C128" s="386"/>
      <c r="D128" s="386"/>
    </row>
    <row r="129" spans="1:15" ht="33" customHeight="1" outlineLevel="1" x14ac:dyDescent="0.2">
      <c r="A129" s="120" t="s">
        <v>81</v>
      </c>
      <c r="B129" s="120" t="s">
        <v>86</v>
      </c>
      <c r="C129" s="120" t="s">
        <v>87</v>
      </c>
      <c r="D129" s="120" t="s">
        <v>88</v>
      </c>
      <c r="E129" s="120" t="s">
        <v>89</v>
      </c>
      <c r="F129" s="120" t="s">
        <v>4</v>
      </c>
      <c r="G129" s="120" t="s">
        <v>90</v>
      </c>
    </row>
    <row r="130" spans="1:15" ht="126" customHeight="1" x14ac:dyDescent="0.2">
      <c r="A130" s="94"/>
      <c r="B130" s="219" t="s">
        <v>1693</v>
      </c>
      <c r="C130" s="238" t="s">
        <v>1280</v>
      </c>
      <c r="D130" s="225" t="s">
        <v>1776</v>
      </c>
      <c r="E130" s="132" t="s">
        <v>1740</v>
      </c>
      <c r="F130" s="74" t="s">
        <v>94</v>
      </c>
      <c r="G130" s="72">
        <v>3500</v>
      </c>
    </row>
    <row r="131" spans="1:15" ht="80.25" customHeight="1" x14ac:dyDescent="0.2">
      <c r="A131" s="130"/>
      <c r="B131" s="148" t="s">
        <v>1692</v>
      </c>
      <c r="C131" s="238" t="s">
        <v>1280</v>
      </c>
      <c r="D131" s="96" t="s">
        <v>1774</v>
      </c>
      <c r="E131" s="132" t="s">
        <v>1166</v>
      </c>
      <c r="F131" s="74" t="s">
        <v>94</v>
      </c>
      <c r="G131" s="72">
        <v>1500</v>
      </c>
    </row>
    <row r="132" spans="1:15" ht="63.75" x14ac:dyDescent="0.2">
      <c r="A132" s="130"/>
      <c r="B132" s="148" t="s">
        <v>1694</v>
      </c>
      <c r="C132" s="238" t="s">
        <v>1280</v>
      </c>
      <c r="D132" s="94" t="s">
        <v>1775</v>
      </c>
      <c r="E132" s="132" t="s">
        <v>1695</v>
      </c>
      <c r="F132" s="74" t="s">
        <v>94</v>
      </c>
      <c r="G132" s="72">
        <f>1250*2</f>
        <v>2500</v>
      </c>
    </row>
    <row r="133" spans="1:15" s="124" customFormat="1" ht="12.75" customHeight="1" outlineLevel="1" x14ac:dyDescent="0.2">
      <c r="A133" s="2"/>
      <c r="B133" s="122"/>
      <c r="C133" s="123"/>
      <c r="D133" s="2"/>
      <c r="E133" s="2"/>
      <c r="F133" s="122"/>
      <c r="G133" s="2"/>
      <c r="H133" s="2"/>
      <c r="I133" s="2"/>
      <c r="J133" s="2"/>
      <c r="K133" s="2"/>
      <c r="L133" s="2"/>
      <c r="M133" s="2"/>
      <c r="N133" s="2"/>
      <c r="O133" s="2"/>
    </row>
    <row r="134" spans="1:15" ht="15" customHeight="1" outlineLevel="1" x14ac:dyDescent="0.2">
      <c r="A134" s="122"/>
      <c r="B134" s="122"/>
      <c r="C134" s="123"/>
      <c r="F134" s="122"/>
    </row>
    <row r="135" spans="1:15" ht="15" customHeight="1" outlineLevel="1" x14ac:dyDescent="0.25">
      <c r="A135" s="386" t="s">
        <v>92</v>
      </c>
      <c r="B135" s="386"/>
      <c r="C135" s="386"/>
      <c r="D135" s="386"/>
    </row>
    <row r="136" spans="1:15" s="325" customFormat="1" ht="24.95" customHeight="1" x14ac:dyDescent="0.25">
      <c r="A136" s="120" t="s">
        <v>81</v>
      </c>
      <c r="B136" s="120" t="s">
        <v>86</v>
      </c>
      <c r="C136" s="120" t="s">
        <v>87</v>
      </c>
      <c r="D136" s="120" t="s">
        <v>88</v>
      </c>
      <c r="E136" s="120" t="s">
        <v>89</v>
      </c>
      <c r="F136" s="120" t="s">
        <v>4</v>
      </c>
      <c r="G136" s="120" t="s">
        <v>90</v>
      </c>
    </row>
    <row r="137" spans="1:15" ht="153" x14ac:dyDescent="0.2">
      <c r="A137" s="230" t="s">
        <v>109</v>
      </c>
      <c r="B137" s="219" t="s">
        <v>1744</v>
      </c>
      <c r="C137" s="292"/>
      <c r="D137" s="292"/>
      <c r="E137" s="132" t="s">
        <v>1743</v>
      </c>
      <c r="F137" s="74" t="s">
        <v>94</v>
      </c>
      <c r="G137" s="292"/>
    </row>
    <row r="138" spans="1:15" ht="76.5" x14ac:dyDescent="0.25">
      <c r="A138" s="230" t="s">
        <v>109</v>
      </c>
      <c r="B138" s="148" t="s">
        <v>1741</v>
      </c>
      <c r="C138" s="125"/>
      <c r="D138"/>
      <c r="E138" s="132" t="s">
        <v>1695</v>
      </c>
      <c r="F138" s="74" t="s">
        <v>94</v>
      </c>
      <c r="G138" s="126"/>
    </row>
    <row r="139" spans="1:15" ht="38.25" x14ac:dyDescent="0.25">
      <c r="A139" s="230" t="s">
        <v>109</v>
      </c>
      <c r="B139" s="148" t="s">
        <v>1745</v>
      </c>
      <c r="C139" s="125"/>
      <c r="D139"/>
      <c r="E139" s="132" t="s">
        <v>1516</v>
      </c>
      <c r="F139" s="74" t="s">
        <v>94</v>
      </c>
      <c r="G139" s="126"/>
    </row>
    <row r="140" spans="1:15" ht="76.5" x14ac:dyDescent="0.25">
      <c r="A140" s="230" t="s">
        <v>109</v>
      </c>
      <c r="B140" s="148" t="s">
        <v>1410</v>
      </c>
      <c r="C140" s="125"/>
      <c r="D140"/>
      <c r="E140" s="132" t="s">
        <v>1742</v>
      </c>
      <c r="F140" s="74" t="s">
        <v>94</v>
      </c>
      <c r="G140" s="9"/>
    </row>
  </sheetData>
  <mergeCells count="14">
    <mergeCell ref="A44:D44"/>
    <mergeCell ref="A5:D5"/>
    <mergeCell ref="A10:D10"/>
    <mergeCell ref="A15:D15"/>
    <mergeCell ref="A20:D20"/>
    <mergeCell ref="A38:D38"/>
    <mergeCell ref="A128:D128"/>
    <mergeCell ref="A135:D135"/>
    <mergeCell ref="A51:D51"/>
    <mergeCell ref="A67:D67"/>
    <mergeCell ref="A76:D76"/>
    <mergeCell ref="A90:D90"/>
    <mergeCell ref="A102:D102"/>
    <mergeCell ref="A108:D108"/>
  </mergeCells>
  <conditionalFormatting sqref="G130:G132 C130:C132">
    <cfRule type="cellIs" dxfId="350" priority="17" operator="equal">
      <formula>"ДА"</formula>
    </cfRule>
    <cfRule type="cellIs" dxfId="349" priority="18" operator="equal">
      <formula>"НЕТ"</formula>
    </cfRule>
    <cfRule type="cellIs" dxfId="348" priority="19" operator="equal">
      <formula>"Нет"</formula>
    </cfRule>
    <cfRule type="cellIs" dxfId="347" priority="20" operator="equal">
      <formula>"нет"</formula>
    </cfRule>
    <cfRule type="cellIs" dxfId="346" priority="21" operator="equal">
      <formula>"ДА"</formula>
    </cfRule>
    <cfRule type="containsText" dxfId="345" priority="22" operator="containsText" text="Да">
      <formula>NOT(ISERROR(SEARCH("Да",C130)))</formula>
    </cfRule>
  </conditionalFormatting>
  <conditionalFormatting sqref="E7 E12">
    <cfRule type="cellIs" dxfId="344" priority="29" operator="lessThan">
      <formula>0</formula>
    </cfRule>
    <cfRule type="cellIs" dxfId="343" priority="30" operator="greaterThan">
      <formula>0</formula>
    </cfRule>
  </conditionalFormatting>
  <conditionalFormatting sqref="D7 D12 E17">
    <cfRule type="cellIs" dxfId="342" priority="27" operator="lessThan">
      <formula>0</formula>
    </cfRule>
    <cfRule type="cellIs" dxfId="341" priority="28" operator="greaterThan">
      <formula>0</formula>
    </cfRule>
  </conditionalFormatting>
  <conditionalFormatting sqref="H69">
    <cfRule type="cellIs" dxfId="340" priority="25" operator="lessThan">
      <formula>1</formula>
    </cfRule>
    <cfRule type="cellIs" dxfId="339" priority="26" operator="greaterThan">
      <formula>1</formula>
    </cfRule>
  </conditionalFormatting>
  <conditionalFormatting sqref="H72">
    <cfRule type="cellIs" dxfId="338" priority="23" operator="lessThan">
      <formula>1</formula>
    </cfRule>
    <cfRule type="cellIs" dxfId="337" priority="24" operator="greaterThan">
      <formula>1</formula>
    </cfRule>
  </conditionalFormatting>
  <conditionalFormatting sqref="G140">
    <cfRule type="cellIs" dxfId="336" priority="7" operator="equal">
      <formula>"ДА"</formula>
    </cfRule>
    <cfRule type="cellIs" dxfId="335" priority="8" operator="equal">
      <formula>"НЕТ"</formula>
    </cfRule>
    <cfRule type="cellIs" dxfId="334" priority="9" operator="equal">
      <formula>"Нет"</formula>
    </cfRule>
    <cfRule type="cellIs" dxfId="333" priority="10" operator="equal">
      <formula>"нет"</formula>
    </cfRule>
    <cfRule type="cellIs" dxfId="332" priority="11" operator="equal">
      <formula>"ДА"</formula>
    </cfRule>
    <cfRule type="containsText" dxfId="331" priority="12" operator="containsText" text="Да">
      <formula>NOT(ISERROR(SEARCH("Да",G140)))</formula>
    </cfRule>
  </conditionalFormatting>
  <conditionalFormatting sqref="G138:G139">
    <cfRule type="cellIs" dxfId="330" priority="1" operator="equal">
      <formula>"ДА"</formula>
    </cfRule>
    <cfRule type="cellIs" dxfId="329" priority="2" operator="equal">
      <formula>"НЕТ"</formula>
    </cfRule>
    <cfRule type="cellIs" dxfId="328" priority="3" operator="equal">
      <formula>"Нет"</formula>
    </cfRule>
    <cfRule type="cellIs" dxfId="327" priority="4" operator="equal">
      <formula>"нет"</formula>
    </cfRule>
    <cfRule type="cellIs" dxfId="326" priority="5" operator="equal">
      <formula>"ДА"</formula>
    </cfRule>
  </conditionalFormatting>
  <pageMargins left="0.7" right="0.7" top="0.75" bottom="0.75" header="0.3" footer="0.3"/>
  <pageSetup paperSize="9" orientation="portrait" r:id="rId1"/>
  <legacy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extLst>
    <ext xmlns:x14="http://schemas.microsoft.com/office/spreadsheetml/2009/9/main" uri="{78C0D931-6437-407d-A8EE-F0AAD7539E65}">
      <x14:conditionalFormattings>
        <x14:conditionalFormatting xmlns:xm="http://schemas.microsoft.com/office/excel/2006/main">
          <x14:cfRule type="containsText" priority="6" operator="containsText" text="Да" id="{3EECEBB8-B93D-4E1E-8B77-3463AD8BE0C3}">
            <xm:f>NOT(ISERROR(SEARCH("Да",'Август. 25'!G256)))</xm:f>
            <x14:dxf>
              <font>
                <color rgb="FF006100"/>
              </font>
              <fill>
                <patternFill>
                  <bgColor rgb="FFC6EFCE"/>
                </patternFill>
              </fill>
            </x14:dxf>
          </x14:cfRule>
          <xm:sqref>G138:G139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601EA-6D88-4697-A486-6413C3AE252D}">
  <dimension ref="A1:BE131"/>
  <sheetViews>
    <sheetView zoomScale="85" zoomScaleNormal="85" workbookViewId="0">
      <selection activeCell="B12" sqref="B12"/>
    </sheetView>
  </sheetViews>
  <sheetFormatPr defaultColWidth="9.140625" defaultRowHeight="12.75" outlineLevelRow="1" x14ac:dyDescent="0.2"/>
  <cols>
    <col min="1" max="1" width="30.28515625" style="2" customWidth="1"/>
    <col min="2" max="2" width="35.7109375" style="2" customWidth="1"/>
    <col min="3" max="3" width="31.5703125" style="2" bestFit="1" customWidth="1"/>
    <col min="4" max="4" width="32.42578125" style="2" customWidth="1"/>
    <col min="5" max="5" width="34.85546875" style="2" customWidth="1"/>
    <col min="6" max="6" width="27.140625" style="2" customWidth="1"/>
    <col min="7" max="7" width="27.42578125" style="2" customWidth="1"/>
    <col min="8" max="8" width="36" style="2" customWidth="1"/>
    <col min="9" max="16384" width="9.140625" style="2"/>
  </cols>
  <sheetData>
    <row r="1" spans="1:7" ht="24.75" customHeight="1" x14ac:dyDescent="0.25">
      <c r="A1" s="134" t="s">
        <v>94</v>
      </c>
    </row>
    <row r="2" spans="1:7" ht="15.75" x14ac:dyDescent="0.25">
      <c r="A2" s="134" t="s">
        <v>1821</v>
      </c>
    </row>
    <row r="3" spans="1:7" x14ac:dyDescent="0.2">
      <c r="A3" s="3"/>
    </row>
    <row r="4" spans="1:7" ht="15.75" x14ac:dyDescent="0.25">
      <c r="A4" s="1" t="s">
        <v>0</v>
      </c>
      <c r="B4" s="2" t="s">
        <v>1</v>
      </c>
      <c r="C4" s="2" t="s">
        <v>2</v>
      </c>
    </row>
    <row r="5" spans="1:7" ht="15" x14ac:dyDescent="0.25">
      <c r="A5" s="386" t="s">
        <v>3</v>
      </c>
      <c r="B5" s="386"/>
      <c r="C5" s="386"/>
      <c r="D5" s="386"/>
      <c r="F5" s="4"/>
    </row>
    <row r="6" spans="1:7" s="6" customFormat="1" outlineLevel="1" x14ac:dyDescent="0.2">
      <c r="A6" s="5" t="s">
        <v>4</v>
      </c>
      <c r="B6" s="5" t="s">
        <v>5</v>
      </c>
      <c r="C6" s="5" t="s">
        <v>6</v>
      </c>
      <c r="D6" s="5" t="s">
        <v>7</v>
      </c>
      <c r="E6" s="5" t="s">
        <v>8</v>
      </c>
      <c r="F6" s="5" t="s">
        <v>10</v>
      </c>
      <c r="G6" s="186"/>
    </row>
    <row r="7" spans="1:7" outlineLevel="1" x14ac:dyDescent="0.2">
      <c r="A7" s="7" t="s">
        <v>94</v>
      </c>
      <c r="B7" s="8">
        <f>C29</f>
        <v>330000</v>
      </c>
      <c r="C7" s="9">
        <f>B29</f>
        <v>155720.51</v>
      </c>
      <c r="D7" s="10">
        <f>Таблица11029163037445158657223303744515865727986931009223548627690104107127139151163183152947637995111127143159175183450668298114130146545561577589605619635651667683700717163247627792107122137152182197[Факт, руб.]/Таблица11029163037445158657223303744515865727986931009223548627690104107127139151163183152947637995111127143159175183450668298114130146545561577589605619635651667683700717163247627792107122137152182197[План, руб.]-100%</f>
        <v>-0.52811966666666665</v>
      </c>
      <c r="E7" s="11">
        <f>Таблица11029163037445158657223303744515865727986931009223548627690104107127139151163183152947637995111127143159175183450668298114130146545561577589605619635651667683700717163247627792107122137152182197[Факт, руб.]-Таблица11029163037445158657223303744515865727986931009223548627690104107127139151163183152947637995111127143159175183450668298114130146545561577589605619635651667683700717163247627792107122137152182197[План, руб.]</f>
        <v>-174279.49</v>
      </c>
      <c r="F7" s="9">
        <f>B28</f>
        <v>140829.10999999999</v>
      </c>
      <c r="G7" s="185"/>
    </row>
    <row r="8" spans="1:7" x14ac:dyDescent="0.2">
      <c r="A8" s="12"/>
      <c r="B8" s="13"/>
      <c r="C8" s="13"/>
      <c r="D8" s="14"/>
      <c r="F8" s="15"/>
      <c r="G8" s="16"/>
    </row>
    <row r="9" spans="1:7" ht="15" customHeight="1" x14ac:dyDescent="0.2">
      <c r="A9" s="12"/>
      <c r="B9" s="13"/>
      <c r="C9" s="13"/>
      <c r="D9" s="14"/>
      <c r="F9" s="17"/>
    </row>
    <row r="10" spans="1:7" ht="15" x14ac:dyDescent="0.25">
      <c r="A10" s="386" t="s">
        <v>11</v>
      </c>
      <c r="B10" s="386"/>
      <c r="C10" s="386"/>
      <c r="D10" s="386"/>
      <c r="F10" s="17"/>
    </row>
    <row r="11" spans="1:7" s="6" customFormat="1" outlineLevel="1" x14ac:dyDescent="0.2">
      <c r="A11" s="18" t="s">
        <v>4</v>
      </c>
      <c r="B11" s="19" t="s">
        <v>12</v>
      </c>
      <c r="C11" s="19" t="s">
        <v>13</v>
      </c>
      <c r="D11" s="19" t="s">
        <v>7</v>
      </c>
      <c r="E11" s="19" t="s">
        <v>8</v>
      </c>
      <c r="F11" s="20"/>
    </row>
    <row r="12" spans="1:7" outlineLevel="1" x14ac:dyDescent="0.2">
      <c r="A12" s="7" t="s">
        <v>94</v>
      </c>
      <c r="B12" s="8">
        <f>SUM(C22:C29)</f>
        <v>1910000</v>
      </c>
      <c r="C12" s="8">
        <f>B34</f>
        <v>964986.54</v>
      </c>
      <c r="D12" s="21">
        <f>C12/B12-100%</f>
        <v>-0.49477144502617798</v>
      </c>
      <c r="E12" s="8">
        <f>C12-B12</f>
        <v>-945013.46</v>
      </c>
      <c r="F12" s="17"/>
      <c r="G12" s="22"/>
    </row>
    <row r="13" spans="1:7" x14ac:dyDescent="0.2">
      <c r="A13" s="12"/>
      <c r="B13" s="13"/>
      <c r="C13" s="13"/>
      <c r="D13" s="14"/>
      <c r="F13" s="17"/>
    </row>
    <row r="14" spans="1:7" x14ac:dyDescent="0.2">
      <c r="A14" s="13"/>
      <c r="B14" s="13"/>
      <c r="C14" s="13"/>
      <c r="D14" s="14"/>
      <c r="F14" s="17"/>
      <c r="G14" s="22"/>
    </row>
    <row r="15" spans="1:7" ht="15" x14ac:dyDescent="0.25">
      <c r="A15" s="386" t="s">
        <v>393</v>
      </c>
      <c r="B15" s="386"/>
      <c r="C15" s="386"/>
      <c r="D15" s="386"/>
      <c r="F15" s="17"/>
    </row>
    <row r="16" spans="1:7" s="6" customFormat="1" outlineLevel="1" x14ac:dyDescent="0.2">
      <c r="A16" s="5" t="s">
        <v>4</v>
      </c>
      <c r="B16" s="5" t="s">
        <v>16</v>
      </c>
      <c r="C16" s="5" t="s">
        <v>93</v>
      </c>
      <c r="D16" s="5" t="s">
        <v>1037</v>
      </c>
      <c r="E16" s="5" t="s">
        <v>17</v>
      </c>
      <c r="F16" s="23"/>
    </row>
    <row r="17" spans="1:5" outlineLevel="1" x14ac:dyDescent="0.2">
      <c r="A17" s="7" t="s">
        <v>94</v>
      </c>
      <c r="B17" s="8">
        <v>0</v>
      </c>
      <c r="C17" s="338">
        <v>18159</v>
      </c>
      <c r="D17" s="24">
        <f>B34</f>
        <v>964986.54</v>
      </c>
      <c r="E17" s="21">
        <f>Таблица211301731384552596673243138455259667380879410110233649637791105109128140152164184163248648096112128144160176193551678399115131147546562578590606620636652668684701718173348637893108123138153183198[Профит ФГ 25-26]/Таблица211301731384552596673243138455259667380879410110233649637791105109128140152164184163248648096112128144160176193551678399115131147546562578590606620636652668684701718173348637893108123138153183198[Профит ФГ 24-25]</f>
        <v>53.140951594250787</v>
      </c>
    </row>
    <row r="20" spans="1:5" ht="15" x14ac:dyDescent="0.25">
      <c r="A20" s="386" t="s">
        <v>18</v>
      </c>
      <c r="B20" s="386"/>
      <c r="C20" s="386"/>
      <c r="D20" s="386"/>
    </row>
    <row r="21" spans="1:5" outlineLevel="1" x14ac:dyDescent="0.2">
      <c r="A21" s="25" t="s">
        <v>19</v>
      </c>
      <c r="B21" s="26" t="s">
        <v>20</v>
      </c>
      <c r="C21" s="26" t="s">
        <v>21</v>
      </c>
      <c r="D21" s="25" t="s">
        <v>22</v>
      </c>
    </row>
    <row r="22" spans="1:5" outlineLevel="1" x14ac:dyDescent="0.2">
      <c r="A22" s="30" t="s">
        <v>23</v>
      </c>
      <c r="B22" s="31">
        <v>255961.25</v>
      </c>
      <c r="C22" s="31">
        <v>170000</v>
      </c>
      <c r="D22" s="32">
        <f>Таблица4936997167333146617691106121136151166196211[[#This Row],[Профит]]/Таблица4936997167333146617691106121136151166196211[[#This Row],[План]]</f>
        <v>1.5056544117647059</v>
      </c>
    </row>
    <row r="23" spans="1:5" outlineLevel="1" x14ac:dyDescent="0.2">
      <c r="A23" s="30" t="s">
        <v>25</v>
      </c>
      <c r="B23" s="135">
        <v>85933.41</v>
      </c>
      <c r="C23" s="31">
        <v>190000</v>
      </c>
      <c r="D23" s="32">
        <f>Таблица4936997167333146617691106121136151166196211[[#This Row],[Профит]]/Таблица4936997167333146617691106121136151166196211[[#This Row],[План]]</f>
        <v>0.4522811052631579</v>
      </c>
    </row>
    <row r="24" spans="1:5" outlineLevel="1" x14ac:dyDescent="0.2">
      <c r="A24" s="30" t="s">
        <v>26</v>
      </c>
      <c r="B24" s="135">
        <v>60194.18</v>
      </c>
      <c r="C24" s="31">
        <v>210000</v>
      </c>
      <c r="D24" s="32">
        <f>Таблица4936997167333146617691106121136151166196211[[#This Row],[Профит]]/Таблица4936997167333146617691106121136151166196211[[#This Row],[План]]</f>
        <v>0.28663895238095238</v>
      </c>
    </row>
    <row r="25" spans="1:5" outlineLevel="1" x14ac:dyDescent="0.2">
      <c r="A25" s="30" t="s">
        <v>27</v>
      </c>
      <c r="B25" s="135">
        <v>88786.75</v>
      </c>
      <c r="C25" s="31">
        <v>220000</v>
      </c>
      <c r="D25" s="32">
        <f>Таблица4936997167333146617691106121136151166196211[[#This Row],[Профит]]/Таблица4936997167333146617691106121136151166196211[[#This Row],[План]]</f>
        <v>0.40357613636363637</v>
      </c>
    </row>
    <row r="26" spans="1:5" outlineLevel="1" x14ac:dyDescent="0.2">
      <c r="A26" s="30" t="s">
        <v>28</v>
      </c>
      <c r="B26" s="135">
        <v>51147.62</v>
      </c>
      <c r="C26" s="31">
        <v>250000</v>
      </c>
      <c r="D26" s="32">
        <f>Таблица4936997167333146617691106121136151166196211[[#This Row],[Профит]]/Таблица4936997167333146617691106121136151166196211[[#This Row],[План]]</f>
        <v>0.20459048000000002</v>
      </c>
    </row>
    <row r="27" spans="1:5" outlineLevel="1" x14ac:dyDescent="0.2">
      <c r="A27" s="30" t="s">
        <v>29</v>
      </c>
      <c r="B27" s="135">
        <v>126413.71</v>
      </c>
      <c r="C27" s="31">
        <v>270000</v>
      </c>
      <c r="D27" s="32">
        <f>Таблица4936997167333146617691106121136151166196211[[#This Row],[Профит]]/Таблица4936997167333146617691106121136151166196211[[#This Row],[План]]</f>
        <v>0.46819892592592594</v>
      </c>
    </row>
    <row r="28" spans="1:5" outlineLevel="1" x14ac:dyDescent="0.2">
      <c r="A28" s="30" t="s">
        <v>30</v>
      </c>
      <c r="B28" s="135">
        <v>140829.10999999999</v>
      </c>
      <c r="C28" s="31">
        <v>270000</v>
      </c>
      <c r="D28" s="32">
        <f>Таблица4936997167333146617691106121136151166196211[[#This Row],[Профит]]/Таблица4936997167333146617691106121136151166196211[[#This Row],[План]]</f>
        <v>0.52158929629629625</v>
      </c>
    </row>
    <row r="29" spans="1:5" outlineLevel="1" x14ac:dyDescent="0.2">
      <c r="A29" s="30" t="s">
        <v>31</v>
      </c>
      <c r="B29" s="31">
        <v>155720.51</v>
      </c>
      <c r="C29" s="31">
        <v>330000</v>
      </c>
      <c r="D29" s="32">
        <f>Таблица4936997167333146617691106121136151166196211[[#This Row],[Профит]]/Таблица4936997167333146617691106121136151166196211[[#This Row],[План]]</f>
        <v>0.47188033333333335</v>
      </c>
    </row>
    <row r="30" spans="1:5" outlineLevel="1" x14ac:dyDescent="0.2">
      <c r="A30" s="30" t="s">
        <v>32</v>
      </c>
      <c r="B30" s="34">
        <v>0</v>
      </c>
      <c r="C30" s="34">
        <v>390000</v>
      </c>
      <c r="D30" s="32">
        <f>Таблица4936997167333146617691106121136151166196211[[#This Row],[Профит]]/Таблица4936997167333146617691106121136151166196211[[#This Row],[План]]</f>
        <v>0</v>
      </c>
    </row>
    <row r="31" spans="1:5" outlineLevel="1" x14ac:dyDescent="0.2">
      <c r="A31" s="30" t="s">
        <v>33</v>
      </c>
      <c r="B31" s="34">
        <v>0</v>
      </c>
      <c r="C31" s="34">
        <v>300000</v>
      </c>
      <c r="D31" s="32">
        <f>Таблица4936997167333146617691106121136151166196211[[#This Row],[Профит]]/Таблица4936997167333146617691106121136151166196211[[#This Row],[План]]</f>
        <v>0</v>
      </c>
    </row>
    <row r="32" spans="1:5" outlineLevel="1" x14ac:dyDescent="0.2">
      <c r="A32" s="30" t="s">
        <v>34</v>
      </c>
      <c r="B32" s="34">
        <v>0</v>
      </c>
      <c r="C32" s="34">
        <v>330000</v>
      </c>
      <c r="D32" s="32">
        <f>Таблица4936997167333146617691106121136151166196211[[#This Row],[Профит]]/Таблица4936997167333146617691106121136151166196211[[#This Row],[План]]</f>
        <v>0</v>
      </c>
    </row>
    <row r="33" spans="1:8" outlineLevel="1" x14ac:dyDescent="0.2">
      <c r="A33" s="33" t="s">
        <v>35</v>
      </c>
      <c r="B33" s="34">
        <v>0</v>
      </c>
      <c r="C33" s="34">
        <v>360000</v>
      </c>
      <c r="D33" s="32">
        <f>Таблица4936997167333146617691106121136151166196211[[#This Row],[Профит]]/Таблица4936997167333146617691106121136151166196211[[#This Row],[План]]</f>
        <v>0</v>
      </c>
      <c r="H33" s="35"/>
    </row>
    <row r="34" spans="1:8" ht="15" outlineLevel="1" x14ac:dyDescent="0.25">
      <c r="A34" s="36" t="s">
        <v>36</v>
      </c>
      <c r="B34" s="37">
        <f>SUM(B22:B33)</f>
        <v>964986.54</v>
      </c>
      <c r="C34" s="38">
        <f>SUM(C22:C33)</f>
        <v>3290000</v>
      </c>
      <c r="D34" s="39"/>
    </row>
    <row r="35" spans="1:8" outlineLevel="1" x14ac:dyDescent="0.2">
      <c r="A35" s="41" t="s">
        <v>37</v>
      </c>
      <c r="B35" s="42">
        <f>AVERAGE(B22:B29)</f>
        <v>120623.3175</v>
      </c>
      <c r="C35" s="42">
        <f>AVERAGE(C22:C33)</f>
        <v>274166.66666666669</v>
      </c>
      <c r="D35" s="337">
        <f>B35/C35</f>
        <v>0.43996346808510639</v>
      </c>
    </row>
    <row r="38" spans="1:8" ht="15" x14ac:dyDescent="0.25">
      <c r="A38" s="386" t="s">
        <v>38</v>
      </c>
      <c r="B38" s="386"/>
      <c r="C38" s="386"/>
      <c r="D38" s="386"/>
    </row>
    <row r="39" spans="1:8" s="45" customFormat="1" outlineLevel="1" x14ac:dyDescent="0.2">
      <c r="A39" s="44" t="s">
        <v>39</v>
      </c>
      <c r="B39" s="44" t="s">
        <v>40</v>
      </c>
      <c r="C39" s="44" t="s">
        <v>41</v>
      </c>
      <c r="D39" s="44" t="s">
        <v>42</v>
      </c>
      <c r="E39" s="44" t="s">
        <v>43</v>
      </c>
      <c r="F39" s="2"/>
    </row>
    <row r="40" spans="1:8" outlineLevel="1" x14ac:dyDescent="0.2">
      <c r="A40" s="8">
        <f>B29</f>
        <v>155720.51</v>
      </c>
      <c r="B40" s="46">
        <f>50000</f>
        <v>50000</v>
      </c>
      <c r="C40" s="136">
        <f>A40*0.065*1</f>
        <v>10121.83315</v>
      </c>
      <c r="D40" s="47">
        <f>SUM(G121:G123)</f>
        <v>3125</v>
      </c>
      <c r="E40" s="48">
        <v>0</v>
      </c>
    </row>
    <row r="41" spans="1:8" outlineLevel="1" x14ac:dyDescent="0.2">
      <c r="A41" s="49" t="s">
        <v>44</v>
      </c>
      <c r="B41" s="137">
        <f>Таблица294459759110712313915517118730466278941101261421585565725886026166306466626786947117282843587388103118133148163193208[Оклад]+Таблица294459759110712313915517118730466278941101261421585565725886026166306466626786947117282843587388103118133148163193208[Премия]+Таблица294459759110712313915517118730466278941101261421585565725886026166306466626786947117282843587388103118133148163193208[Штрафы]+Таблица294459759110712313915517118730466278941101261421585565725886026166306466626786947117282843587388103118133148163193208[Доплата за Задачи]</f>
        <v>63246.833149999999</v>
      </c>
      <c r="C41" s="50"/>
    </row>
    <row r="42" spans="1:8" x14ac:dyDescent="0.2">
      <c r="A42" s="40"/>
      <c r="B42" s="40"/>
    </row>
    <row r="43" spans="1:8" x14ac:dyDescent="0.2">
      <c r="A43" s="51"/>
      <c r="B43" s="51"/>
      <c r="C43" s="51"/>
      <c r="D43" s="52"/>
      <c r="E43" s="53"/>
      <c r="F43" s="53"/>
      <c r="H43" s="22"/>
    </row>
    <row r="44" spans="1:8" ht="15" x14ac:dyDescent="0.25">
      <c r="A44" s="386" t="s">
        <v>45</v>
      </c>
      <c r="B44" s="386"/>
      <c r="C44" s="386"/>
      <c r="D44" s="386"/>
      <c r="E44" s="53"/>
      <c r="F44" s="53"/>
      <c r="H44" s="22"/>
    </row>
    <row r="45" spans="1:8" outlineLevel="1" x14ac:dyDescent="0.2">
      <c r="A45" s="5" t="s">
        <v>46</v>
      </c>
      <c r="B45" s="5" t="s">
        <v>47</v>
      </c>
      <c r="C45" s="5" t="s">
        <v>48</v>
      </c>
      <c r="D45" s="54" t="s">
        <v>49</v>
      </c>
      <c r="G45" s="40"/>
    </row>
    <row r="46" spans="1:8" ht="24.95" customHeight="1" outlineLevel="1" x14ac:dyDescent="0.2">
      <c r="A46" s="55" t="s">
        <v>24</v>
      </c>
      <c r="B46" s="60"/>
      <c r="C46" s="60"/>
      <c r="D46" s="61">
        <v>0</v>
      </c>
      <c r="G46" s="62"/>
      <c r="H46" s="6"/>
    </row>
    <row r="47" spans="1:8" outlineLevel="1" x14ac:dyDescent="0.2">
      <c r="A47" s="63"/>
      <c r="B47" s="64" t="s">
        <v>50</v>
      </c>
      <c r="C47" s="65">
        <f>SUM(Таблица546243318323946536067742532394653606774818895102112437506478921061101291411531651851733496581971131291451611772036526884100116132148547563579593607621637653669685702719193449647994109124139154184199[Общая сумма долга])</f>
        <v>0</v>
      </c>
      <c r="D47" s="66">
        <v>0</v>
      </c>
      <c r="E47" s="67" t="s">
        <v>51</v>
      </c>
      <c r="F47" s="51"/>
      <c r="G47" s="51"/>
      <c r="H47" s="51"/>
    </row>
    <row r="48" spans="1:8" outlineLevel="1" x14ac:dyDescent="0.2">
      <c r="A48" s="63"/>
      <c r="B48" s="64"/>
      <c r="C48" s="65"/>
      <c r="D48" s="51"/>
      <c r="E48" s="51"/>
      <c r="F48" s="51"/>
      <c r="G48" s="51"/>
      <c r="H48" s="51"/>
    </row>
    <row r="49" spans="1:8" x14ac:dyDescent="0.2">
      <c r="A49" s="63"/>
      <c r="B49" s="51"/>
      <c r="C49" s="51"/>
      <c r="D49" s="52"/>
      <c r="E49" s="51"/>
      <c r="F49" s="53"/>
      <c r="G49" s="51"/>
      <c r="H49" s="68"/>
    </row>
    <row r="50" spans="1:8" x14ac:dyDescent="0.2">
      <c r="A50" s="63"/>
      <c r="B50" s="51"/>
      <c r="C50" s="51"/>
      <c r="D50" s="52"/>
      <c r="E50" s="51"/>
      <c r="F50" s="53"/>
      <c r="G50" s="51"/>
      <c r="H50" s="68"/>
    </row>
    <row r="51" spans="1:8" ht="15" x14ac:dyDescent="0.25">
      <c r="A51" s="387" t="s">
        <v>52</v>
      </c>
      <c r="B51" s="387"/>
      <c r="C51" s="387"/>
      <c r="D51" s="387"/>
      <c r="E51" s="53"/>
      <c r="F51" s="53"/>
      <c r="G51" s="51"/>
    </row>
    <row r="52" spans="1:8" s="6" customFormat="1" outlineLevel="1" x14ac:dyDescent="0.2">
      <c r="A52" s="18" t="s">
        <v>53</v>
      </c>
      <c r="B52" s="19" t="s">
        <v>54</v>
      </c>
      <c r="C52" s="19" t="s">
        <v>55</v>
      </c>
      <c r="D52" s="69" t="s">
        <v>56</v>
      </c>
      <c r="E52" s="69" t="s">
        <v>4</v>
      </c>
      <c r="F52" s="70" t="s">
        <v>57</v>
      </c>
      <c r="G52" s="277"/>
    </row>
    <row r="53" spans="1:8" s="6" customFormat="1" ht="26.25" customHeight="1" outlineLevel="1" x14ac:dyDescent="0.2">
      <c r="A53" s="173" t="s">
        <v>1579</v>
      </c>
      <c r="B53" s="246">
        <v>533498</v>
      </c>
      <c r="C53" s="131">
        <v>89242.17</v>
      </c>
      <c r="D53" s="249">
        <v>0.20100000000000001</v>
      </c>
      <c r="E53" s="177" t="s">
        <v>94</v>
      </c>
      <c r="F53" s="250" t="s">
        <v>1827</v>
      </c>
    </row>
    <row r="54" spans="1:8" s="6" customFormat="1" ht="26.25" customHeight="1" outlineLevel="1" x14ac:dyDescent="0.2">
      <c r="A54" s="173" t="s">
        <v>1154</v>
      </c>
      <c r="B54" s="246">
        <v>39833.33</v>
      </c>
      <c r="C54" s="131">
        <v>39833.33</v>
      </c>
      <c r="D54" s="249">
        <v>1</v>
      </c>
      <c r="E54" s="177" t="s">
        <v>94</v>
      </c>
      <c r="F54" s="250" t="s">
        <v>1155</v>
      </c>
    </row>
    <row r="55" spans="1:8" s="6" customFormat="1" ht="26.25" customHeight="1" outlineLevel="1" x14ac:dyDescent="0.2">
      <c r="A55" s="173" t="s">
        <v>1729</v>
      </c>
      <c r="B55" s="246">
        <v>52510</v>
      </c>
      <c r="C55" s="131">
        <v>5321.44</v>
      </c>
      <c r="D55" s="249">
        <v>0.113</v>
      </c>
      <c r="E55" s="177" t="s">
        <v>94</v>
      </c>
      <c r="F55" s="250" t="s">
        <v>251</v>
      </c>
    </row>
    <row r="56" spans="1:8" s="6" customFormat="1" ht="26.25" customHeight="1" outlineLevel="1" x14ac:dyDescent="0.2">
      <c r="A56" s="173" t="s">
        <v>1822</v>
      </c>
      <c r="B56" s="246">
        <v>121361</v>
      </c>
      <c r="C56" s="131">
        <v>5239.34</v>
      </c>
      <c r="D56" s="249">
        <v>4.4999999999999998E-2</v>
      </c>
      <c r="E56" s="177" t="s">
        <v>94</v>
      </c>
      <c r="F56" s="250" t="s">
        <v>251</v>
      </c>
    </row>
    <row r="57" spans="1:8" s="6" customFormat="1" ht="24.75" customHeight="1" outlineLevel="1" x14ac:dyDescent="0.2">
      <c r="A57" s="173" t="s">
        <v>1136</v>
      </c>
      <c r="B57" s="323">
        <v>19220</v>
      </c>
      <c r="C57" s="131">
        <v>5181.8</v>
      </c>
      <c r="D57" s="249">
        <v>0.36899999999999999</v>
      </c>
      <c r="E57" s="177" t="s">
        <v>94</v>
      </c>
      <c r="F57" s="250" t="s">
        <v>1828</v>
      </c>
    </row>
    <row r="58" spans="1:8" s="6" customFormat="1" ht="22.5" customHeight="1" outlineLevel="1" x14ac:dyDescent="0.2">
      <c r="A58" s="173" t="s">
        <v>1593</v>
      </c>
      <c r="B58" s="246">
        <v>52485</v>
      </c>
      <c r="C58" s="131">
        <v>2968.06</v>
      </c>
      <c r="D58" s="249">
        <v>0.06</v>
      </c>
      <c r="E58" s="177" t="s">
        <v>94</v>
      </c>
      <c r="F58" s="250" t="s">
        <v>282</v>
      </c>
    </row>
    <row r="59" spans="1:8" s="6" customFormat="1" ht="24" customHeight="1" outlineLevel="1" x14ac:dyDescent="0.2">
      <c r="A59" s="173" t="s">
        <v>1823</v>
      </c>
      <c r="B59" s="246">
        <v>19060</v>
      </c>
      <c r="C59" s="131">
        <v>2956.47</v>
      </c>
      <c r="D59" s="249">
        <v>0.184</v>
      </c>
      <c r="E59" s="177" t="s">
        <v>94</v>
      </c>
      <c r="F59" s="250" t="s">
        <v>1828</v>
      </c>
    </row>
    <row r="60" spans="1:8" s="6" customFormat="1" ht="24" customHeight="1" outlineLevel="1" x14ac:dyDescent="0.2">
      <c r="A60" s="173" t="s">
        <v>1824</v>
      </c>
      <c r="B60" s="246">
        <v>33900</v>
      </c>
      <c r="C60" s="131">
        <v>2044.98</v>
      </c>
      <c r="D60" s="249">
        <v>6.4000000000000001E-2</v>
      </c>
      <c r="E60" s="177" t="s">
        <v>94</v>
      </c>
      <c r="F60" s="250" t="s">
        <v>180</v>
      </c>
    </row>
    <row r="61" spans="1:8" s="6" customFormat="1" ht="24" customHeight="1" outlineLevel="1" x14ac:dyDescent="0.2">
      <c r="A61" s="173" t="s">
        <v>1825</v>
      </c>
      <c r="B61" s="246">
        <v>15849</v>
      </c>
      <c r="C61" s="131">
        <v>1759.86</v>
      </c>
      <c r="D61" s="249">
        <v>0.125</v>
      </c>
      <c r="E61" s="177" t="s">
        <v>94</v>
      </c>
      <c r="F61" s="250" t="s">
        <v>1829</v>
      </c>
    </row>
    <row r="62" spans="1:8" s="6" customFormat="1" ht="24" customHeight="1" outlineLevel="1" x14ac:dyDescent="0.2">
      <c r="A62" s="173" t="s">
        <v>1041</v>
      </c>
      <c r="B62" s="246">
        <v>56525.3</v>
      </c>
      <c r="C62" s="131">
        <v>1092.58</v>
      </c>
      <c r="D62" s="249">
        <v>0.02</v>
      </c>
      <c r="E62" s="177" t="s">
        <v>94</v>
      </c>
      <c r="F62" s="250" t="s">
        <v>251</v>
      </c>
    </row>
    <row r="63" spans="1:8" s="6" customFormat="1" ht="24" customHeight="1" outlineLevel="1" x14ac:dyDescent="0.2">
      <c r="A63" s="173" t="s">
        <v>1599</v>
      </c>
      <c r="B63" s="246">
        <v>55499</v>
      </c>
      <c r="C63" s="131">
        <v>1085</v>
      </c>
      <c r="D63" s="249">
        <v>0.02</v>
      </c>
      <c r="E63" s="177" t="s">
        <v>94</v>
      </c>
      <c r="F63" s="250" t="s">
        <v>1832</v>
      </c>
    </row>
    <row r="64" spans="1:8" s="6" customFormat="1" ht="25.5" customHeight="1" outlineLevel="1" x14ac:dyDescent="0.2">
      <c r="A64" s="173" t="s">
        <v>1826</v>
      </c>
      <c r="B64" s="246">
        <v>108850</v>
      </c>
      <c r="C64" s="131">
        <v>1064.76</v>
      </c>
      <c r="D64" s="249">
        <v>0.01</v>
      </c>
      <c r="E64" s="177" t="s">
        <v>94</v>
      </c>
      <c r="F64" s="250" t="s">
        <v>1831</v>
      </c>
    </row>
    <row r="65" spans="1:57" s="6" customFormat="1" ht="25.5" customHeight="1" outlineLevel="1" x14ac:dyDescent="0.2">
      <c r="A65" s="173" t="s">
        <v>1733</v>
      </c>
      <c r="B65" s="246">
        <v>22361</v>
      </c>
      <c r="C65" s="131">
        <v>818.22</v>
      </c>
      <c r="D65" s="249">
        <v>3.7999999999999999E-2</v>
      </c>
      <c r="E65" s="177" t="s">
        <v>94</v>
      </c>
      <c r="F65" s="250" t="s">
        <v>1828</v>
      </c>
    </row>
    <row r="66" spans="1:57" s="6" customFormat="1" ht="25.5" customHeight="1" outlineLevel="1" x14ac:dyDescent="0.2">
      <c r="A66" s="173" t="s">
        <v>104</v>
      </c>
      <c r="B66" s="246">
        <v>7739</v>
      </c>
      <c r="C66" s="131">
        <v>0</v>
      </c>
      <c r="D66" s="249">
        <v>0</v>
      </c>
      <c r="E66" s="177" t="s">
        <v>94</v>
      </c>
      <c r="F66" s="250" t="s">
        <v>1833</v>
      </c>
    </row>
    <row r="67" spans="1:57" s="6" customFormat="1" ht="25.5" customHeight="1" outlineLevel="1" x14ac:dyDescent="0.2">
      <c r="A67" s="173" t="s">
        <v>1728</v>
      </c>
      <c r="B67" s="246">
        <v>0</v>
      </c>
      <c r="C67" s="131">
        <v>-2887.5</v>
      </c>
      <c r="D67" s="249">
        <v>-1</v>
      </c>
      <c r="E67" s="177" t="s">
        <v>94</v>
      </c>
      <c r="F67" s="250" t="s">
        <v>1830</v>
      </c>
    </row>
    <row r="68" spans="1:57" x14ac:dyDescent="0.2">
      <c r="A68" s="51"/>
      <c r="B68" s="51"/>
      <c r="C68" s="51"/>
      <c r="D68" s="52"/>
      <c r="E68" s="51"/>
      <c r="F68" s="53"/>
      <c r="G68" s="51"/>
    </row>
    <row r="69" spans="1:57" s="7" customFormat="1" ht="15" x14ac:dyDescent="0.25">
      <c r="A69" s="387" t="s">
        <v>58</v>
      </c>
      <c r="B69" s="387"/>
      <c r="C69" s="387"/>
      <c r="D69" s="387"/>
      <c r="E69" s="79"/>
      <c r="F69" s="79"/>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row>
    <row r="70" spans="1:57" ht="15" customHeight="1" outlineLevel="1" x14ac:dyDescent="0.2">
      <c r="A70" s="80">
        <v>45992</v>
      </c>
      <c r="B70" s="81" t="s">
        <v>21</v>
      </c>
      <c r="C70" s="81" t="s">
        <v>59</v>
      </c>
      <c r="D70" s="81" t="s">
        <v>60</v>
      </c>
      <c r="E70" s="81" t="s">
        <v>61</v>
      </c>
      <c r="F70" s="81" t="s">
        <v>62</v>
      </c>
      <c r="G70" s="81" t="s">
        <v>63</v>
      </c>
      <c r="H70" s="81" t="s">
        <v>64</v>
      </c>
    </row>
    <row r="71" spans="1:57" outlineLevel="1" x14ac:dyDescent="0.2">
      <c r="A71" s="87"/>
      <c r="B71" s="282">
        <v>390000</v>
      </c>
      <c r="C71" s="339">
        <v>0</v>
      </c>
      <c r="D71" s="282">
        <v>49000</v>
      </c>
      <c r="E71" s="282">
        <v>59000</v>
      </c>
      <c r="F71" s="282">
        <v>113000</v>
      </c>
      <c r="G71" s="282">
        <f>C71+D71+E71*0.5+F71*0.05</f>
        <v>84150</v>
      </c>
      <c r="H71" s="284">
        <f>Таблица9132738193340475461687582899682891101171241311381451521591661731801871945121926334047546168758289961031101171241311381451521591661741821902052131241361481601721922440627894110126142158174190334965819711312914516155957559160361763164766367969571209[[#This Row],[Столбец6]]/Таблица9132738193340475461687582899682891101171241311381451521591661731801871945121926334047546168758289961031101171241311381451521591661741821902052131241361481601721922440627894110126142158174190334965819711312914516155957559160361763164766367969571209[[#This Row],[Столбец1]]</f>
        <v>0.21576923076923077</v>
      </c>
    </row>
    <row r="72" spans="1:57" outlineLevel="1" x14ac:dyDescent="0.2">
      <c r="A72" s="40"/>
      <c r="B72" s="40"/>
      <c r="C72" s="40"/>
      <c r="D72" s="40"/>
      <c r="E72" s="40"/>
      <c r="F72" s="40"/>
      <c r="G72" s="40"/>
      <c r="H72" s="86"/>
    </row>
    <row r="73" spans="1:57" outlineLevel="1" x14ac:dyDescent="0.2">
      <c r="A73" s="80">
        <v>46023</v>
      </c>
      <c r="B73" s="81" t="s">
        <v>21</v>
      </c>
      <c r="C73" s="81" t="s">
        <v>59</v>
      </c>
      <c r="D73" s="81" t="s">
        <v>60</v>
      </c>
      <c r="E73" s="81" t="s">
        <v>61</v>
      </c>
      <c r="F73" s="81" t="s">
        <v>62</v>
      </c>
      <c r="G73" s="81" t="s">
        <v>63</v>
      </c>
      <c r="H73" s="81" t="s">
        <v>64</v>
      </c>
    </row>
    <row r="74" spans="1:57" ht="15" customHeight="1" outlineLevel="1" x14ac:dyDescent="0.2">
      <c r="A74" s="87"/>
      <c r="B74" s="282">
        <v>300000</v>
      </c>
      <c r="C74" s="283">
        <v>0</v>
      </c>
      <c r="D74" s="283">
        <v>0</v>
      </c>
      <c r="E74" s="283">
        <v>39000</v>
      </c>
      <c r="F74" s="282">
        <v>550000</v>
      </c>
      <c r="G74" s="282">
        <f>C74+D74+E74*0.5+F74*0.05</f>
        <v>47000</v>
      </c>
      <c r="H74" s="284">
        <f>Таблица9132738193340475461687582899682891101171241311381451521591661731801871945121926334047546168758289961031101171241311381451521591661741821902052131191251371491611731932541567288104120136152168184274359759110712313915555356958559961362764365967569205[[#This Row],[Столбец6]]/Таблица9132738193340475461687582899682891101171241311381451521591661731801871945121926334047546168758289961031101171241311381451521591661741821902052131191251371491611731932541567288104120136152168184274359759110712313915555356958559961362764365967569205[[#This Row],[Столбец1]]</f>
        <v>0.15666666666666668</v>
      </c>
    </row>
    <row r="75" spans="1:57" x14ac:dyDescent="0.2">
      <c r="A75" s="63"/>
      <c r="B75" s="51"/>
      <c r="C75" s="51"/>
      <c r="D75" s="52"/>
      <c r="E75" s="51"/>
    </row>
    <row r="76" spans="1:57" x14ac:dyDescent="0.2">
      <c r="A76" s="51"/>
      <c r="B76" s="51"/>
      <c r="C76" s="51"/>
      <c r="D76" s="52"/>
      <c r="E76" s="51"/>
    </row>
    <row r="77" spans="1:57" ht="15.75" x14ac:dyDescent="0.25">
      <c r="A77" s="88" t="s">
        <v>65</v>
      </c>
      <c r="B77" s="89"/>
    </row>
    <row r="78" spans="1:57" ht="15" x14ac:dyDescent="0.25">
      <c r="A78" s="387" t="s">
        <v>66</v>
      </c>
      <c r="B78" s="387"/>
      <c r="C78" s="387"/>
      <c r="D78" s="387"/>
      <c r="E78" s="90"/>
      <c r="F78" s="90"/>
      <c r="G78" s="13">
        <f>SUM(Таблица4211720344148556269768390978390111118125132139146153160167174181188195613202734414855626976839097104111118125132139146153160167175183198206214123135147159171191233955718710311913515116718326425874901061221381545525685845986126266426586746907077204[Сумма, тыс. руб.])*1000</f>
        <v>1969000</v>
      </c>
      <c r="H78" s="276"/>
    </row>
    <row r="79" spans="1:57" outlineLevel="1" x14ac:dyDescent="0.2">
      <c r="A79" s="91" t="s">
        <v>67</v>
      </c>
      <c r="B79" s="91" t="s">
        <v>53</v>
      </c>
      <c r="C79" s="91" t="s">
        <v>4</v>
      </c>
      <c r="D79" s="91" t="s">
        <v>68</v>
      </c>
      <c r="E79" s="91" t="s">
        <v>69</v>
      </c>
      <c r="F79" s="91" t="s">
        <v>70</v>
      </c>
      <c r="G79" s="91" t="s">
        <v>71</v>
      </c>
      <c r="H79" s="91" t="s">
        <v>72</v>
      </c>
      <c r="I79" s="276"/>
      <c r="J79" s="276"/>
    </row>
    <row r="80" spans="1:57" s="258" customFormat="1" ht="24.95" customHeight="1" outlineLevel="1" x14ac:dyDescent="0.2">
      <c r="A80" s="230" t="s">
        <v>1341</v>
      </c>
      <c r="B80" s="230" t="s">
        <v>1342</v>
      </c>
      <c r="C80" s="177" t="s">
        <v>94</v>
      </c>
      <c r="D80" s="173" t="s">
        <v>73</v>
      </c>
      <c r="E80" s="230" t="s">
        <v>1343</v>
      </c>
      <c r="F80" s="218" t="s">
        <v>1659</v>
      </c>
      <c r="G80" s="131">
        <v>735</v>
      </c>
      <c r="H80" s="173" t="s">
        <v>280</v>
      </c>
    </row>
    <row r="81" spans="1:8" s="258" customFormat="1" ht="24.95" customHeight="1" outlineLevel="1" x14ac:dyDescent="0.2">
      <c r="A81" s="230" t="s">
        <v>1578</v>
      </c>
      <c r="B81" s="230" t="s">
        <v>1041</v>
      </c>
      <c r="C81" s="177" t="s">
        <v>94</v>
      </c>
      <c r="D81" s="173" t="s">
        <v>73</v>
      </c>
      <c r="E81" s="230" t="s">
        <v>572</v>
      </c>
      <c r="F81" s="218" t="s">
        <v>1659</v>
      </c>
      <c r="G81" s="131">
        <v>500</v>
      </c>
      <c r="H81" s="173" t="s">
        <v>996</v>
      </c>
    </row>
    <row r="82" spans="1:8" s="258" customFormat="1" ht="24.95" customHeight="1" outlineLevel="1" x14ac:dyDescent="0.2">
      <c r="A82" s="190" t="s">
        <v>1601</v>
      </c>
      <c r="B82" s="176" t="s">
        <v>1599</v>
      </c>
      <c r="C82" s="177" t="s">
        <v>94</v>
      </c>
      <c r="D82" s="173" t="s">
        <v>73</v>
      </c>
      <c r="E82" s="178" t="s">
        <v>1641</v>
      </c>
      <c r="F82" s="218" t="s">
        <v>1659</v>
      </c>
      <c r="G82" s="131">
        <v>443</v>
      </c>
      <c r="H82" s="173" t="s">
        <v>168</v>
      </c>
    </row>
    <row r="83" spans="1:8" s="258" customFormat="1" ht="24.95" customHeight="1" outlineLevel="1" x14ac:dyDescent="0.2">
      <c r="A83" s="190" t="s">
        <v>1392</v>
      </c>
      <c r="B83" s="176" t="s">
        <v>1391</v>
      </c>
      <c r="C83" s="177" t="s">
        <v>94</v>
      </c>
      <c r="D83" s="173" t="s">
        <v>73</v>
      </c>
      <c r="E83" s="178" t="s">
        <v>1393</v>
      </c>
      <c r="F83" s="218" t="s">
        <v>1659</v>
      </c>
      <c r="G83" s="131">
        <v>160</v>
      </c>
      <c r="H83" s="173" t="s">
        <v>168</v>
      </c>
    </row>
    <row r="84" spans="1:8" s="258" customFormat="1" ht="24.95" customHeight="1" outlineLevel="1" x14ac:dyDescent="0.2">
      <c r="A84" s="190" t="s">
        <v>1834</v>
      </c>
      <c r="B84" s="176" t="s">
        <v>1579</v>
      </c>
      <c r="C84" s="177" t="s">
        <v>94</v>
      </c>
      <c r="D84" s="173" t="s">
        <v>73</v>
      </c>
      <c r="E84" s="178" t="s">
        <v>1835</v>
      </c>
      <c r="F84" s="218" t="s">
        <v>1659</v>
      </c>
      <c r="G84" s="131">
        <v>116</v>
      </c>
      <c r="H84" s="173" t="s">
        <v>1836</v>
      </c>
    </row>
    <row r="85" spans="1:8" s="258" customFormat="1" ht="24.95" customHeight="1" outlineLevel="1" x14ac:dyDescent="0.2">
      <c r="A85" s="190" t="s">
        <v>1792</v>
      </c>
      <c r="B85" s="176" t="s">
        <v>1029</v>
      </c>
      <c r="C85" s="177" t="s">
        <v>94</v>
      </c>
      <c r="D85" s="173" t="s">
        <v>1793</v>
      </c>
      <c r="E85" s="178" t="s">
        <v>1794</v>
      </c>
      <c r="F85" s="218" t="s">
        <v>1659</v>
      </c>
      <c r="G85" s="131">
        <v>15</v>
      </c>
      <c r="H85" s="173" t="s">
        <v>168</v>
      </c>
    </row>
    <row r="86" spans="1:8" x14ac:dyDescent="0.2">
      <c r="A86" s="223"/>
      <c r="B86" s="104"/>
      <c r="C86" s="105"/>
      <c r="D86" s="106"/>
      <c r="E86" s="106"/>
      <c r="F86" s="107"/>
      <c r="G86" s="108"/>
      <c r="H86" s="106"/>
    </row>
    <row r="87" spans="1:8" x14ac:dyDescent="0.2">
      <c r="A87" s="104"/>
      <c r="B87" s="104"/>
      <c r="C87" s="105"/>
      <c r="D87" s="106"/>
      <c r="E87" s="106"/>
      <c r="F87" s="107"/>
      <c r="G87" s="108"/>
      <c r="H87" s="106"/>
    </row>
    <row r="88" spans="1:8" ht="15" x14ac:dyDescent="0.25">
      <c r="A88" s="387" t="s">
        <v>74</v>
      </c>
      <c r="B88" s="387"/>
      <c r="C88" s="387"/>
      <c r="D88" s="387"/>
      <c r="G88" s="13">
        <f>SUM(Таблица125138150162174194264257738910512113715316918528446076921081241401565545705866006146286446606766927097262641567186101116131146161191206[Сумма])*1000</f>
        <v>6232000</v>
      </c>
      <c r="H88" s="276"/>
    </row>
    <row r="89" spans="1:8" outlineLevel="1" x14ac:dyDescent="0.2">
      <c r="A89" s="91" t="s">
        <v>67</v>
      </c>
      <c r="B89" s="91" t="s">
        <v>53</v>
      </c>
      <c r="C89" s="91" t="s">
        <v>4</v>
      </c>
      <c r="D89" s="91" t="s">
        <v>68</v>
      </c>
      <c r="E89" s="91" t="s">
        <v>69</v>
      </c>
      <c r="F89" s="91" t="s">
        <v>70</v>
      </c>
      <c r="G89" s="91" t="s">
        <v>75</v>
      </c>
      <c r="H89" s="91" t="s">
        <v>72</v>
      </c>
    </row>
    <row r="90" spans="1:8" ht="24.95" customHeight="1" outlineLevel="1" x14ac:dyDescent="0.2">
      <c r="A90" s="74" t="s">
        <v>1837</v>
      </c>
      <c r="B90" s="74" t="s">
        <v>1838</v>
      </c>
      <c r="C90" s="177" t="s">
        <v>94</v>
      </c>
      <c r="D90" s="94" t="s">
        <v>73</v>
      </c>
      <c r="E90" s="74" t="s">
        <v>1842</v>
      </c>
      <c r="F90" s="218" t="s">
        <v>1659</v>
      </c>
      <c r="G90" s="72">
        <v>5675</v>
      </c>
      <c r="H90" s="94" t="s">
        <v>284</v>
      </c>
    </row>
    <row r="91" spans="1:8" ht="24.95" customHeight="1" outlineLevel="1" x14ac:dyDescent="0.2">
      <c r="A91" s="74" t="s">
        <v>1839</v>
      </c>
      <c r="B91" s="74" t="s">
        <v>1574</v>
      </c>
      <c r="C91" s="177" t="s">
        <v>94</v>
      </c>
      <c r="D91" s="94" t="s">
        <v>73</v>
      </c>
      <c r="E91" s="74" t="s">
        <v>1843</v>
      </c>
      <c r="F91" s="218" t="s">
        <v>1590</v>
      </c>
      <c r="G91" s="72">
        <v>155</v>
      </c>
      <c r="H91" s="94" t="s">
        <v>107</v>
      </c>
    </row>
    <row r="92" spans="1:8" ht="24.95" customHeight="1" outlineLevel="1" x14ac:dyDescent="0.2">
      <c r="A92" s="74" t="s">
        <v>1857</v>
      </c>
      <c r="B92" s="74" t="s">
        <v>104</v>
      </c>
      <c r="C92" s="177" t="s">
        <v>94</v>
      </c>
      <c r="D92" s="94" t="s">
        <v>73</v>
      </c>
      <c r="E92" s="74" t="s">
        <v>1858</v>
      </c>
      <c r="F92" s="218" t="s">
        <v>1859</v>
      </c>
      <c r="G92" s="72">
        <v>118</v>
      </c>
      <c r="H92" s="94" t="s">
        <v>280</v>
      </c>
    </row>
    <row r="93" spans="1:8" ht="24.95" customHeight="1" outlineLevel="1" x14ac:dyDescent="0.2">
      <c r="A93" s="74" t="s">
        <v>1834</v>
      </c>
      <c r="B93" s="74" t="s">
        <v>1579</v>
      </c>
      <c r="C93" s="177" t="s">
        <v>94</v>
      </c>
      <c r="D93" s="94" t="s">
        <v>73</v>
      </c>
      <c r="E93" s="74" t="s">
        <v>1835</v>
      </c>
      <c r="F93" s="218" t="s">
        <v>1659</v>
      </c>
      <c r="G93" s="72">
        <v>116</v>
      </c>
      <c r="H93" s="94" t="s">
        <v>1836</v>
      </c>
    </row>
    <row r="94" spans="1:8" ht="24.95" customHeight="1" outlineLevel="1" x14ac:dyDescent="0.2">
      <c r="A94" s="74" t="s">
        <v>1855</v>
      </c>
      <c r="B94" s="74" t="s">
        <v>1826</v>
      </c>
      <c r="C94" s="177" t="s">
        <v>94</v>
      </c>
      <c r="D94" s="94" t="s">
        <v>73</v>
      </c>
      <c r="E94" s="74" t="s">
        <v>1856</v>
      </c>
      <c r="F94" s="218" t="s">
        <v>1590</v>
      </c>
      <c r="G94" s="72">
        <v>114</v>
      </c>
      <c r="H94" s="94" t="s">
        <v>107</v>
      </c>
    </row>
    <row r="95" spans="1:8" ht="24.95" customHeight="1" outlineLevel="1" x14ac:dyDescent="0.2">
      <c r="A95" s="74" t="s">
        <v>1840</v>
      </c>
      <c r="B95" s="74" t="s">
        <v>1729</v>
      </c>
      <c r="C95" s="177" t="s">
        <v>94</v>
      </c>
      <c r="D95" s="94" t="s">
        <v>73</v>
      </c>
      <c r="E95" s="74" t="s">
        <v>1844</v>
      </c>
      <c r="F95" s="218" t="s">
        <v>1590</v>
      </c>
      <c r="G95" s="72">
        <v>54</v>
      </c>
      <c r="H95" s="94" t="s">
        <v>107</v>
      </c>
    </row>
    <row r="96" spans="1:8" ht="24.95" customHeight="1" outlineLevel="1" x14ac:dyDescent="0.2">
      <c r="A96" s="74" t="s">
        <v>1841</v>
      </c>
      <c r="B96" s="74" t="s">
        <v>1810</v>
      </c>
      <c r="C96" s="177" t="s">
        <v>94</v>
      </c>
      <c r="D96" s="94" t="s">
        <v>73</v>
      </c>
      <c r="E96" s="74" t="s">
        <v>1845</v>
      </c>
      <c r="F96" s="218" t="s">
        <v>1347</v>
      </c>
      <c r="G96" s="72">
        <v>0</v>
      </c>
      <c r="H96" s="94" t="s">
        <v>996</v>
      </c>
    </row>
    <row r="97" spans="1:7" ht="15" customHeight="1" x14ac:dyDescent="0.2"/>
    <row r="98" spans="1:7" ht="15" customHeight="1" x14ac:dyDescent="0.2"/>
    <row r="99" spans="1:7" ht="15.75" x14ac:dyDescent="0.25">
      <c r="A99" s="1" t="s">
        <v>76</v>
      </c>
    </row>
    <row r="100" spans="1:7" ht="15" x14ac:dyDescent="0.25">
      <c r="A100" s="387" t="s">
        <v>77</v>
      </c>
      <c r="B100" s="387"/>
      <c r="C100" s="387"/>
      <c r="D100" s="387"/>
      <c r="E100" s="110"/>
      <c r="F100" s="111"/>
    </row>
    <row r="101" spans="1:7" s="104" customFormat="1" outlineLevel="1" x14ac:dyDescent="0.25">
      <c r="A101" s="112" t="s">
        <v>78</v>
      </c>
      <c r="B101" s="112" t="s">
        <v>53</v>
      </c>
      <c r="C101" s="91" t="s">
        <v>4</v>
      </c>
      <c r="D101" s="112" t="s">
        <v>79</v>
      </c>
      <c r="E101" s="91" t="s">
        <v>80</v>
      </c>
      <c r="F101" s="112" t="s">
        <v>81</v>
      </c>
      <c r="G101" s="112" t="s">
        <v>82</v>
      </c>
    </row>
    <row r="102" spans="1:7" s="104" customFormat="1" ht="23.25" customHeight="1" outlineLevel="1" x14ac:dyDescent="0.25">
      <c r="A102" s="91"/>
      <c r="B102" s="91"/>
      <c r="C102" s="91"/>
      <c r="D102" s="91"/>
      <c r="E102" s="91"/>
      <c r="F102" s="91"/>
      <c r="G102" s="91"/>
    </row>
    <row r="103" spans="1:7" s="104" customFormat="1" ht="12" customHeight="1" outlineLevel="1" x14ac:dyDescent="0.2">
      <c r="A103" s="2"/>
      <c r="B103" s="118"/>
      <c r="C103" s="2"/>
      <c r="D103" s="2"/>
      <c r="E103" s="2"/>
      <c r="F103" s="2"/>
      <c r="G103" s="2"/>
    </row>
    <row r="104" spans="1:7" outlineLevel="1" x14ac:dyDescent="0.2">
      <c r="A104" s="118"/>
      <c r="B104" s="118"/>
    </row>
    <row r="105" spans="1:7" ht="14.45" customHeight="1" outlineLevel="1" x14ac:dyDescent="0.25">
      <c r="A105" s="387" t="s">
        <v>83</v>
      </c>
      <c r="B105" s="387"/>
      <c r="C105" s="387"/>
      <c r="D105" s="387"/>
      <c r="E105" s="212"/>
    </row>
    <row r="106" spans="1:7" ht="24" customHeight="1" outlineLevel="1" x14ac:dyDescent="0.2">
      <c r="A106" s="112" t="s">
        <v>78</v>
      </c>
      <c r="B106" s="112" t="s">
        <v>53</v>
      </c>
      <c r="C106" s="91" t="s">
        <v>4</v>
      </c>
      <c r="D106" s="112" t="s">
        <v>79</v>
      </c>
      <c r="E106" s="91" t="s">
        <v>80</v>
      </c>
      <c r="F106" s="112" t="s">
        <v>81</v>
      </c>
      <c r="G106" s="112" t="s">
        <v>82</v>
      </c>
    </row>
    <row r="107" spans="1:7" ht="24" customHeight="1" outlineLevel="1" x14ac:dyDescent="0.2">
      <c r="A107" s="116">
        <v>45968</v>
      </c>
      <c r="B107" s="116" t="s">
        <v>1795</v>
      </c>
      <c r="C107" s="177" t="s">
        <v>94</v>
      </c>
      <c r="D107" s="116" t="s">
        <v>1846</v>
      </c>
      <c r="E107" s="109" t="s">
        <v>94</v>
      </c>
      <c r="F107" s="109" t="s">
        <v>109</v>
      </c>
      <c r="G107" s="109" t="s">
        <v>1796</v>
      </c>
    </row>
    <row r="108" spans="1:7" ht="24" customHeight="1" outlineLevel="1" x14ac:dyDescent="0.2">
      <c r="A108" s="116">
        <v>45973</v>
      </c>
      <c r="B108" s="116" t="s">
        <v>1803</v>
      </c>
      <c r="C108" s="177" t="s">
        <v>94</v>
      </c>
      <c r="D108" s="116" t="s">
        <v>1847</v>
      </c>
      <c r="E108" s="109" t="s">
        <v>94</v>
      </c>
      <c r="F108" s="109" t="s">
        <v>109</v>
      </c>
      <c r="G108" s="109" t="s">
        <v>1804</v>
      </c>
    </row>
    <row r="109" spans="1:7" ht="24" customHeight="1" outlineLevel="1" x14ac:dyDescent="0.2">
      <c r="A109" s="116">
        <v>45973</v>
      </c>
      <c r="B109" s="173" t="s">
        <v>1805</v>
      </c>
      <c r="C109" s="177" t="s">
        <v>94</v>
      </c>
      <c r="D109" s="116" t="s">
        <v>1853</v>
      </c>
      <c r="E109" s="109" t="s">
        <v>94</v>
      </c>
      <c r="F109" s="109" t="s">
        <v>109</v>
      </c>
      <c r="G109" s="109" t="s">
        <v>1806</v>
      </c>
    </row>
    <row r="110" spans="1:7" ht="24" customHeight="1" outlineLevel="1" x14ac:dyDescent="0.2">
      <c r="A110" s="116">
        <v>45974</v>
      </c>
      <c r="B110" s="173" t="s">
        <v>1807</v>
      </c>
      <c r="C110" s="177" t="s">
        <v>94</v>
      </c>
      <c r="D110" s="116" t="s">
        <v>1852</v>
      </c>
      <c r="E110" s="109" t="s">
        <v>94</v>
      </c>
      <c r="F110" s="109" t="s">
        <v>109</v>
      </c>
      <c r="G110" s="173" t="s">
        <v>1808</v>
      </c>
    </row>
    <row r="111" spans="1:7" ht="24" customHeight="1" outlineLevel="1" x14ac:dyDescent="0.2">
      <c r="A111" s="116">
        <v>45975</v>
      </c>
      <c r="B111" s="116" t="s">
        <v>1810</v>
      </c>
      <c r="C111" s="177" t="s">
        <v>94</v>
      </c>
      <c r="D111" s="116" t="s">
        <v>1809</v>
      </c>
      <c r="E111" s="109" t="s">
        <v>94</v>
      </c>
      <c r="F111" s="109" t="s">
        <v>109</v>
      </c>
      <c r="G111" s="109" t="s">
        <v>1811</v>
      </c>
    </row>
    <row r="112" spans="1:7" ht="24" customHeight="1" outlineLevel="1" x14ac:dyDescent="0.2">
      <c r="A112" s="116">
        <v>45975</v>
      </c>
      <c r="B112" s="173" t="s">
        <v>1814</v>
      </c>
      <c r="C112" s="177" t="s">
        <v>94</v>
      </c>
      <c r="D112" s="171" t="s">
        <v>1812</v>
      </c>
      <c r="E112" s="109" t="s">
        <v>94</v>
      </c>
      <c r="F112" s="109" t="s">
        <v>109</v>
      </c>
      <c r="G112" s="173" t="s">
        <v>1813</v>
      </c>
    </row>
    <row r="113" spans="1:15" ht="24" customHeight="1" outlineLevel="1" x14ac:dyDescent="0.2">
      <c r="A113" s="116">
        <v>45979</v>
      </c>
      <c r="B113" s="173" t="s">
        <v>1817</v>
      </c>
      <c r="C113" s="177" t="s">
        <v>94</v>
      </c>
      <c r="D113" s="171" t="s">
        <v>1815</v>
      </c>
      <c r="E113" s="109" t="s">
        <v>94</v>
      </c>
      <c r="F113" s="109" t="s">
        <v>109</v>
      </c>
      <c r="G113" s="173" t="s">
        <v>1816</v>
      </c>
    </row>
    <row r="114" spans="1:15" ht="24" customHeight="1" outlineLevel="1" x14ac:dyDescent="0.2">
      <c r="A114" s="116">
        <v>45980</v>
      </c>
      <c r="B114" s="173" t="s">
        <v>1818</v>
      </c>
      <c r="C114" s="177" t="s">
        <v>94</v>
      </c>
      <c r="D114" s="171" t="s">
        <v>1851</v>
      </c>
      <c r="E114" s="109" t="s">
        <v>94</v>
      </c>
      <c r="F114" s="109" t="s">
        <v>109</v>
      </c>
      <c r="G114" s="173" t="s">
        <v>1850</v>
      </c>
    </row>
    <row r="115" spans="1:15" ht="24" customHeight="1" outlineLevel="1" x14ac:dyDescent="0.2">
      <c r="A115" s="116">
        <v>45980</v>
      </c>
      <c r="B115" s="173" t="s">
        <v>1819</v>
      </c>
      <c r="C115" s="177" t="s">
        <v>94</v>
      </c>
      <c r="D115" s="171" t="s">
        <v>1848</v>
      </c>
      <c r="E115" s="109" t="s">
        <v>94</v>
      </c>
      <c r="F115" s="109" t="s">
        <v>109</v>
      </c>
      <c r="G115" s="173" t="s">
        <v>1849</v>
      </c>
    </row>
    <row r="117" spans="1:15" s="17" customFormat="1" outlineLevel="1" x14ac:dyDescent="0.2">
      <c r="A117" s="2"/>
      <c r="B117" s="2"/>
      <c r="C117" s="2"/>
      <c r="D117" s="2"/>
      <c r="E117" s="2"/>
      <c r="F117" s="2"/>
      <c r="G117" s="2"/>
    </row>
    <row r="118" spans="1:15" ht="60" customHeight="1" outlineLevel="1" x14ac:dyDescent="0.25">
      <c r="A118" s="1" t="s">
        <v>84</v>
      </c>
    </row>
    <row r="119" spans="1:15" ht="14.45" customHeight="1" outlineLevel="1" x14ac:dyDescent="0.25">
      <c r="A119" s="387" t="s">
        <v>85</v>
      </c>
      <c r="B119" s="387"/>
      <c r="C119" s="387"/>
      <c r="D119" s="387"/>
    </row>
    <row r="120" spans="1:15" ht="33" customHeight="1" outlineLevel="1" x14ac:dyDescent="0.2">
      <c r="A120" s="120" t="s">
        <v>81</v>
      </c>
      <c r="B120" s="120" t="s">
        <v>86</v>
      </c>
      <c r="C120" s="120" t="s">
        <v>87</v>
      </c>
      <c r="D120" s="120" t="s">
        <v>88</v>
      </c>
      <c r="E120" s="120" t="s">
        <v>89</v>
      </c>
      <c r="F120" s="120" t="s">
        <v>4</v>
      </c>
      <c r="G120" s="120" t="s">
        <v>90</v>
      </c>
    </row>
    <row r="121" spans="1:15" ht="126" customHeight="1" x14ac:dyDescent="0.2">
      <c r="A121" s="94"/>
      <c r="B121" s="219" t="s">
        <v>1799</v>
      </c>
      <c r="C121" s="238" t="s">
        <v>1280</v>
      </c>
      <c r="D121" s="225" t="s">
        <v>1854</v>
      </c>
      <c r="E121" s="132" t="s">
        <v>1800</v>
      </c>
      <c r="F121" s="74" t="s">
        <v>94</v>
      </c>
      <c r="G121" s="72">
        <v>2000</v>
      </c>
    </row>
    <row r="122" spans="1:15" ht="80.25" customHeight="1" x14ac:dyDescent="0.2">
      <c r="A122" s="130"/>
      <c r="B122" s="148" t="s">
        <v>1797</v>
      </c>
      <c r="C122" s="238" t="s">
        <v>1280</v>
      </c>
      <c r="D122" s="96" t="s">
        <v>1483</v>
      </c>
      <c r="E122" s="132" t="s">
        <v>1801</v>
      </c>
      <c r="F122" s="74" t="s">
        <v>94</v>
      </c>
      <c r="G122" s="72">
        <v>1125</v>
      </c>
    </row>
    <row r="123" spans="1:15" ht="76.5" x14ac:dyDescent="0.2">
      <c r="A123" s="130"/>
      <c r="B123" s="148" t="s">
        <v>1798</v>
      </c>
      <c r="C123" s="238" t="s">
        <v>761</v>
      </c>
      <c r="D123" s="94" t="s">
        <v>1820</v>
      </c>
      <c r="E123" s="132" t="s">
        <v>1802</v>
      </c>
      <c r="F123" s="74" t="s">
        <v>94</v>
      </c>
      <c r="G123" s="72">
        <v>0</v>
      </c>
    </row>
    <row r="124" spans="1:15" s="124" customFormat="1" ht="12.75" customHeight="1" outlineLevel="1" x14ac:dyDescent="0.2">
      <c r="A124" s="2"/>
      <c r="B124" s="122"/>
      <c r="C124" s="123"/>
      <c r="D124" s="2"/>
      <c r="E124" s="2"/>
      <c r="F124" s="122"/>
      <c r="G124" s="2"/>
      <c r="H124" s="2"/>
      <c r="I124" s="2"/>
      <c r="J124" s="2"/>
      <c r="K124" s="2"/>
      <c r="L124" s="2"/>
      <c r="M124" s="2"/>
      <c r="N124" s="2"/>
      <c r="O124" s="2"/>
    </row>
    <row r="125" spans="1:15" outlineLevel="1" x14ac:dyDescent="0.2">
      <c r="A125" s="122"/>
      <c r="B125" s="122"/>
      <c r="C125" s="123"/>
      <c r="F125" s="122"/>
    </row>
    <row r="126" spans="1:15" ht="14.45" customHeight="1" outlineLevel="1" x14ac:dyDescent="0.25">
      <c r="A126" s="386" t="s">
        <v>92</v>
      </c>
      <c r="B126" s="386"/>
      <c r="C126" s="386"/>
      <c r="D126" s="386"/>
    </row>
    <row r="127" spans="1:15" ht="25.5" x14ac:dyDescent="0.2">
      <c r="A127" s="120" t="s">
        <v>81</v>
      </c>
      <c r="B127" s="120" t="s">
        <v>86</v>
      </c>
      <c r="C127" s="120" t="s">
        <v>87</v>
      </c>
      <c r="D127" s="120" t="s">
        <v>88</v>
      </c>
      <c r="E127" s="120" t="s">
        <v>89</v>
      </c>
      <c r="F127" s="120" t="s">
        <v>4</v>
      </c>
      <c r="G127" s="120" t="s">
        <v>90</v>
      </c>
    </row>
    <row r="128" spans="1:15" ht="153" x14ac:dyDescent="0.2">
      <c r="A128" s="230" t="s">
        <v>109</v>
      </c>
      <c r="B128" s="219" t="s">
        <v>1744</v>
      </c>
      <c r="C128" s="292"/>
      <c r="D128" s="292"/>
      <c r="E128" s="132" t="s">
        <v>1743</v>
      </c>
      <c r="F128" s="74" t="s">
        <v>94</v>
      </c>
      <c r="G128" s="292"/>
    </row>
    <row r="129" spans="1:7" ht="76.5" x14ac:dyDescent="0.25">
      <c r="A129" s="230" t="s">
        <v>109</v>
      </c>
      <c r="B129" s="148" t="s">
        <v>1741</v>
      </c>
      <c r="C129" s="125"/>
      <c r="D129"/>
      <c r="E129" s="132" t="s">
        <v>1695</v>
      </c>
      <c r="F129" s="74" t="s">
        <v>94</v>
      </c>
      <c r="G129" s="126"/>
    </row>
    <row r="130" spans="1:7" ht="38.25" x14ac:dyDescent="0.25">
      <c r="A130" s="230" t="s">
        <v>109</v>
      </c>
      <c r="B130" s="148" t="s">
        <v>1745</v>
      </c>
      <c r="C130" s="125"/>
      <c r="D130"/>
      <c r="E130" s="132" t="s">
        <v>1516</v>
      </c>
      <c r="F130" s="74" t="s">
        <v>94</v>
      </c>
      <c r="G130" s="126"/>
    </row>
    <row r="131" spans="1:7" ht="76.5" x14ac:dyDescent="0.25">
      <c r="A131" s="230" t="s">
        <v>109</v>
      </c>
      <c r="B131" s="148" t="s">
        <v>1410</v>
      </c>
      <c r="C131" s="125"/>
      <c r="D131"/>
      <c r="E131" s="132" t="s">
        <v>1742</v>
      </c>
      <c r="F131" s="74" t="s">
        <v>94</v>
      </c>
      <c r="G131" s="9"/>
    </row>
  </sheetData>
  <mergeCells count="14">
    <mergeCell ref="A44:D44"/>
    <mergeCell ref="A5:D5"/>
    <mergeCell ref="A10:D10"/>
    <mergeCell ref="A15:D15"/>
    <mergeCell ref="A20:D20"/>
    <mergeCell ref="A38:D38"/>
    <mergeCell ref="A119:D119"/>
    <mergeCell ref="A126:D126"/>
    <mergeCell ref="A51:D51"/>
    <mergeCell ref="A69:D69"/>
    <mergeCell ref="A78:D78"/>
    <mergeCell ref="A88:D88"/>
    <mergeCell ref="A100:D100"/>
    <mergeCell ref="A105:D105"/>
  </mergeCells>
  <conditionalFormatting sqref="G121:G123 C121:C123">
    <cfRule type="cellIs" dxfId="324" priority="17" operator="equal">
      <formula>"ДА"</formula>
    </cfRule>
    <cfRule type="cellIs" dxfId="323" priority="18" operator="equal">
      <formula>"НЕТ"</formula>
    </cfRule>
    <cfRule type="cellIs" dxfId="322" priority="19" operator="equal">
      <formula>"Нет"</formula>
    </cfRule>
    <cfRule type="cellIs" dxfId="321" priority="20" operator="equal">
      <formula>"нет"</formula>
    </cfRule>
    <cfRule type="cellIs" dxfId="320" priority="21" operator="equal">
      <formula>"ДА"</formula>
    </cfRule>
    <cfRule type="containsText" dxfId="319" priority="22" operator="containsText" text="Да">
      <formula>NOT(ISERROR(SEARCH("Да",C121)))</formula>
    </cfRule>
  </conditionalFormatting>
  <conditionalFormatting sqref="E7 E12">
    <cfRule type="cellIs" dxfId="318" priority="29" operator="lessThan">
      <formula>0</formula>
    </cfRule>
    <cfRule type="cellIs" dxfId="317" priority="30" operator="greaterThan">
      <formula>0</formula>
    </cfRule>
  </conditionalFormatting>
  <conditionalFormatting sqref="D7 D12 E17">
    <cfRule type="cellIs" dxfId="316" priority="27" operator="lessThan">
      <formula>0</formula>
    </cfRule>
    <cfRule type="cellIs" dxfId="315" priority="28" operator="greaterThan">
      <formula>0</formula>
    </cfRule>
  </conditionalFormatting>
  <conditionalFormatting sqref="H71">
    <cfRule type="cellIs" dxfId="314" priority="25" operator="lessThan">
      <formula>1</formula>
    </cfRule>
    <cfRule type="cellIs" dxfId="313" priority="26" operator="greaterThan">
      <formula>1</formula>
    </cfRule>
  </conditionalFormatting>
  <conditionalFormatting sqref="H74">
    <cfRule type="cellIs" dxfId="312" priority="23" operator="lessThan">
      <formula>1</formula>
    </cfRule>
    <cfRule type="cellIs" dxfId="311" priority="24" operator="greaterThan">
      <formula>1</formula>
    </cfRule>
  </conditionalFormatting>
  <conditionalFormatting sqref="G131">
    <cfRule type="cellIs" dxfId="310" priority="7" operator="equal">
      <formula>"ДА"</formula>
    </cfRule>
    <cfRule type="cellIs" dxfId="309" priority="8" operator="equal">
      <formula>"НЕТ"</formula>
    </cfRule>
    <cfRule type="cellIs" dxfId="308" priority="9" operator="equal">
      <formula>"Нет"</formula>
    </cfRule>
    <cfRule type="cellIs" dxfId="307" priority="10" operator="equal">
      <formula>"нет"</formula>
    </cfRule>
    <cfRule type="cellIs" dxfId="306" priority="11" operator="equal">
      <formula>"ДА"</formula>
    </cfRule>
    <cfRule type="containsText" dxfId="305" priority="12" operator="containsText" text="Да">
      <formula>NOT(ISERROR(SEARCH("Да",G131)))</formula>
    </cfRule>
  </conditionalFormatting>
  <conditionalFormatting sqref="G129:G130">
    <cfRule type="cellIs" dxfId="304" priority="1" operator="equal">
      <formula>"ДА"</formula>
    </cfRule>
    <cfRule type="cellIs" dxfId="303" priority="2" operator="equal">
      <formula>"НЕТ"</formula>
    </cfRule>
    <cfRule type="cellIs" dxfId="302" priority="3" operator="equal">
      <formula>"Нет"</formula>
    </cfRule>
    <cfRule type="cellIs" dxfId="301" priority="4" operator="equal">
      <formula>"нет"</formula>
    </cfRule>
    <cfRule type="cellIs" dxfId="300" priority="5" operator="equal">
      <formula>"ДА"</formula>
    </cfRule>
  </conditionalFormatting>
  <pageMargins left="0.7" right="0.7" top="0.75" bottom="0.75" header="0.3" footer="0.3"/>
  <pageSetup paperSize="9" orientation="portrait" r:id="rId1"/>
  <legacy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extLst>
    <ext xmlns:x14="http://schemas.microsoft.com/office/spreadsheetml/2009/9/main" uri="{78C0D931-6437-407d-A8EE-F0AAD7539E65}">
      <x14:conditionalFormattings>
        <x14:conditionalFormatting xmlns:xm="http://schemas.microsoft.com/office/excel/2006/main">
          <x14:cfRule type="containsText" priority="6" operator="containsText" text="Да" id="{826AE8B1-6BC7-4D74-8386-0A4336D6D181}">
            <xm:f>NOT(ISERROR(SEARCH("Да",'Август. 25'!G256)))</xm:f>
            <x14:dxf>
              <font>
                <color rgb="FF006100"/>
              </font>
              <fill>
                <patternFill>
                  <bgColor rgb="FFC6EFCE"/>
                </patternFill>
              </fill>
            </x14:dxf>
          </x14:cfRule>
          <xm:sqref>G129:G130</xm:sqref>
        </x14:conditionalFormatting>
      </x14:conditionalFormatting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A5638-1650-43B6-9254-5509787BBB7B}">
  <dimension ref="A1:O170"/>
  <sheetViews>
    <sheetView topLeftCell="A160" zoomScale="85" zoomScaleNormal="85" workbookViewId="0">
      <selection activeCell="D46" sqref="D46"/>
    </sheetView>
  </sheetViews>
  <sheetFormatPr defaultColWidth="9.140625" defaultRowHeight="12.75" outlineLevelRow="1" x14ac:dyDescent="0.2"/>
  <cols>
    <col min="1" max="1" width="30.28515625" style="2" customWidth="1"/>
    <col min="2" max="2" width="35.7109375" style="2" customWidth="1"/>
    <col min="3" max="3" width="31.5703125" style="2" bestFit="1" customWidth="1"/>
    <col min="4" max="4" width="68" style="2" customWidth="1"/>
    <col min="5" max="5" width="34.85546875" style="2" customWidth="1"/>
    <col min="6" max="6" width="27.140625" style="2" customWidth="1"/>
    <col min="7" max="7" width="27.42578125" style="2" customWidth="1"/>
    <col min="8" max="8" width="36" style="2" customWidth="1"/>
    <col min="9" max="16384" width="9.140625" style="2"/>
  </cols>
  <sheetData>
    <row r="1" spans="1:7" ht="24.75" customHeight="1" x14ac:dyDescent="0.25">
      <c r="A1" s="134" t="s">
        <v>94</v>
      </c>
    </row>
    <row r="2" spans="1:7" ht="15.75" x14ac:dyDescent="0.25">
      <c r="A2" s="134" t="s">
        <v>1939</v>
      </c>
    </row>
    <row r="3" spans="1:7" x14ac:dyDescent="0.2">
      <c r="A3" s="3"/>
    </row>
    <row r="4" spans="1:7" ht="15.75" x14ac:dyDescent="0.25">
      <c r="A4" s="1" t="s">
        <v>0</v>
      </c>
      <c r="B4" s="2" t="s">
        <v>1</v>
      </c>
      <c r="C4" s="2" t="s">
        <v>2</v>
      </c>
    </row>
    <row r="5" spans="1:7" ht="15" x14ac:dyDescent="0.25">
      <c r="A5" s="386" t="s">
        <v>3</v>
      </c>
      <c r="B5" s="386"/>
      <c r="C5" s="386"/>
      <c r="D5" s="386"/>
      <c r="F5" s="4"/>
    </row>
    <row r="6" spans="1:7" s="6" customFormat="1" outlineLevel="1" x14ac:dyDescent="0.2">
      <c r="A6" s="5" t="s">
        <v>4</v>
      </c>
      <c r="B6" s="5" t="s">
        <v>5</v>
      </c>
      <c r="C6" s="5" t="s">
        <v>6</v>
      </c>
      <c r="D6" s="5" t="s">
        <v>7</v>
      </c>
      <c r="E6" s="5" t="s">
        <v>8</v>
      </c>
      <c r="F6" s="5" t="s">
        <v>10</v>
      </c>
      <c r="G6" s="186"/>
    </row>
    <row r="7" spans="1:7" outlineLevel="1" x14ac:dyDescent="0.2">
      <c r="A7" s="7" t="s">
        <v>94</v>
      </c>
      <c r="B7" s="8">
        <f>C30</f>
        <v>390000</v>
      </c>
      <c r="C7" s="9">
        <f>B30</f>
        <v>165842.56</v>
      </c>
      <c r="D7" s="10">
        <f>Таблица11029163037445158657223303744515865727986931009223548627690104107127139151163183152947637995111127143159175183450668298114130146545561577589605619635651667683700717163247627792107122137152182197182[Факт, руб.]/Таблица11029163037445158657223303744515865727986931009223548627690104107127139151163183152947637995111127143159175183450668298114130146545561577589605619635651667683700717163247627792107122137152182197182[План, руб.]-100%</f>
        <v>-0.57476266666666675</v>
      </c>
      <c r="E7" s="11">
        <f>Таблица11029163037445158657223303744515865727986931009223548627690104107127139151163183152947637995111127143159175183450668298114130146545561577589605619635651667683700717163247627792107122137152182197182[Факт, руб.]-Таблица11029163037445158657223303744515865727986931009223548627690104107127139151163183152947637995111127143159175183450668298114130146545561577589605619635651667683700717163247627792107122137152182197182[План, руб.]</f>
        <v>-224157.44</v>
      </c>
      <c r="F7" s="9">
        <f>B29</f>
        <v>155720.51</v>
      </c>
      <c r="G7" s="185"/>
    </row>
    <row r="8" spans="1:7" x14ac:dyDescent="0.2">
      <c r="A8" s="12"/>
      <c r="B8" s="13"/>
      <c r="C8" s="13"/>
      <c r="D8" s="14"/>
      <c r="F8" s="15"/>
      <c r="G8" s="16"/>
    </row>
    <row r="9" spans="1:7" ht="15" customHeight="1" x14ac:dyDescent="0.2">
      <c r="A9" s="12"/>
      <c r="B9" s="13"/>
      <c r="C9" s="13"/>
      <c r="D9" s="14"/>
      <c r="F9" s="17"/>
    </row>
    <row r="10" spans="1:7" ht="15" x14ac:dyDescent="0.25">
      <c r="A10" s="386" t="s">
        <v>11</v>
      </c>
      <c r="B10" s="386"/>
      <c r="C10" s="386"/>
      <c r="D10" s="386"/>
      <c r="F10" s="17"/>
    </row>
    <row r="11" spans="1:7" s="6" customFormat="1" outlineLevel="1" x14ac:dyDescent="0.2">
      <c r="A11" s="18" t="s">
        <v>4</v>
      </c>
      <c r="B11" s="19" t="s">
        <v>12</v>
      </c>
      <c r="C11" s="19" t="s">
        <v>13</v>
      </c>
      <c r="D11" s="19" t="s">
        <v>7</v>
      </c>
      <c r="E11" s="19" t="s">
        <v>8</v>
      </c>
      <c r="F11" s="20"/>
    </row>
    <row r="12" spans="1:7" outlineLevel="1" x14ac:dyDescent="0.2">
      <c r="A12" s="7" t="s">
        <v>94</v>
      </c>
      <c r="B12" s="8">
        <f>SUM(C22:C30)</f>
        <v>2300000</v>
      </c>
      <c r="C12" s="8">
        <f>B34</f>
        <v>1130829.1000000001</v>
      </c>
      <c r="D12" s="21">
        <f>C12/B12-100%</f>
        <v>-0.5083351739130435</v>
      </c>
      <c r="E12" s="8">
        <f>C12-B12</f>
        <v>-1169170.8999999999</v>
      </c>
      <c r="F12" s="17"/>
      <c r="G12" s="22"/>
    </row>
    <row r="13" spans="1:7" x14ac:dyDescent="0.2">
      <c r="A13" s="12"/>
      <c r="B13" s="13"/>
      <c r="C13" s="13"/>
      <c r="D13" s="14"/>
      <c r="F13" s="17"/>
    </row>
    <row r="14" spans="1:7" x14ac:dyDescent="0.2">
      <c r="A14" s="13"/>
      <c r="B14" s="13"/>
      <c r="C14" s="13"/>
      <c r="D14" s="14"/>
      <c r="F14" s="17"/>
      <c r="G14" s="22"/>
    </row>
    <row r="15" spans="1:7" ht="15" x14ac:dyDescent="0.25">
      <c r="A15" s="386" t="s">
        <v>393</v>
      </c>
      <c r="B15" s="386"/>
      <c r="C15" s="386"/>
      <c r="D15" s="386"/>
      <c r="F15" s="17"/>
    </row>
    <row r="16" spans="1:7" s="6" customFormat="1" outlineLevel="1" x14ac:dyDescent="0.2">
      <c r="A16" s="5" t="s">
        <v>4</v>
      </c>
      <c r="B16" s="5" t="s">
        <v>16</v>
      </c>
      <c r="C16" s="5" t="s">
        <v>93</v>
      </c>
      <c r="D16" s="5" t="s">
        <v>1037</v>
      </c>
      <c r="E16" s="5" t="s">
        <v>17</v>
      </c>
      <c r="F16" s="23"/>
    </row>
    <row r="17" spans="1:5" outlineLevel="1" x14ac:dyDescent="0.2">
      <c r="A17" s="7" t="s">
        <v>94</v>
      </c>
      <c r="B17" s="8">
        <v>0</v>
      </c>
      <c r="C17" s="8">
        <v>33180</v>
      </c>
      <c r="D17" s="8">
        <f>B34</f>
        <v>1130829.1000000001</v>
      </c>
      <c r="E17" s="21">
        <f>Таблица211301731384552596673243138455259667380879410110233649637791105109128140152164184163248648096112128144160176193551678399115131147546562578590606620636652668684701718173348637893108123138153183198183[Профит ФГ 25-26]/Таблица211301731384552596673243138455259667380879410110233649637791105109128140152164184163248648096112128144160176193551678399115131147546562578590606620636652668684701718173348637893108123138153183198183[Профит ФГ 24-25]</f>
        <v>34.081648583484032</v>
      </c>
    </row>
    <row r="20" spans="1:5" ht="15" x14ac:dyDescent="0.25">
      <c r="A20" s="386" t="s">
        <v>18</v>
      </c>
      <c r="B20" s="386"/>
      <c r="C20" s="386"/>
      <c r="D20" s="386"/>
    </row>
    <row r="21" spans="1:5" outlineLevel="1" x14ac:dyDescent="0.2">
      <c r="A21" s="25" t="s">
        <v>19</v>
      </c>
      <c r="B21" s="26" t="s">
        <v>20</v>
      </c>
      <c r="C21" s="26" t="s">
        <v>21</v>
      </c>
      <c r="D21" s="25" t="s">
        <v>22</v>
      </c>
    </row>
    <row r="22" spans="1:5" outlineLevel="1" x14ac:dyDescent="0.2">
      <c r="A22" s="30" t="s">
        <v>23</v>
      </c>
      <c r="B22" s="31">
        <v>255961.25</v>
      </c>
      <c r="C22" s="31">
        <v>170000</v>
      </c>
      <c r="D22" s="32">
        <f>Таблица4936997167333146617691106121136151166196211196[[#This Row],[Профит]]/Таблица4936997167333146617691106121136151166196211196[[#This Row],[План]]</f>
        <v>1.5056544117647059</v>
      </c>
    </row>
    <row r="23" spans="1:5" outlineLevel="1" x14ac:dyDescent="0.2">
      <c r="A23" s="30" t="s">
        <v>25</v>
      </c>
      <c r="B23" s="135">
        <v>85933.41</v>
      </c>
      <c r="C23" s="31">
        <v>190000</v>
      </c>
      <c r="D23" s="32">
        <f>Таблица4936997167333146617691106121136151166196211196[[#This Row],[Профит]]/Таблица4936997167333146617691106121136151166196211196[[#This Row],[План]]</f>
        <v>0.4522811052631579</v>
      </c>
    </row>
    <row r="24" spans="1:5" outlineLevel="1" x14ac:dyDescent="0.2">
      <c r="A24" s="30" t="s">
        <v>26</v>
      </c>
      <c r="B24" s="135">
        <v>60194.18</v>
      </c>
      <c r="C24" s="31">
        <v>210000</v>
      </c>
      <c r="D24" s="32">
        <f>Таблица4936997167333146617691106121136151166196211196[[#This Row],[Профит]]/Таблица4936997167333146617691106121136151166196211196[[#This Row],[План]]</f>
        <v>0.28663895238095238</v>
      </c>
    </row>
    <row r="25" spans="1:5" outlineLevel="1" x14ac:dyDescent="0.2">
      <c r="A25" s="30" t="s">
        <v>27</v>
      </c>
      <c r="B25" s="135">
        <v>88786.75</v>
      </c>
      <c r="C25" s="31">
        <v>220000</v>
      </c>
      <c r="D25" s="32">
        <f>Таблица4936997167333146617691106121136151166196211196[[#This Row],[Профит]]/Таблица4936997167333146617691106121136151166196211196[[#This Row],[План]]</f>
        <v>0.40357613636363637</v>
      </c>
    </row>
    <row r="26" spans="1:5" outlineLevel="1" x14ac:dyDescent="0.2">
      <c r="A26" s="30" t="s">
        <v>28</v>
      </c>
      <c r="B26" s="135">
        <v>51147.62</v>
      </c>
      <c r="C26" s="31">
        <v>250000</v>
      </c>
      <c r="D26" s="32">
        <f>Таблица4936997167333146617691106121136151166196211196[[#This Row],[Профит]]/Таблица4936997167333146617691106121136151166196211196[[#This Row],[План]]</f>
        <v>0.20459048000000002</v>
      </c>
    </row>
    <row r="27" spans="1:5" outlineLevel="1" x14ac:dyDescent="0.2">
      <c r="A27" s="30" t="s">
        <v>29</v>
      </c>
      <c r="B27" s="135">
        <v>126413.71</v>
      </c>
      <c r="C27" s="31">
        <v>270000</v>
      </c>
      <c r="D27" s="32">
        <f>Таблица4936997167333146617691106121136151166196211196[[#This Row],[Профит]]/Таблица4936997167333146617691106121136151166196211196[[#This Row],[План]]</f>
        <v>0.46819892592592594</v>
      </c>
    </row>
    <row r="28" spans="1:5" outlineLevel="1" x14ac:dyDescent="0.2">
      <c r="A28" s="30" t="s">
        <v>30</v>
      </c>
      <c r="B28" s="135">
        <v>140829.10999999999</v>
      </c>
      <c r="C28" s="31">
        <v>270000</v>
      </c>
      <c r="D28" s="32">
        <f>Таблица4936997167333146617691106121136151166196211196[[#This Row],[Профит]]/Таблица4936997167333146617691106121136151166196211196[[#This Row],[План]]</f>
        <v>0.52158929629629625</v>
      </c>
    </row>
    <row r="29" spans="1:5" outlineLevel="1" x14ac:dyDescent="0.2">
      <c r="A29" s="30" t="s">
        <v>31</v>
      </c>
      <c r="B29" s="31">
        <v>155720.51</v>
      </c>
      <c r="C29" s="31">
        <v>330000</v>
      </c>
      <c r="D29" s="32">
        <f>Таблица4936997167333146617691106121136151166196211196[[#This Row],[Профит]]/Таблица4936997167333146617691106121136151166196211196[[#This Row],[План]]</f>
        <v>0.47188033333333335</v>
      </c>
    </row>
    <row r="30" spans="1:5" outlineLevel="1" x14ac:dyDescent="0.2">
      <c r="A30" s="30" t="s">
        <v>32</v>
      </c>
      <c r="B30" s="34">
        <v>165842.56</v>
      </c>
      <c r="C30" s="34">
        <v>390000</v>
      </c>
      <c r="D30" s="32">
        <f>Таблица4936997167333146617691106121136151166196211196[[#This Row],[Профит]]/Таблица4936997167333146617691106121136151166196211196[[#This Row],[План]]</f>
        <v>0.4252373333333333</v>
      </c>
    </row>
    <row r="31" spans="1:5" outlineLevel="1" x14ac:dyDescent="0.2">
      <c r="A31" s="30" t="s">
        <v>33</v>
      </c>
      <c r="B31" s="34">
        <v>0</v>
      </c>
      <c r="C31" s="34">
        <v>300000</v>
      </c>
      <c r="D31" s="32">
        <f>Таблица4936997167333146617691106121136151166196211196[[#This Row],[Профит]]/Таблица4936997167333146617691106121136151166196211196[[#This Row],[План]]</f>
        <v>0</v>
      </c>
    </row>
    <row r="32" spans="1:5" outlineLevel="1" x14ac:dyDescent="0.2">
      <c r="A32" s="30" t="s">
        <v>34</v>
      </c>
      <c r="B32" s="34">
        <v>0</v>
      </c>
      <c r="C32" s="34">
        <v>330000</v>
      </c>
      <c r="D32" s="32">
        <f>Таблица4936997167333146617691106121136151166196211196[[#This Row],[Профит]]/Таблица4936997167333146617691106121136151166196211196[[#This Row],[План]]</f>
        <v>0</v>
      </c>
    </row>
    <row r="33" spans="1:8" outlineLevel="1" x14ac:dyDescent="0.2">
      <c r="A33" s="33" t="s">
        <v>35</v>
      </c>
      <c r="B33" s="34">
        <v>0</v>
      </c>
      <c r="C33" s="34">
        <v>360000</v>
      </c>
      <c r="D33" s="32">
        <f>Таблица4936997167333146617691106121136151166196211196[[#This Row],[Профит]]/Таблица4936997167333146617691106121136151166196211196[[#This Row],[План]]</f>
        <v>0</v>
      </c>
      <c r="H33" s="35"/>
    </row>
    <row r="34" spans="1:8" ht="15" outlineLevel="1" x14ac:dyDescent="0.25">
      <c r="A34" s="36" t="s">
        <v>36</v>
      </c>
      <c r="B34" s="37">
        <f>SUM(B22:B33)</f>
        <v>1130829.1000000001</v>
      </c>
      <c r="C34" s="38">
        <f>SUM(C22:C33)</f>
        <v>3290000</v>
      </c>
      <c r="D34" s="39"/>
    </row>
    <row r="35" spans="1:8" outlineLevel="1" x14ac:dyDescent="0.2">
      <c r="A35" s="41" t="s">
        <v>37</v>
      </c>
      <c r="B35" s="42">
        <f>AVERAGE(B22:B30)</f>
        <v>125647.67777777779</v>
      </c>
      <c r="C35" s="42">
        <f>AVERAGE(C22:C33)</f>
        <v>274166.66666666669</v>
      </c>
      <c r="D35" s="43" t="e">
        <f>B35/C346</f>
        <v>#DIV/0!</v>
      </c>
    </row>
    <row r="38" spans="1:8" ht="15" x14ac:dyDescent="0.25">
      <c r="A38" s="386" t="s">
        <v>38</v>
      </c>
      <c r="B38" s="386"/>
      <c r="C38" s="386"/>
      <c r="D38" s="386"/>
    </row>
    <row r="39" spans="1:8" s="45" customFormat="1" outlineLevel="1" x14ac:dyDescent="0.2">
      <c r="A39" s="44" t="s">
        <v>39</v>
      </c>
      <c r="B39" s="44" t="s">
        <v>40</v>
      </c>
      <c r="C39" s="44" t="s">
        <v>41</v>
      </c>
      <c r="D39" s="44" t="s">
        <v>42</v>
      </c>
      <c r="E39" s="44" t="s">
        <v>43</v>
      </c>
      <c r="F39" s="2"/>
    </row>
    <row r="40" spans="1:8" outlineLevel="1" x14ac:dyDescent="0.2">
      <c r="A40" s="8">
        <f>B30</f>
        <v>165842.56</v>
      </c>
      <c r="B40" s="46">
        <f>50000</f>
        <v>50000</v>
      </c>
      <c r="C40" s="136">
        <f>A40*0.065*1</f>
        <v>10779.7664</v>
      </c>
      <c r="D40" s="47">
        <f>SUM(G160:G163)</f>
        <v>11000</v>
      </c>
      <c r="E40" s="48">
        <v>0</v>
      </c>
    </row>
    <row r="41" spans="1:8" outlineLevel="1" x14ac:dyDescent="0.2">
      <c r="A41" s="49" t="s">
        <v>44</v>
      </c>
      <c r="B41" s="137">
        <f>Таблица294459759110712313915517118730466278941101261421585565725886026166306466626786947117282843587388103118133148163193208193[Оклад]+Таблица294459759110712313915517118730466278941101261421585565725886026166306466626786947117282843587388103118133148163193208193[Премия]+Таблица294459759110712313915517118730466278941101261421585565725886026166306466626786947117282843587388103118133148163193208193[Штрафы]+Таблица294459759110712313915517118730466278941101261421585565725886026166306466626786947117282843587388103118133148163193208193[Доплата за Задачи]</f>
        <v>71779.766399999993</v>
      </c>
      <c r="C41" s="50"/>
    </row>
    <row r="42" spans="1:8" x14ac:dyDescent="0.2">
      <c r="A42" s="40"/>
      <c r="B42" s="40"/>
    </row>
    <row r="43" spans="1:8" x14ac:dyDescent="0.2">
      <c r="A43" s="51"/>
      <c r="B43" s="51"/>
      <c r="C43" s="51"/>
      <c r="D43" s="52"/>
      <c r="E43" s="53"/>
      <c r="F43" s="53"/>
      <c r="H43" s="22"/>
    </row>
    <row r="44" spans="1:8" ht="15" x14ac:dyDescent="0.25">
      <c r="A44" s="386" t="s">
        <v>45</v>
      </c>
      <c r="B44" s="386"/>
      <c r="C44" s="386"/>
      <c r="D44" s="386"/>
      <c r="E44" s="53"/>
      <c r="F44" s="53"/>
      <c r="H44" s="22"/>
    </row>
    <row r="45" spans="1:8" outlineLevel="1" x14ac:dyDescent="0.2">
      <c r="A45" s="5" t="s">
        <v>46</v>
      </c>
      <c r="B45" s="5" t="s">
        <v>47</v>
      </c>
      <c r="C45" s="5" t="s">
        <v>48</v>
      </c>
      <c r="D45" s="54" t="s">
        <v>49</v>
      </c>
      <c r="G45" s="40"/>
    </row>
    <row r="46" spans="1:8" ht="24.95" customHeight="1" outlineLevel="1" x14ac:dyDescent="0.2">
      <c r="A46" s="55" t="s">
        <v>2037</v>
      </c>
      <c r="B46" s="58">
        <v>101700</v>
      </c>
      <c r="C46" s="58">
        <v>2406450</v>
      </c>
      <c r="D46" s="57">
        <v>4.2299999999999997E-2</v>
      </c>
      <c r="G46" s="62"/>
      <c r="H46" s="6"/>
    </row>
    <row r="47" spans="1:8" outlineLevel="1" x14ac:dyDescent="0.2">
      <c r="A47" s="63"/>
      <c r="B47" s="64" t="s">
        <v>50</v>
      </c>
      <c r="C47" s="65">
        <f>SUM(Таблица546243318323946536067742532394653606774818895102112437506478921061101291411531651851733496581971131291451611772036526884100116132148547563579593607621637653669685702719193449647994109124139154184199184[Общая сумма долга])</f>
        <v>2406450</v>
      </c>
      <c r="D47" s="66">
        <v>4.2299999999999997E-2</v>
      </c>
      <c r="E47" s="67" t="s">
        <v>51</v>
      </c>
      <c r="F47" s="51"/>
      <c r="G47" s="51"/>
      <c r="H47" s="51"/>
    </row>
    <row r="48" spans="1:8" outlineLevel="1" x14ac:dyDescent="0.2">
      <c r="A48" s="63"/>
      <c r="B48" s="64"/>
      <c r="C48" s="65"/>
      <c r="D48" s="51"/>
      <c r="E48" s="51"/>
      <c r="F48" s="51"/>
      <c r="G48" s="51"/>
      <c r="H48" s="51"/>
    </row>
    <row r="49" spans="1:8" x14ac:dyDescent="0.2">
      <c r="A49" s="63"/>
      <c r="B49" s="51"/>
      <c r="C49" s="51"/>
      <c r="D49" s="52"/>
      <c r="E49" s="51"/>
      <c r="F49" s="53"/>
      <c r="G49" s="51"/>
      <c r="H49" s="68"/>
    </row>
    <row r="50" spans="1:8" x14ac:dyDescent="0.2">
      <c r="A50" s="63"/>
      <c r="B50" s="51"/>
      <c r="C50" s="51"/>
      <c r="D50" s="52"/>
      <c r="E50" s="51"/>
      <c r="F50" s="53"/>
      <c r="G50" s="51"/>
      <c r="H50" s="68"/>
    </row>
    <row r="51" spans="1:8" ht="15" x14ac:dyDescent="0.25">
      <c r="A51" s="387" t="s">
        <v>52</v>
      </c>
      <c r="B51" s="387"/>
      <c r="C51" s="387"/>
      <c r="D51" s="387"/>
      <c r="E51" s="53"/>
      <c r="F51" s="53"/>
      <c r="G51" s="51"/>
    </row>
    <row r="52" spans="1:8" s="6" customFormat="1" outlineLevel="1" x14ac:dyDescent="0.2">
      <c r="A52" s="18" t="s">
        <v>53</v>
      </c>
      <c r="B52" s="19" t="s">
        <v>54</v>
      </c>
      <c r="C52" s="19" t="s">
        <v>55</v>
      </c>
      <c r="D52" s="69" t="s">
        <v>56</v>
      </c>
      <c r="E52" s="69" t="s">
        <v>4</v>
      </c>
      <c r="F52" s="70" t="s">
        <v>57</v>
      </c>
      <c r="G52" s="277"/>
    </row>
    <row r="53" spans="1:8" s="6" customFormat="1" ht="26.25" customHeight="1" outlineLevel="1" x14ac:dyDescent="0.2">
      <c r="A53" s="173" t="s">
        <v>1599</v>
      </c>
      <c r="B53" s="246">
        <v>713587</v>
      </c>
      <c r="C53" s="131">
        <v>81249.73</v>
      </c>
      <c r="D53" s="249">
        <v>0.128</v>
      </c>
      <c r="E53" s="177" t="s">
        <v>94</v>
      </c>
      <c r="F53" s="250" t="s">
        <v>572</v>
      </c>
    </row>
    <row r="54" spans="1:8" s="6" customFormat="1" ht="26.25" customHeight="1" outlineLevel="1" x14ac:dyDescent="0.2">
      <c r="A54" s="173" t="s">
        <v>1154</v>
      </c>
      <c r="B54" s="246">
        <v>39833.33</v>
      </c>
      <c r="C54" s="131">
        <v>39833.33</v>
      </c>
      <c r="D54" s="249">
        <v>1</v>
      </c>
      <c r="E54" s="177" t="s">
        <v>94</v>
      </c>
      <c r="F54" s="250" t="s">
        <v>2000</v>
      </c>
    </row>
    <row r="55" spans="1:8" s="6" customFormat="1" ht="24.75" customHeight="1" outlineLevel="1" x14ac:dyDescent="0.2">
      <c r="A55" s="173" t="s">
        <v>1579</v>
      </c>
      <c r="B55" s="323">
        <v>115756</v>
      </c>
      <c r="C55" s="131">
        <v>17316.669999999998</v>
      </c>
      <c r="D55" s="249">
        <v>0.17599999999999999</v>
      </c>
      <c r="E55" s="177" t="s">
        <v>94</v>
      </c>
      <c r="F55" s="250" t="s">
        <v>282</v>
      </c>
    </row>
    <row r="56" spans="1:8" s="6" customFormat="1" ht="24.75" customHeight="1" outlineLevel="1" x14ac:dyDescent="0.2">
      <c r="A56" s="173" t="s">
        <v>1254</v>
      </c>
      <c r="B56" s="246">
        <v>27000</v>
      </c>
      <c r="C56" s="131">
        <v>7000</v>
      </c>
      <c r="D56" s="249">
        <v>0.35</v>
      </c>
      <c r="E56" s="177" t="s">
        <v>94</v>
      </c>
      <c r="F56" s="250" t="s">
        <v>1246</v>
      </c>
    </row>
    <row r="57" spans="1:8" s="6" customFormat="1" ht="24" customHeight="1" outlineLevel="1" x14ac:dyDescent="0.2">
      <c r="A57" s="173" t="s">
        <v>2001</v>
      </c>
      <c r="B57" s="246">
        <v>135594</v>
      </c>
      <c r="C57" s="131">
        <v>3244.67</v>
      </c>
      <c r="D57" s="249">
        <v>2.5000000000000001E-2</v>
      </c>
      <c r="E57" s="177" t="s">
        <v>94</v>
      </c>
      <c r="F57" s="250" t="s">
        <v>282</v>
      </c>
    </row>
    <row r="58" spans="1:8" s="6" customFormat="1" ht="24" customHeight="1" outlineLevel="1" x14ac:dyDescent="0.2">
      <c r="A58" s="173" t="s">
        <v>1823</v>
      </c>
      <c r="B58" s="246">
        <v>18049.060000000001</v>
      </c>
      <c r="C58" s="131">
        <v>2787</v>
      </c>
      <c r="D58" s="249">
        <v>0.183</v>
      </c>
      <c r="E58" s="177" t="s">
        <v>94</v>
      </c>
      <c r="F58" s="250" t="s">
        <v>1828</v>
      </c>
    </row>
    <row r="59" spans="1:8" s="6" customFormat="1" ht="24" customHeight="1" outlineLevel="1" x14ac:dyDescent="0.2">
      <c r="A59" s="173" t="s">
        <v>1826</v>
      </c>
      <c r="B59" s="246">
        <v>2500</v>
      </c>
      <c r="C59" s="131">
        <v>2500</v>
      </c>
      <c r="D59" s="249">
        <v>1</v>
      </c>
      <c r="E59" s="177" t="s">
        <v>94</v>
      </c>
      <c r="F59" s="250" t="s">
        <v>1831</v>
      </c>
    </row>
    <row r="60" spans="1:8" s="6" customFormat="1" ht="24" customHeight="1" outlineLevel="1" x14ac:dyDescent="0.2">
      <c r="A60" s="173" t="s">
        <v>1729</v>
      </c>
      <c r="B60" s="246">
        <v>36098</v>
      </c>
      <c r="C60" s="131">
        <v>2355.87</v>
      </c>
      <c r="D60" s="249">
        <v>7.0000000000000007E-2</v>
      </c>
      <c r="E60" s="177" t="s">
        <v>94</v>
      </c>
      <c r="F60" s="250" t="s">
        <v>251</v>
      </c>
    </row>
    <row r="61" spans="1:8" s="6" customFormat="1" ht="24" customHeight="1" outlineLevel="1" x14ac:dyDescent="0.2">
      <c r="A61" s="173" t="s">
        <v>1725</v>
      </c>
      <c r="B61" s="246">
        <v>13000</v>
      </c>
      <c r="C61" s="131">
        <v>1839.23</v>
      </c>
      <c r="D61" s="249">
        <v>0.16500000000000001</v>
      </c>
      <c r="E61" s="177" t="s">
        <v>94</v>
      </c>
      <c r="F61" s="250" t="s">
        <v>2003</v>
      </c>
    </row>
    <row r="62" spans="1:8" s="6" customFormat="1" ht="24" customHeight="1" outlineLevel="1" x14ac:dyDescent="0.2">
      <c r="A62" s="173" t="s">
        <v>1730</v>
      </c>
      <c r="B62" s="246">
        <v>7400</v>
      </c>
      <c r="C62" s="131">
        <v>115.04</v>
      </c>
      <c r="D62" s="249">
        <v>1.6E-2</v>
      </c>
      <c r="E62" s="177" t="s">
        <v>94</v>
      </c>
      <c r="F62" s="250" t="s">
        <v>251</v>
      </c>
    </row>
    <row r="63" spans="1:8" s="6" customFormat="1" ht="24" customHeight="1" outlineLevel="1" x14ac:dyDescent="0.2">
      <c r="A63" s="173" t="s">
        <v>1041</v>
      </c>
      <c r="B63" s="246">
        <v>53192.95</v>
      </c>
      <c r="C63" s="131">
        <v>0</v>
      </c>
      <c r="D63" s="249">
        <v>0</v>
      </c>
      <c r="E63" s="177" t="s">
        <v>94</v>
      </c>
      <c r="F63" s="250" t="s">
        <v>1246</v>
      </c>
    </row>
    <row r="64" spans="1:8" s="6" customFormat="1" ht="24" customHeight="1" outlineLevel="1" x14ac:dyDescent="0.2">
      <c r="A64" s="173" t="s">
        <v>1574</v>
      </c>
      <c r="B64" s="246">
        <v>154950</v>
      </c>
      <c r="C64" s="131">
        <v>-4970.82</v>
      </c>
      <c r="D64" s="249">
        <v>-3.1E-2</v>
      </c>
      <c r="E64" s="177" t="s">
        <v>94</v>
      </c>
      <c r="F64" s="250" t="s">
        <v>251</v>
      </c>
    </row>
    <row r="65" spans="1:10" s="6" customFormat="1" ht="25.5" customHeight="1" outlineLevel="1" x14ac:dyDescent="0.2">
      <c r="A65" s="173" t="s">
        <v>2002</v>
      </c>
      <c r="B65" s="246">
        <v>0</v>
      </c>
      <c r="C65" s="131">
        <v>-7428.16</v>
      </c>
      <c r="D65" s="249">
        <v>-1</v>
      </c>
      <c r="E65" s="177" t="s">
        <v>94</v>
      </c>
      <c r="F65" s="250" t="s">
        <v>251</v>
      </c>
    </row>
    <row r="66" spans="1:10" x14ac:dyDescent="0.2">
      <c r="A66" s="51"/>
      <c r="B66" s="51"/>
      <c r="C66" s="51"/>
      <c r="D66" s="52"/>
      <c r="E66" s="51"/>
      <c r="F66" s="53"/>
      <c r="G66" s="51"/>
    </row>
    <row r="67" spans="1:10" ht="15" x14ac:dyDescent="0.25">
      <c r="A67" s="389" t="s">
        <v>58</v>
      </c>
      <c r="B67" s="389"/>
      <c r="C67" s="389"/>
      <c r="D67" s="389"/>
      <c r="E67" s="79"/>
      <c r="F67" s="79"/>
    </row>
    <row r="68" spans="1:10" ht="15" customHeight="1" outlineLevel="1" x14ac:dyDescent="0.2">
      <c r="A68" s="80">
        <v>46023</v>
      </c>
      <c r="B68" s="81" t="s">
        <v>21</v>
      </c>
      <c r="C68" s="81" t="s">
        <v>59</v>
      </c>
      <c r="D68" s="81" t="s">
        <v>60</v>
      </c>
      <c r="E68" s="81" t="s">
        <v>61</v>
      </c>
      <c r="F68" s="81" t="s">
        <v>62</v>
      </c>
      <c r="G68" s="81" t="s">
        <v>63</v>
      </c>
      <c r="H68" s="81" t="s">
        <v>64</v>
      </c>
    </row>
    <row r="69" spans="1:10" outlineLevel="1" x14ac:dyDescent="0.2">
      <c r="A69" s="82"/>
      <c r="B69" s="282">
        <v>300000</v>
      </c>
      <c r="C69" s="283">
        <v>0</v>
      </c>
      <c r="D69" s="282">
        <v>39000</v>
      </c>
      <c r="E69" s="282">
        <v>45000</v>
      </c>
      <c r="F69" s="282">
        <v>87000</v>
      </c>
      <c r="G69" s="282">
        <f>C69+D69+E69*0.5+F69*0.05</f>
        <v>65850</v>
      </c>
      <c r="H69" s="284">
        <f>Таблица9132738193340475461687582899682891101171241311381451521591661731801871945121926334047546168758289961031101171241311381451521591661741821902052131241361481601721922440627894110126142158174190334965819711312914516155957559160361763164766367969571194[[#This Row],[Столбец6]]/Таблица9132738193340475461687582899682891101171241311381451521591661731801871945121926334047546168758289961031101171241311381451521591661741821902052131241361481601721922440627894110126142158174190334965819711312914516155957559160361763164766367969571194[[#This Row],[Столбец1]]</f>
        <v>0.2195</v>
      </c>
    </row>
    <row r="70" spans="1:10" outlineLevel="1" x14ac:dyDescent="0.2">
      <c r="A70" s="40"/>
      <c r="B70" s="40"/>
      <c r="C70" s="40"/>
      <c r="D70" s="40"/>
      <c r="E70" s="40"/>
      <c r="F70" s="40"/>
      <c r="G70" s="40"/>
      <c r="H70" s="86"/>
    </row>
    <row r="71" spans="1:10" outlineLevel="1" x14ac:dyDescent="0.2">
      <c r="A71" s="80">
        <v>46054</v>
      </c>
      <c r="B71" s="81" t="s">
        <v>21</v>
      </c>
      <c r="C71" s="81" t="s">
        <v>59</v>
      </c>
      <c r="D71" s="81" t="s">
        <v>60</v>
      </c>
      <c r="E71" s="81" t="s">
        <v>61</v>
      </c>
      <c r="F71" s="81" t="s">
        <v>62</v>
      </c>
      <c r="G71" s="81" t="s">
        <v>63</v>
      </c>
      <c r="H71" s="81" t="s">
        <v>64</v>
      </c>
    </row>
    <row r="72" spans="1:10" ht="15" customHeight="1" outlineLevel="1" x14ac:dyDescent="0.2">
      <c r="A72" s="87"/>
      <c r="B72" s="282">
        <v>330000</v>
      </c>
      <c r="C72" s="283">
        <v>0</v>
      </c>
      <c r="D72" s="285">
        <v>0</v>
      </c>
      <c r="E72" s="283">
        <v>39000</v>
      </c>
      <c r="F72" s="286">
        <v>682000</v>
      </c>
      <c r="G72" s="282">
        <f>C72+D72+E72*0.5+F72*0.05</f>
        <v>53600</v>
      </c>
      <c r="H72" s="284">
        <f>Таблица9132738193340475461687582899682891101171241311381451521591661731801871945121926334047546168758289961031101171241311381451521591661741821902052131191251371491611731932541567288104120136152168184274359759110712313915555356958559961362764365967569190[[#This Row],[Столбец6]]/Таблица9132738193340475461687582899682891101171241311381451521591661731801871945121926334047546168758289961031101171241311381451521591661741821902052131191251371491611731932541567288104120136152168184274359759110712313915555356958559961362764365967569190[[#This Row],[Столбец1]]</f>
        <v>0.16242424242424242</v>
      </c>
    </row>
    <row r="73" spans="1:10" x14ac:dyDescent="0.2">
      <c r="A73" s="63"/>
      <c r="B73" s="51"/>
      <c r="C73" s="51"/>
      <c r="D73" s="52"/>
      <c r="E73" s="51"/>
    </row>
    <row r="74" spans="1:10" x14ac:dyDescent="0.2">
      <c r="A74" s="51"/>
      <c r="B74" s="51"/>
      <c r="C74" s="51"/>
      <c r="D74" s="52"/>
      <c r="E74" s="51"/>
    </row>
    <row r="75" spans="1:10" ht="15.75" x14ac:dyDescent="0.25">
      <c r="A75" s="88" t="s">
        <v>65</v>
      </c>
      <c r="B75" s="89"/>
    </row>
    <row r="76" spans="1:10" ht="15" x14ac:dyDescent="0.25">
      <c r="A76" s="387" t="s">
        <v>66</v>
      </c>
      <c r="B76" s="387"/>
      <c r="C76" s="387"/>
      <c r="D76" s="387"/>
      <c r="E76" s="90"/>
      <c r="F76" s="90"/>
      <c r="G76" s="235">
        <f>SUM(Таблица4211720344148556269768390978390111118125132139146153160167174181188195613202734414855626976839097104111118125132139146153160167175183198206214123135147159171191233955718710311913515116718326425874901061221381545525685845986126266426586746907077189[Сумма, тыс. руб.])*1000</f>
        <v>3388000</v>
      </c>
      <c r="H76" s="276"/>
    </row>
    <row r="77" spans="1:10" outlineLevel="1" x14ac:dyDescent="0.2">
      <c r="A77" s="91" t="s">
        <v>67</v>
      </c>
      <c r="B77" s="91" t="s">
        <v>53</v>
      </c>
      <c r="C77" s="91" t="s">
        <v>4</v>
      </c>
      <c r="D77" s="91" t="s">
        <v>68</v>
      </c>
      <c r="E77" s="91" t="s">
        <v>69</v>
      </c>
      <c r="F77" s="91" t="s">
        <v>70</v>
      </c>
      <c r="G77" s="91" t="s">
        <v>71</v>
      </c>
      <c r="H77" s="91" t="s">
        <v>72</v>
      </c>
      <c r="I77" s="276"/>
      <c r="J77" s="276"/>
    </row>
    <row r="78" spans="1:10" s="258" customFormat="1" ht="24.95" customHeight="1" outlineLevel="1" x14ac:dyDescent="0.2">
      <c r="A78" s="230" t="s">
        <v>1577</v>
      </c>
      <c r="B78" s="230" t="s">
        <v>1580</v>
      </c>
      <c r="C78" s="177" t="s">
        <v>94</v>
      </c>
      <c r="D78" s="173" t="s">
        <v>1581</v>
      </c>
      <c r="E78" s="230" t="s">
        <v>1583</v>
      </c>
      <c r="F78" s="218" t="s">
        <v>2036</v>
      </c>
      <c r="G78" s="131">
        <v>1240</v>
      </c>
      <c r="H78" s="173" t="s">
        <v>168</v>
      </c>
    </row>
    <row r="79" spans="1:10" s="258" customFormat="1" ht="24.95" customHeight="1" outlineLevel="1" x14ac:dyDescent="0.2">
      <c r="A79" s="190" t="s">
        <v>2038</v>
      </c>
      <c r="B79" s="176" t="s">
        <v>1780</v>
      </c>
      <c r="C79" s="177" t="s">
        <v>94</v>
      </c>
      <c r="D79" s="173" t="s">
        <v>73</v>
      </c>
      <c r="E79" s="178" t="s">
        <v>2040</v>
      </c>
      <c r="F79" s="218" t="s">
        <v>1365</v>
      </c>
      <c r="G79" s="131">
        <v>1079</v>
      </c>
      <c r="H79" s="173" t="s">
        <v>168</v>
      </c>
    </row>
    <row r="80" spans="1:10" s="258" customFormat="1" ht="24.95" customHeight="1" outlineLevel="1" x14ac:dyDescent="0.2">
      <c r="A80" s="190" t="s">
        <v>2022</v>
      </c>
      <c r="B80" s="176" t="s">
        <v>2023</v>
      </c>
      <c r="C80" s="177" t="s">
        <v>94</v>
      </c>
      <c r="D80" s="173" t="s">
        <v>73</v>
      </c>
      <c r="E80" s="178" t="s">
        <v>2034</v>
      </c>
      <c r="F80" s="218" t="s">
        <v>1365</v>
      </c>
      <c r="G80" s="131">
        <v>348</v>
      </c>
      <c r="H80" s="173" t="s">
        <v>1019</v>
      </c>
    </row>
    <row r="81" spans="1:8" s="258" customFormat="1" ht="24.95" customHeight="1" outlineLevel="1" x14ac:dyDescent="0.2">
      <c r="A81" s="190" t="s">
        <v>2039</v>
      </c>
      <c r="B81" s="176" t="s">
        <v>1029</v>
      </c>
      <c r="C81" s="177" t="s">
        <v>94</v>
      </c>
      <c r="D81" s="173" t="s">
        <v>73</v>
      </c>
      <c r="E81" s="178" t="s">
        <v>2041</v>
      </c>
      <c r="F81" s="218" t="s">
        <v>1365</v>
      </c>
      <c r="G81" s="131">
        <v>293</v>
      </c>
      <c r="H81" s="173" t="s">
        <v>168</v>
      </c>
    </row>
    <row r="82" spans="1:8" s="258" customFormat="1" ht="24.95" customHeight="1" outlineLevel="1" x14ac:dyDescent="0.2">
      <c r="A82" s="190" t="s">
        <v>1392</v>
      </c>
      <c r="B82" s="176" t="s">
        <v>1391</v>
      </c>
      <c r="C82" s="177" t="s">
        <v>94</v>
      </c>
      <c r="D82" s="173" t="s">
        <v>73</v>
      </c>
      <c r="E82" s="178" t="s">
        <v>1393</v>
      </c>
      <c r="F82" s="218" t="s">
        <v>2036</v>
      </c>
      <c r="G82" s="131">
        <v>160</v>
      </c>
      <c r="H82" s="173" t="s">
        <v>168</v>
      </c>
    </row>
    <row r="83" spans="1:8" s="258" customFormat="1" ht="24.95" customHeight="1" outlineLevel="1" x14ac:dyDescent="0.2">
      <c r="A83" s="190" t="s">
        <v>2024</v>
      </c>
      <c r="B83" s="176" t="s">
        <v>104</v>
      </c>
      <c r="C83" s="177" t="s">
        <v>94</v>
      </c>
      <c r="D83" s="173" t="s">
        <v>73</v>
      </c>
      <c r="E83" s="178" t="s">
        <v>2035</v>
      </c>
      <c r="F83" s="218" t="s">
        <v>1365</v>
      </c>
      <c r="G83" s="131">
        <v>93</v>
      </c>
      <c r="H83" s="173" t="s">
        <v>168</v>
      </c>
    </row>
    <row r="84" spans="1:8" s="258" customFormat="1" ht="24.95" customHeight="1" outlineLevel="1" x14ac:dyDescent="0.2">
      <c r="A84" s="190" t="s">
        <v>2025</v>
      </c>
      <c r="B84" s="176" t="s">
        <v>2026</v>
      </c>
      <c r="C84" s="177" t="s">
        <v>94</v>
      </c>
      <c r="D84" s="173" t="s">
        <v>73</v>
      </c>
      <c r="E84" s="178" t="s">
        <v>994</v>
      </c>
      <c r="F84" s="218" t="s">
        <v>2036</v>
      </c>
      <c r="G84" s="131">
        <v>92</v>
      </c>
      <c r="H84" s="173" t="s">
        <v>168</v>
      </c>
    </row>
    <row r="85" spans="1:8" s="258" customFormat="1" ht="24.95" customHeight="1" outlineLevel="1" x14ac:dyDescent="0.2">
      <c r="A85" s="190" t="s">
        <v>2028</v>
      </c>
      <c r="B85" s="176" t="s">
        <v>2029</v>
      </c>
      <c r="C85" s="177" t="s">
        <v>94</v>
      </c>
      <c r="D85" s="173" t="s">
        <v>73</v>
      </c>
      <c r="E85" s="178" t="s">
        <v>102</v>
      </c>
      <c r="F85" s="218" t="s">
        <v>1365</v>
      </c>
      <c r="G85" s="131">
        <v>68</v>
      </c>
      <c r="H85" s="173" t="s">
        <v>168</v>
      </c>
    </row>
    <row r="86" spans="1:8" s="258" customFormat="1" ht="24.95" customHeight="1" outlineLevel="1" x14ac:dyDescent="0.2">
      <c r="A86" s="190" t="s">
        <v>1792</v>
      </c>
      <c r="B86" s="176" t="s">
        <v>1029</v>
      </c>
      <c r="C86" s="177" t="s">
        <v>94</v>
      </c>
      <c r="D86" s="173" t="s">
        <v>1793</v>
      </c>
      <c r="E86" s="178" t="s">
        <v>1794</v>
      </c>
      <c r="F86" s="218" t="s">
        <v>1365</v>
      </c>
      <c r="G86" s="131">
        <v>15</v>
      </c>
      <c r="H86" s="173" t="s">
        <v>168</v>
      </c>
    </row>
    <row r="87" spans="1:8" x14ac:dyDescent="0.2">
      <c r="A87" s="223"/>
      <c r="B87" s="104"/>
      <c r="C87" s="105"/>
      <c r="D87" s="106"/>
      <c r="E87" s="106"/>
      <c r="F87" s="107"/>
      <c r="G87" s="108"/>
      <c r="H87" s="106"/>
    </row>
    <row r="88" spans="1:8" x14ac:dyDescent="0.2">
      <c r="A88" s="104"/>
      <c r="B88" s="104"/>
      <c r="C88" s="105"/>
      <c r="D88" s="106"/>
      <c r="E88" s="106"/>
      <c r="F88" s="107"/>
      <c r="G88" s="108"/>
      <c r="H88" s="106"/>
    </row>
    <row r="89" spans="1:8" ht="15" x14ac:dyDescent="0.25">
      <c r="A89" s="387" t="s">
        <v>74</v>
      </c>
      <c r="B89" s="387"/>
      <c r="C89" s="387"/>
      <c r="D89" s="387"/>
      <c r="G89" s="235">
        <f>SUM(Таблица125138150162174194264257738910512113715316918528446076921081241401565545705866006146286446606766927097262641567186101116131146161191206191[Сумма])*1000</f>
        <v>3678000</v>
      </c>
      <c r="H89" s="276"/>
    </row>
    <row r="90" spans="1:8" outlineLevel="1" x14ac:dyDescent="0.2">
      <c r="A90" s="91" t="s">
        <v>67</v>
      </c>
      <c r="B90" s="91" t="s">
        <v>53</v>
      </c>
      <c r="C90" s="91" t="s">
        <v>4</v>
      </c>
      <c r="D90" s="91" t="s">
        <v>68</v>
      </c>
      <c r="E90" s="91" t="s">
        <v>69</v>
      </c>
      <c r="F90" s="91" t="s">
        <v>70</v>
      </c>
      <c r="G90" s="91" t="s">
        <v>75</v>
      </c>
      <c r="H90" s="91" t="s">
        <v>72</v>
      </c>
    </row>
    <row r="91" spans="1:8" ht="24.95" customHeight="1" outlineLevel="1" x14ac:dyDescent="0.2">
      <c r="A91" s="74" t="s">
        <v>2038</v>
      </c>
      <c r="B91" s="74" t="s">
        <v>1780</v>
      </c>
      <c r="C91" s="177" t="s">
        <v>94</v>
      </c>
      <c r="D91" s="94" t="s">
        <v>73</v>
      </c>
      <c r="E91" s="74" t="s">
        <v>2040</v>
      </c>
      <c r="F91" s="218" t="s">
        <v>1365</v>
      </c>
      <c r="G91" s="72">
        <v>1079</v>
      </c>
      <c r="H91" s="94" t="s">
        <v>168</v>
      </c>
    </row>
    <row r="92" spans="1:8" ht="24.95" customHeight="1" outlineLevel="1" x14ac:dyDescent="0.2">
      <c r="A92" s="74" t="s">
        <v>2020</v>
      </c>
      <c r="B92" s="74" t="s">
        <v>1041</v>
      </c>
      <c r="C92" s="177" t="s">
        <v>94</v>
      </c>
      <c r="D92" s="94" t="s">
        <v>73</v>
      </c>
      <c r="E92" s="74" t="s">
        <v>2032</v>
      </c>
      <c r="F92" s="218" t="s">
        <v>1347</v>
      </c>
      <c r="G92" s="72">
        <v>1000</v>
      </c>
      <c r="H92" s="94" t="s">
        <v>996</v>
      </c>
    </row>
    <row r="93" spans="1:8" ht="24.95" customHeight="1" outlineLevel="1" x14ac:dyDescent="0.2">
      <c r="A93" s="74" t="s">
        <v>2021</v>
      </c>
      <c r="B93" s="74" t="s">
        <v>1041</v>
      </c>
      <c r="C93" s="177" t="s">
        <v>94</v>
      </c>
      <c r="D93" s="94" t="s">
        <v>73</v>
      </c>
      <c r="E93" s="74" t="s">
        <v>2033</v>
      </c>
      <c r="F93" s="218" t="s">
        <v>1347</v>
      </c>
      <c r="G93" s="72">
        <v>415</v>
      </c>
      <c r="H93" s="94" t="s">
        <v>1348</v>
      </c>
    </row>
    <row r="94" spans="1:8" ht="24.95" customHeight="1" outlineLevel="1" x14ac:dyDescent="0.2">
      <c r="A94" s="74" t="s">
        <v>2022</v>
      </c>
      <c r="B94" s="74" t="s">
        <v>2023</v>
      </c>
      <c r="C94" s="177" t="s">
        <v>94</v>
      </c>
      <c r="D94" s="94" t="s">
        <v>73</v>
      </c>
      <c r="E94" s="74" t="s">
        <v>2034</v>
      </c>
      <c r="F94" s="218" t="s">
        <v>1365</v>
      </c>
      <c r="G94" s="72">
        <v>348</v>
      </c>
      <c r="H94" s="94" t="s">
        <v>1019</v>
      </c>
    </row>
    <row r="95" spans="1:8" ht="24.95" customHeight="1" outlineLevel="1" x14ac:dyDescent="0.2">
      <c r="A95" s="74" t="s">
        <v>2039</v>
      </c>
      <c r="B95" s="74" t="s">
        <v>1029</v>
      </c>
      <c r="C95" s="177" t="s">
        <v>94</v>
      </c>
      <c r="D95" s="94" t="s">
        <v>73</v>
      </c>
      <c r="E95" s="74" t="s">
        <v>2041</v>
      </c>
      <c r="F95" s="218" t="s">
        <v>1365</v>
      </c>
      <c r="G95" s="72">
        <v>293</v>
      </c>
      <c r="H95" s="94" t="s">
        <v>168</v>
      </c>
    </row>
    <row r="96" spans="1:8" ht="24.95" customHeight="1" outlineLevel="1" x14ac:dyDescent="0.2">
      <c r="A96" s="74" t="s">
        <v>2024</v>
      </c>
      <c r="B96" s="74" t="s">
        <v>104</v>
      </c>
      <c r="C96" s="177" t="s">
        <v>94</v>
      </c>
      <c r="D96" s="94" t="s">
        <v>73</v>
      </c>
      <c r="E96" s="74" t="s">
        <v>2035</v>
      </c>
      <c r="F96" s="218" t="s">
        <v>1365</v>
      </c>
      <c r="G96" s="72">
        <v>93</v>
      </c>
      <c r="H96" s="94" t="s">
        <v>168</v>
      </c>
    </row>
    <row r="97" spans="1:8" ht="24.95" customHeight="1" outlineLevel="1" x14ac:dyDescent="0.2">
      <c r="A97" s="74" t="s">
        <v>2025</v>
      </c>
      <c r="B97" s="74" t="s">
        <v>2026</v>
      </c>
      <c r="C97" s="177" t="s">
        <v>94</v>
      </c>
      <c r="D97" s="94" t="s">
        <v>73</v>
      </c>
      <c r="E97" s="74" t="s">
        <v>994</v>
      </c>
      <c r="F97" s="218" t="s">
        <v>2036</v>
      </c>
      <c r="G97" s="72">
        <v>92</v>
      </c>
      <c r="H97" s="94" t="s">
        <v>168</v>
      </c>
    </row>
    <row r="98" spans="1:8" ht="24.95" customHeight="1" outlineLevel="1" x14ac:dyDescent="0.2">
      <c r="A98" s="74" t="s">
        <v>2042</v>
      </c>
      <c r="B98" s="74" t="s">
        <v>1599</v>
      </c>
      <c r="C98" s="177" t="s">
        <v>94</v>
      </c>
      <c r="D98" s="94" t="s">
        <v>73</v>
      </c>
      <c r="E98" s="74" t="s">
        <v>2045</v>
      </c>
      <c r="F98" s="218" t="s">
        <v>1659</v>
      </c>
      <c r="G98" s="72">
        <v>88</v>
      </c>
      <c r="H98" s="94" t="s">
        <v>284</v>
      </c>
    </row>
    <row r="99" spans="1:8" ht="24.95" customHeight="1" outlineLevel="1" x14ac:dyDescent="0.2">
      <c r="A99" s="74" t="s">
        <v>2027</v>
      </c>
      <c r="B99" s="74" t="s">
        <v>1575</v>
      </c>
      <c r="C99" s="177" t="s">
        <v>94</v>
      </c>
      <c r="D99" s="94" t="s">
        <v>73</v>
      </c>
      <c r="E99" s="74" t="s">
        <v>1784</v>
      </c>
      <c r="F99" s="218" t="s">
        <v>1659</v>
      </c>
      <c r="G99" s="72">
        <v>80</v>
      </c>
      <c r="H99" s="94" t="s">
        <v>107</v>
      </c>
    </row>
    <row r="100" spans="1:8" ht="24.95" customHeight="1" outlineLevel="1" x14ac:dyDescent="0.2">
      <c r="A100" s="74" t="s">
        <v>2028</v>
      </c>
      <c r="B100" s="74" t="s">
        <v>2029</v>
      </c>
      <c r="C100" s="177" t="s">
        <v>94</v>
      </c>
      <c r="D100" s="94" t="s">
        <v>73</v>
      </c>
      <c r="E100" s="74" t="s">
        <v>102</v>
      </c>
      <c r="F100" s="218" t="s">
        <v>1365</v>
      </c>
      <c r="G100" s="72">
        <v>68</v>
      </c>
      <c r="H100" s="94" t="s">
        <v>168</v>
      </c>
    </row>
    <row r="101" spans="1:8" ht="24.95" customHeight="1" outlineLevel="1" x14ac:dyDescent="0.2">
      <c r="A101" s="74" t="s">
        <v>2043</v>
      </c>
      <c r="B101" s="74" t="s">
        <v>1925</v>
      </c>
      <c r="C101" s="177" t="s">
        <v>94</v>
      </c>
      <c r="D101" s="94" t="s">
        <v>73</v>
      </c>
      <c r="E101" s="74" t="s">
        <v>2046</v>
      </c>
      <c r="F101" s="218" t="s">
        <v>1659</v>
      </c>
      <c r="G101" s="72">
        <v>67</v>
      </c>
      <c r="H101" s="94" t="s">
        <v>284</v>
      </c>
    </row>
    <row r="102" spans="1:8" ht="24.95" customHeight="1" outlineLevel="1" x14ac:dyDescent="0.2">
      <c r="A102" s="74" t="s">
        <v>2044</v>
      </c>
      <c r="B102" s="74" t="s">
        <v>1573</v>
      </c>
      <c r="C102" s="177" t="s">
        <v>94</v>
      </c>
      <c r="D102" s="94" t="s">
        <v>73</v>
      </c>
      <c r="E102" s="74" t="s">
        <v>1666</v>
      </c>
      <c r="F102" s="218" t="s">
        <v>1659</v>
      </c>
      <c r="G102" s="72">
        <v>55</v>
      </c>
      <c r="H102" s="94" t="s">
        <v>284</v>
      </c>
    </row>
    <row r="103" spans="1:8" ht="24.95" customHeight="1" outlineLevel="1" x14ac:dyDescent="0.2">
      <c r="A103" s="74" t="s">
        <v>2030</v>
      </c>
      <c r="B103" s="74" t="s">
        <v>2031</v>
      </c>
      <c r="C103" s="177" t="s">
        <v>94</v>
      </c>
      <c r="D103" s="94" t="s">
        <v>73</v>
      </c>
      <c r="E103" s="74" t="s">
        <v>2047</v>
      </c>
      <c r="F103" s="218" t="s">
        <v>2036</v>
      </c>
      <c r="G103" s="72">
        <v>0</v>
      </c>
      <c r="H103" s="94" t="s">
        <v>1348</v>
      </c>
    </row>
    <row r="104" spans="1:8" ht="15" customHeight="1" x14ac:dyDescent="0.2"/>
    <row r="105" spans="1:8" ht="15" customHeight="1" x14ac:dyDescent="0.2"/>
    <row r="106" spans="1:8" ht="15.75" x14ac:dyDescent="0.25">
      <c r="A106" s="1" t="s">
        <v>76</v>
      </c>
    </row>
    <row r="107" spans="1:8" ht="15" x14ac:dyDescent="0.25">
      <c r="A107" s="387" t="s">
        <v>77</v>
      </c>
      <c r="B107" s="387"/>
      <c r="C107" s="387"/>
      <c r="D107" s="387"/>
      <c r="E107" s="110"/>
      <c r="F107" s="111"/>
    </row>
    <row r="108" spans="1:8" s="104" customFormat="1" outlineLevel="1" x14ac:dyDescent="0.25">
      <c r="A108" s="112" t="s">
        <v>78</v>
      </c>
      <c r="B108" s="112" t="s">
        <v>53</v>
      </c>
      <c r="C108" s="91" t="s">
        <v>4</v>
      </c>
      <c r="D108" s="112" t="s">
        <v>79</v>
      </c>
      <c r="E108" s="91" t="s">
        <v>80</v>
      </c>
      <c r="F108" s="112" t="s">
        <v>81</v>
      </c>
      <c r="G108" s="112" t="s">
        <v>82</v>
      </c>
    </row>
    <row r="109" spans="1:8" s="104" customFormat="1" ht="23.25" customHeight="1" outlineLevel="1" x14ac:dyDescent="0.25">
      <c r="A109" s="116">
        <v>46006</v>
      </c>
      <c r="B109" s="173" t="s">
        <v>1925</v>
      </c>
      <c r="C109" s="177" t="s">
        <v>94</v>
      </c>
      <c r="D109" s="173" t="s">
        <v>1926</v>
      </c>
      <c r="E109" s="173"/>
      <c r="F109" s="173" t="s">
        <v>1927</v>
      </c>
      <c r="G109" s="173" t="s">
        <v>1928</v>
      </c>
    </row>
    <row r="110" spans="1:8" s="104" customFormat="1" ht="23.25" customHeight="1" outlineLevel="1" x14ac:dyDescent="0.25">
      <c r="A110" s="116">
        <v>46010</v>
      </c>
      <c r="B110" s="173" t="s">
        <v>1599</v>
      </c>
      <c r="C110" s="177" t="s">
        <v>94</v>
      </c>
      <c r="D110" s="173" t="s">
        <v>1922</v>
      </c>
      <c r="E110" s="173"/>
      <c r="F110" s="173" t="s">
        <v>1923</v>
      </c>
      <c r="G110" s="173" t="s">
        <v>1924</v>
      </c>
    </row>
    <row r="111" spans="1:8" s="104" customFormat="1" ht="23.25" customHeight="1" outlineLevel="1" x14ac:dyDescent="0.25">
      <c r="A111" s="116">
        <v>46016</v>
      </c>
      <c r="B111" s="173" t="s">
        <v>2016</v>
      </c>
      <c r="C111" s="177" t="s">
        <v>94</v>
      </c>
      <c r="D111" s="173" t="s">
        <v>2013</v>
      </c>
      <c r="E111" s="173"/>
      <c r="F111" s="173" t="s">
        <v>2015</v>
      </c>
      <c r="G111" s="173" t="s">
        <v>2014</v>
      </c>
    </row>
    <row r="112" spans="1:8" s="104" customFormat="1" ht="23.25" customHeight="1" outlineLevel="1" x14ac:dyDescent="0.25">
      <c r="A112" s="116">
        <v>46016</v>
      </c>
      <c r="B112" s="173" t="s">
        <v>1041</v>
      </c>
      <c r="C112" s="177" t="s">
        <v>94</v>
      </c>
      <c r="D112" s="173" t="s">
        <v>2010</v>
      </c>
      <c r="E112" s="173"/>
      <c r="F112" s="173" t="s">
        <v>2012</v>
      </c>
      <c r="G112" s="173" t="s">
        <v>2011</v>
      </c>
    </row>
    <row r="113" spans="1:7" s="104" customFormat="1" ht="23.25" customHeight="1" outlineLevel="1" x14ac:dyDescent="0.25">
      <c r="A113" s="116">
        <v>46017</v>
      </c>
      <c r="B113" s="177" t="s">
        <v>104</v>
      </c>
      <c r="C113" s="177" t="s">
        <v>94</v>
      </c>
      <c r="D113" s="173" t="s">
        <v>2007</v>
      </c>
      <c r="E113" s="173"/>
      <c r="F113" s="173" t="s">
        <v>2008</v>
      </c>
      <c r="G113" s="173" t="s">
        <v>2009</v>
      </c>
    </row>
    <row r="114" spans="1:7" s="104" customFormat="1" ht="23.25" customHeight="1" outlineLevel="1" x14ac:dyDescent="0.25">
      <c r="A114" s="116">
        <v>46017</v>
      </c>
      <c r="B114" s="173" t="s">
        <v>1574</v>
      </c>
      <c r="C114" s="177" t="s">
        <v>94</v>
      </c>
      <c r="D114" s="173" t="s">
        <v>2004</v>
      </c>
      <c r="E114" s="173"/>
      <c r="F114" s="173" t="s">
        <v>2006</v>
      </c>
      <c r="G114" s="173" t="s">
        <v>2005</v>
      </c>
    </row>
    <row r="115" spans="1:7" s="104" customFormat="1" ht="12" customHeight="1" outlineLevel="1" x14ac:dyDescent="0.2">
      <c r="A115" s="2"/>
      <c r="B115" s="118"/>
      <c r="C115" s="2"/>
      <c r="D115" s="2"/>
      <c r="E115" s="2"/>
      <c r="F115" s="2"/>
      <c r="G115" s="2"/>
    </row>
    <row r="116" spans="1:7" ht="24" customHeight="1" outlineLevel="1" x14ac:dyDescent="0.2">
      <c r="A116" s="118"/>
      <c r="B116" s="118"/>
    </row>
    <row r="117" spans="1:7" ht="15" customHeight="1" outlineLevel="1" x14ac:dyDescent="0.25">
      <c r="A117" s="387" t="s">
        <v>83</v>
      </c>
      <c r="B117" s="387"/>
      <c r="C117" s="387"/>
      <c r="D117" s="387"/>
      <c r="E117" s="212"/>
    </row>
    <row r="118" spans="1:7" ht="24" customHeight="1" outlineLevel="1" x14ac:dyDescent="0.2">
      <c r="A118" s="112" t="s">
        <v>78</v>
      </c>
      <c r="B118" s="112" t="s">
        <v>53</v>
      </c>
      <c r="C118" s="91" t="s">
        <v>4</v>
      </c>
      <c r="D118" s="112" t="s">
        <v>79</v>
      </c>
      <c r="E118" s="91" t="s">
        <v>80</v>
      </c>
      <c r="F118" s="112" t="s">
        <v>81</v>
      </c>
      <c r="G118" s="112" t="s">
        <v>82</v>
      </c>
    </row>
    <row r="119" spans="1:7" ht="24" customHeight="1" outlineLevel="1" x14ac:dyDescent="0.2">
      <c r="A119" s="116">
        <v>45993</v>
      </c>
      <c r="B119" s="116" t="s">
        <v>1911</v>
      </c>
      <c r="C119" s="177" t="s">
        <v>94</v>
      </c>
      <c r="D119" s="116" t="s">
        <v>1913</v>
      </c>
      <c r="E119" s="109"/>
      <c r="F119" s="109" t="s">
        <v>109</v>
      </c>
      <c r="G119" s="109" t="s">
        <v>1912</v>
      </c>
    </row>
    <row r="120" spans="1:7" ht="24" customHeight="1" outlineLevel="1" x14ac:dyDescent="0.2">
      <c r="A120" s="116">
        <v>45993</v>
      </c>
      <c r="B120" s="116" t="s">
        <v>1900</v>
      </c>
      <c r="C120" s="177" t="s">
        <v>94</v>
      </c>
      <c r="D120" s="116" t="s">
        <v>1901</v>
      </c>
      <c r="E120" s="109"/>
      <c r="F120" s="109" t="s">
        <v>109</v>
      </c>
      <c r="G120" s="109" t="s">
        <v>1899</v>
      </c>
    </row>
    <row r="121" spans="1:7" ht="24" customHeight="1" outlineLevel="1" x14ac:dyDescent="0.2">
      <c r="A121" s="116">
        <v>45994</v>
      </c>
      <c r="B121" s="116" t="s">
        <v>1860</v>
      </c>
      <c r="C121" s="177" t="s">
        <v>94</v>
      </c>
      <c r="D121" s="116" t="s">
        <v>1861</v>
      </c>
      <c r="E121" s="109"/>
      <c r="F121" s="109" t="s">
        <v>109</v>
      </c>
      <c r="G121" s="109" t="s">
        <v>1862</v>
      </c>
    </row>
    <row r="122" spans="1:7" ht="24" customHeight="1" outlineLevel="1" x14ac:dyDescent="0.2">
      <c r="A122" s="116">
        <v>45996</v>
      </c>
      <c r="B122" s="116" t="s">
        <v>1916</v>
      </c>
      <c r="C122" s="177" t="s">
        <v>94</v>
      </c>
      <c r="D122" s="116" t="s">
        <v>1915</v>
      </c>
      <c r="E122" s="109"/>
      <c r="F122" s="109" t="s">
        <v>109</v>
      </c>
      <c r="G122" s="109" t="s">
        <v>1914</v>
      </c>
    </row>
    <row r="123" spans="1:7" ht="24" customHeight="1" outlineLevel="1" x14ac:dyDescent="0.2">
      <c r="A123" s="116">
        <v>45996</v>
      </c>
      <c r="B123" s="116" t="s">
        <v>1881</v>
      </c>
      <c r="C123" s="177" t="s">
        <v>94</v>
      </c>
      <c r="D123" s="116" t="s">
        <v>1887</v>
      </c>
      <c r="E123" s="109"/>
      <c r="F123" s="109" t="s">
        <v>109</v>
      </c>
      <c r="G123" s="109" t="s">
        <v>1882</v>
      </c>
    </row>
    <row r="124" spans="1:7" ht="24" customHeight="1" outlineLevel="1" x14ac:dyDescent="0.2">
      <c r="A124" s="116">
        <v>45996</v>
      </c>
      <c r="B124" s="116" t="s">
        <v>1902</v>
      </c>
      <c r="C124" s="177" t="s">
        <v>94</v>
      </c>
      <c r="D124" s="116" t="s">
        <v>1904</v>
      </c>
      <c r="E124" s="109"/>
      <c r="F124" s="109" t="s">
        <v>109</v>
      </c>
      <c r="G124" s="109" t="s">
        <v>1903</v>
      </c>
    </row>
    <row r="125" spans="1:7" ht="24" customHeight="1" outlineLevel="1" x14ac:dyDescent="0.2">
      <c r="A125" s="116">
        <v>45999</v>
      </c>
      <c r="B125" s="116" t="s">
        <v>1863</v>
      </c>
      <c r="C125" s="177" t="s">
        <v>94</v>
      </c>
      <c r="D125" s="116" t="s">
        <v>1888</v>
      </c>
      <c r="E125" s="109"/>
      <c r="F125" s="109" t="s">
        <v>109</v>
      </c>
      <c r="G125" s="109" t="s">
        <v>1864</v>
      </c>
    </row>
    <row r="126" spans="1:7" ht="24" customHeight="1" outlineLevel="1" x14ac:dyDescent="0.2">
      <c r="A126" s="116">
        <v>45999</v>
      </c>
      <c r="B126" s="116" t="s">
        <v>1866</v>
      </c>
      <c r="C126" s="177" t="s">
        <v>94</v>
      </c>
      <c r="D126" s="116" t="s">
        <v>1889</v>
      </c>
      <c r="E126" s="109"/>
      <c r="F126" s="109" t="s">
        <v>109</v>
      </c>
      <c r="G126" s="109" t="s">
        <v>1865</v>
      </c>
    </row>
    <row r="127" spans="1:7" ht="24" customHeight="1" outlineLevel="1" x14ac:dyDescent="0.2">
      <c r="A127" s="116">
        <v>45999</v>
      </c>
      <c r="B127" s="116" t="s">
        <v>1868</v>
      </c>
      <c r="C127" s="177" t="s">
        <v>94</v>
      </c>
      <c r="D127" s="116" t="s">
        <v>1890</v>
      </c>
      <c r="E127" s="109"/>
      <c r="F127" s="109" t="s">
        <v>109</v>
      </c>
      <c r="G127" s="109" t="s">
        <v>1867</v>
      </c>
    </row>
    <row r="128" spans="1:7" ht="24" customHeight="1" outlineLevel="1" x14ac:dyDescent="0.2">
      <c r="A128" s="116">
        <v>45999</v>
      </c>
      <c r="B128" s="116" t="s">
        <v>1896</v>
      </c>
      <c r="C128" s="177" t="s">
        <v>94</v>
      </c>
      <c r="D128" s="116" t="s">
        <v>1897</v>
      </c>
      <c r="E128" s="109"/>
      <c r="F128" s="109" t="s">
        <v>109</v>
      </c>
      <c r="G128" s="109" t="s">
        <v>1895</v>
      </c>
    </row>
    <row r="129" spans="1:7" ht="24" customHeight="1" outlineLevel="1" x14ac:dyDescent="0.2">
      <c r="A129" s="116">
        <v>46001</v>
      </c>
      <c r="B129" s="116" t="s">
        <v>1876</v>
      </c>
      <c r="C129" s="177" t="s">
        <v>94</v>
      </c>
      <c r="D129" s="116" t="s">
        <v>1891</v>
      </c>
      <c r="E129" s="109"/>
      <c r="F129" s="109" t="s">
        <v>109</v>
      </c>
      <c r="G129" s="109" t="s">
        <v>1877</v>
      </c>
    </row>
    <row r="130" spans="1:7" ht="24" customHeight="1" outlineLevel="1" x14ac:dyDescent="0.2">
      <c r="A130" s="116">
        <v>46001</v>
      </c>
      <c r="B130" s="116" t="s">
        <v>1879</v>
      </c>
      <c r="C130" s="177" t="s">
        <v>94</v>
      </c>
      <c r="D130" s="116" t="s">
        <v>1880</v>
      </c>
      <c r="E130" s="109"/>
      <c r="F130" s="109" t="s">
        <v>109</v>
      </c>
      <c r="G130" s="109" t="s">
        <v>1878</v>
      </c>
    </row>
    <row r="131" spans="1:7" ht="24" customHeight="1" outlineLevel="1" x14ac:dyDescent="0.2">
      <c r="A131" s="116">
        <v>46002</v>
      </c>
      <c r="B131" s="116" t="s">
        <v>1892</v>
      </c>
      <c r="C131" s="177" t="s">
        <v>94</v>
      </c>
      <c r="D131" s="116" t="s">
        <v>1894</v>
      </c>
      <c r="E131" s="109"/>
      <c r="F131" s="109" t="s">
        <v>109</v>
      </c>
      <c r="G131" s="109" t="s">
        <v>1893</v>
      </c>
    </row>
    <row r="132" spans="1:7" ht="24" customHeight="1" outlineLevel="1" x14ac:dyDescent="0.2">
      <c r="A132" s="116">
        <v>46003</v>
      </c>
      <c r="B132" s="116" t="s">
        <v>1905</v>
      </c>
      <c r="C132" s="177" t="s">
        <v>94</v>
      </c>
      <c r="D132" s="116" t="s">
        <v>1907</v>
      </c>
      <c r="E132" s="109"/>
      <c r="F132" s="109" t="s">
        <v>109</v>
      </c>
      <c r="G132" s="109" t="s">
        <v>1906</v>
      </c>
    </row>
    <row r="133" spans="1:7" ht="24" customHeight="1" outlineLevel="1" x14ac:dyDescent="0.2">
      <c r="A133" s="116">
        <v>46003</v>
      </c>
      <c r="B133" s="116" t="s">
        <v>1908</v>
      </c>
      <c r="C133" s="177" t="s">
        <v>94</v>
      </c>
      <c r="D133" s="116" t="s">
        <v>1910</v>
      </c>
      <c r="E133" s="109"/>
      <c r="F133" s="109" t="s">
        <v>109</v>
      </c>
      <c r="G133" s="109" t="s">
        <v>1909</v>
      </c>
    </row>
    <row r="134" spans="1:7" ht="24" customHeight="1" outlineLevel="1" x14ac:dyDescent="0.2">
      <c r="A134" s="116">
        <v>46003</v>
      </c>
      <c r="B134" s="116" t="s">
        <v>1898</v>
      </c>
      <c r="C134" s="177" t="s">
        <v>94</v>
      </c>
      <c r="D134" s="116" t="s">
        <v>1917</v>
      </c>
      <c r="E134" s="109"/>
      <c r="F134" s="109" t="s">
        <v>109</v>
      </c>
      <c r="G134" s="109" t="s">
        <v>1918</v>
      </c>
    </row>
    <row r="135" spans="1:7" ht="24" customHeight="1" outlineLevel="1" x14ac:dyDescent="0.2">
      <c r="A135" s="116">
        <v>46006</v>
      </c>
      <c r="B135" s="116" t="s">
        <v>1884</v>
      </c>
      <c r="C135" s="177" t="s">
        <v>94</v>
      </c>
      <c r="D135" s="116" t="s">
        <v>1885</v>
      </c>
      <c r="E135" s="109"/>
      <c r="F135" s="109" t="s">
        <v>109</v>
      </c>
      <c r="G135" s="109" t="s">
        <v>1886</v>
      </c>
    </row>
    <row r="136" spans="1:7" ht="24" customHeight="1" outlineLevel="1" x14ac:dyDescent="0.2">
      <c r="A136" s="116">
        <v>46010</v>
      </c>
      <c r="B136" s="116" t="s">
        <v>1698</v>
      </c>
      <c r="C136" s="177" t="s">
        <v>94</v>
      </c>
      <c r="D136" s="116" t="s">
        <v>1989</v>
      </c>
      <c r="E136" s="109"/>
      <c r="F136" s="109" t="s">
        <v>109</v>
      </c>
      <c r="G136" s="109" t="s">
        <v>1919</v>
      </c>
    </row>
    <row r="137" spans="1:7" ht="24" customHeight="1" outlineLevel="1" x14ac:dyDescent="0.2">
      <c r="A137" s="116">
        <v>46010</v>
      </c>
      <c r="B137" s="116" t="s">
        <v>1920</v>
      </c>
      <c r="C137" s="177" t="s">
        <v>94</v>
      </c>
      <c r="D137" s="116" t="s">
        <v>1991</v>
      </c>
      <c r="E137" s="109"/>
      <c r="F137" s="109" t="s">
        <v>109</v>
      </c>
      <c r="G137" s="109" t="s">
        <v>1921</v>
      </c>
    </row>
    <row r="138" spans="1:7" ht="24" customHeight="1" outlineLevel="1" x14ac:dyDescent="0.2">
      <c r="A138" s="116">
        <v>46010</v>
      </c>
      <c r="B138" s="116" t="s">
        <v>1930</v>
      </c>
      <c r="C138" s="177" t="s">
        <v>94</v>
      </c>
      <c r="D138" s="116" t="s">
        <v>1992</v>
      </c>
      <c r="E138" s="109"/>
      <c r="F138" s="109" t="s">
        <v>109</v>
      </c>
      <c r="G138" s="109" t="s">
        <v>1929</v>
      </c>
    </row>
    <row r="139" spans="1:7" ht="24" customHeight="1" outlineLevel="1" x14ac:dyDescent="0.2">
      <c r="A139" s="116">
        <v>46010</v>
      </c>
      <c r="B139" s="116" t="s">
        <v>1931</v>
      </c>
      <c r="C139" s="177" t="s">
        <v>94</v>
      </c>
      <c r="D139" s="116" t="s">
        <v>1993</v>
      </c>
      <c r="E139" s="109"/>
      <c r="F139" s="109" t="s">
        <v>109</v>
      </c>
      <c r="G139" s="109" t="s">
        <v>1932</v>
      </c>
    </row>
    <row r="140" spans="1:7" ht="24" customHeight="1" outlineLevel="1" x14ac:dyDescent="0.2">
      <c r="A140" s="116">
        <v>46010</v>
      </c>
      <c r="B140" s="116" t="s">
        <v>1934</v>
      </c>
      <c r="C140" s="177" t="s">
        <v>94</v>
      </c>
      <c r="D140" s="116" t="s">
        <v>1990</v>
      </c>
      <c r="E140" s="109"/>
      <c r="F140" s="109" t="s">
        <v>109</v>
      </c>
      <c r="G140" s="109" t="s">
        <v>1933</v>
      </c>
    </row>
    <row r="141" spans="1:7" ht="24" customHeight="1" outlineLevel="1" x14ac:dyDescent="0.2">
      <c r="A141" s="116">
        <v>46010</v>
      </c>
      <c r="B141" s="116" t="s">
        <v>1938</v>
      </c>
      <c r="C141" s="177" t="s">
        <v>94</v>
      </c>
      <c r="D141" s="116" t="s">
        <v>1936</v>
      </c>
      <c r="E141" s="109"/>
      <c r="F141" s="109" t="s">
        <v>109</v>
      </c>
      <c r="G141" s="109" t="s">
        <v>1937</v>
      </c>
    </row>
    <row r="142" spans="1:7" ht="24" customHeight="1" outlineLevel="1" x14ac:dyDescent="0.2">
      <c r="A142" s="116">
        <v>46013</v>
      </c>
      <c r="B142" s="116" t="s">
        <v>1940</v>
      </c>
      <c r="C142" s="177" t="s">
        <v>94</v>
      </c>
      <c r="D142" s="116" t="s">
        <v>1941</v>
      </c>
      <c r="E142" s="109"/>
      <c r="F142" s="109" t="s">
        <v>109</v>
      </c>
      <c r="G142" s="109" t="s">
        <v>1942</v>
      </c>
    </row>
    <row r="143" spans="1:7" ht="24" customHeight="1" outlineLevel="1" x14ac:dyDescent="0.2">
      <c r="A143" s="116">
        <v>46013</v>
      </c>
      <c r="B143" s="116" t="s">
        <v>1945</v>
      </c>
      <c r="C143" s="177" t="s">
        <v>94</v>
      </c>
      <c r="D143" s="116" t="s">
        <v>1943</v>
      </c>
      <c r="E143" s="109"/>
      <c r="F143" s="109" t="s">
        <v>109</v>
      </c>
      <c r="G143" s="109" t="s">
        <v>1944</v>
      </c>
    </row>
    <row r="144" spans="1:7" ht="24" customHeight="1" outlineLevel="1" x14ac:dyDescent="0.2">
      <c r="A144" s="116">
        <v>46013</v>
      </c>
      <c r="B144" s="116" t="s">
        <v>1950</v>
      </c>
      <c r="C144" s="177" t="s">
        <v>94</v>
      </c>
      <c r="D144" s="116" t="s">
        <v>1951</v>
      </c>
      <c r="E144" s="109"/>
      <c r="F144" s="109" t="s">
        <v>109</v>
      </c>
      <c r="G144" s="109" t="s">
        <v>1949</v>
      </c>
    </row>
    <row r="145" spans="1:7" ht="24" customHeight="1" outlineLevel="1" x14ac:dyDescent="0.2">
      <c r="A145" s="116">
        <v>46014</v>
      </c>
      <c r="B145" s="116" t="s">
        <v>1953</v>
      </c>
      <c r="C145" s="177" t="s">
        <v>94</v>
      </c>
      <c r="D145" s="116" t="s">
        <v>1956</v>
      </c>
      <c r="E145" s="109"/>
      <c r="F145" s="109" t="s">
        <v>109</v>
      </c>
      <c r="G145" s="109" t="s">
        <v>1957</v>
      </c>
    </row>
    <row r="146" spans="1:7" ht="24" customHeight="1" outlineLevel="1" x14ac:dyDescent="0.2">
      <c r="A146" s="116">
        <v>46014</v>
      </c>
      <c r="B146" s="116" t="s">
        <v>1781</v>
      </c>
      <c r="C146" s="177" t="s">
        <v>94</v>
      </c>
      <c r="D146" s="116" t="s">
        <v>1962</v>
      </c>
      <c r="E146" s="109"/>
      <c r="F146" s="109" t="s">
        <v>109</v>
      </c>
      <c r="G146" s="109" t="s">
        <v>1963</v>
      </c>
    </row>
    <row r="147" spans="1:7" ht="24" customHeight="1" outlineLevel="1" x14ac:dyDescent="0.2">
      <c r="A147" s="116">
        <v>46014</v>
      </c>
      <c r="B147" s="116" t="s">
        <v>1965</v>
      </c>
      <c r="C147" s="177" t="s">
        <v>94</v>
      </c>
      <c r="D147" s="116" t="s">
        <v>1966</v>
      </c>
      <c r="E147" s="109"/>
      <c r="F147" s="109" t="s">
        <v>109</v>
      </c>
      <c r="G147" s="109" t="s">
        <v>1967</v>
      </c>
    </row>
    <row r="148" spans="1:7" ht="24" customHeight="1" outlineLevel="1" x14ac:dyDescent="0.2">
      <c r="A148" s="116">
        <v>46015</v>
      </c>
      <c r="B148" s="116" t="s">
        <v>1968</v>
      </c>
      <c r="C148" s="177" t="s">
        <v>94</v>
      </c>
      <c r="D148" s="116" t="s">
        <v>1969</v>
      </c>
      <c r="E148" s="109"/>
      <c r="F148" s="109" t="s">
        <v>109</v>
      </c>
      <c r="G148" s="109" t="s">
        <v>1970</v>
      </c>
    </row>
    <row r="149" spans="1:7" ht="24" customHeight="1" outlineLevel="1" x14ac:dyDescent="0.2">
      <c r="A149" s="116">
        <v>46015</v>
      </c>
      <c r="B149" s="116" t="s">
        <v>1978</v>
      </c>
      <c r="C149" s="177" t="s">
        <v>94</v>
      </c>
      <c r="D149" s="116" t="s">
        <v>1977</v>
      </c>
      <c r="E149" s="109"/>
      <c r="F149" s="109" t="s">
        <v>109</v>
      </c>
      <c r="G149" s="109" t="s">
        <v>1979</v>
      </c>
    </row>
    <row r="150" spans="1:7" ht="24" customHeight="1" outlineLevel="1" x14ac:dyDescent="0.2">
      <c r="A150" s="116">
        <v>46016</v>
      </c>
      <c r="B150" s="116" t="s">
        <v>1981</v>
      </c>
      <c r="C150" s="177" t="s">
        <v>94</v>
      </c>
      <c r="D150" s="116" t="s">
        <v>1980</v>
      </c>
      <c r="E150" s="109"/>
      <c r="F150" s="109" t="s">
        <v>109</v>
      </c>
      <c r="G150" s="109" t="s">
        <v>1982</v>
      </c>
    </row>
    <row r="151" spans="1:7" ht="24" customHeight="1" outlineLevel="1" x14ac:dyDescent="0.2">
      <c r="A151" s="116">
        <v>46016</v>
      </c>
      <c r="B151" s="116" t="s">
        <v>1986</v>
      </c>
      <c r="C151" s="177" t="s">
        <v>94</v>
      </c>
      <c r="D151" s="116" t="s">
        <v>1987</v>
      </c>
      <c r="E151" s="109"/>
      <c r="F151" s="109" t="s">
        <v>109</v>
      </c>
      <c r="G151" s="109" t="s">
        <v>1988</v>
      </c>
    </row>
    <row r="152" spans="1:7" ht="24" customHeight="1" outlineLevel="1" x14ac:dyDescent="0.2">
      <c r="A152" s="116"/>
      <c r="B152" s="116"/>
      <c r="C152" s="177"/>
      <c r="D152" s="129" t="s">
        <v>2017</v>
      </c>
      <c r="E152" s="109"/>
      <c r="F152" s="109"/>
      <c r="G152" s="109"/>
    </row>
    <row r="153" spans="1:7" ht="24" customHeight="1" outlineLevel="1" x14ac:dyDescent="0.2">
      <c r="A153" s="116">
        <v>46017</v>
      </c>
      <c r="B153" s="116" t="s">
        <v>1229</v>
      </c>
      <c r="C153" s="177" t="s">
        <v>94</v>
      </c>
      <c r="D153" s="116" t="s">
        <v>291</v>
      </c>
      <c r="E153" s="109"/>
      <c r="F153" s="109" t="s">
        <v>109</v>
      </c>
      <c r="G153" s="173" t="s">
        <v>1994</v>
      </c>
    </row>
    <row r="154" spans="1:7" ht="24" customHeight="1" outlineLevel="1" x14ac:dyDescent="0.2">
      <c r="A154" s="116">
        <v>46017</v>
      </c>
      <c r="B154" s="116" t="s">
        <v>1407</v>
      </c>
      <c r="C154" s="177" t="s">
        <v>94</v>
      </c>
      <c r="D154" s="116" t="s">
        <v>1408</v>
      </c>
      <c r="E154" s="109"/>
      <c r="F154" s="109" t="s">
        <v>109</v>
      </c>
      <c r="G154" s="109" t="s">
        <v>1995</v>
      </c>
    </row>
    <row r="156" spans="1:7" s="17" customFormat="1" outlineLevel="1" x14ac:dyDescent="0.2">
      <c r="A156" s="2"/>
      <c r="B156" s="2"/>
      <c r="C156" s="2"/>
      <c r="D156" s="2"/>
      <c r="E156" s="2"/>
      <c r="F156" s="2"/>
      <c r="G156" s="2"/>
    </row>
    <row r="157" spans="1:7" ht="15.75" outlineLevel="1" x14ac:dyDescent="0.25">
      <c r="A157" s="1" t="s">
        <v>84</v>
      </c>
    </row>
    <row r="158" spans="1:7" ht="12.6" customHeight="1" outlineLevel="1" x14ac:dyDescent="0.25">
      <c r="A158" s="386" t="s">
        <v>85</v>
      </c>
      <c r="B158" s="386"/>
      <c r="C158" s="386"/>
      <c r="D158" s="386"/>
    </row>
    <row r="159" spans="1:7" ht="33" customHeight="1" outlineLevel="1" x14ac:dyDescent="0.2">
      <c r="A159" s="120" t="s">
        <v>81</v>
      </c>
      <c r="B159" s="120" t="s">
        <v>86</v>
      </c>
      <c r="C159" s="120" t="s">
        <v>87</v>
      </c>
      <c r="D159" s="120" t="s">
        <v>88</v>
      </c>
      <c r="E159" s="120" t="s">
        <v>89</v>
      </c>
      <c r="F159" s="120" t="s">
        <v>4</v>
      </c>
      <c r="G159" s="120" t="s">
        <v>90</v>
      </c>
    </row>
    <row r="160" spans="1:7" ht="126" customHeight="1" x14ac:dyDescent="0.2">
      <c r="A160" s="230" t="s">
        <v>109</v>
      </c>
      <c r="B160" s="219" t="s">
        <v>1871</v>
      </c>
      <c r="C160" s="238" t="s">
        <v>1280</v>
      </c>
      <c r="D160" s="225" t="s">
        <v>2019</v>
      </c>
      <c r="E160" s="132" t="s">
        <v>1872</v>
      </c>
      <c r="F160" s="74" t="s">
        <v>94</v>
      </c>
      <c r="G160" s="72">
        <v>3000</v>
      </c>
    </row>
    <row r="161" spans="1:15" ht="126" customHeight="1" x14ac:dyDescent="0.2">
      <c r="A161" s="230" t="s">
        <v>109</v>
      </c>
      <c r="B161" s="219" t="s">
        <v>1874</v>
      </c>
      <c r="C161" s="238" t="s">
        <v>1280</v>
      </c>
      <c r="D161" s="225" t="s">
        <v>2018</v>
      </c>
      <c r="E161" s="132" t="s">
        <v>1875</v>
      </c>
      <c r="F161" s="74" t="s">
        <v>94</v>
      </c>
      <c r="G161" s="72">
        <v>1000</v>
      </c>
    </row>
    <row r="162" spans="1:15" ht="141.75" customHeight="1" x14ac:dyDescent="0.2">
      <c r="A162" s="230" t="s">
        <v>109</v>
      </c>
      <c r="B162" s="148" t="s">
        <v>1869</v>
      </c>
      <c r="C162" s="238" t="s">
        <v>1280</v>
      </c>
      <c r="D162" s="96" t="s">
        <v>1998</v>
      </c>
      <c r="E162" s="132" t="s">
        <v>1870</v>
      </c>
      <c r="F162" s="74" t="s">
        <v>94</v>
      </c>
      <c r="G162" s="72">
        <v>4000</v>
      </c>
    </row>
    <row r="163" spans="1:15" ht="177" customHeight="1" x14ac:dyDescent="0.2">
      <c r="A163" s="230" t="s">
        <v>109</v>
      </c>
      <c r="B163" s="148" t="s">
        <v>1873</v>
      </c>
      <c r="C163" s="238" t="s">
        <v>1280</v>
      </c>
      <c r="D163" s="94" t="s">
        <v>1999</v>
      </c>
      <c r="E163" s="132">
        <v>3000</v>
      </c>
      <c r="F163" s="74" t="s">
        <v>94</v>
      </c>
      <c r="G163" s="72">
        <v>3000</v>
      </c>
    </row>
    <row r="164" spans="1:15" s="124" customFormat="1" ht="12.75" customHeight="1" outlineLevel="1" x14ac:dyDescent="0.2">
      <c r="A164" s="2"/>
      <c r="B164" s="122"/>
      <c r="C164" s="123"/>
      <c r="D164" s="2"/>
      <c r="E164" s="2"/>
      <c r="F164" s="122"/>
      <c r="G164" s="2"/>
      <c r="H164" s="2"/>
      <c r="I164" s="2"/>
      <c r="J164" s="2"/>
      <c r="K164" s="2"/>
      <c r="L164" s="2"/>
      <c r="M164" s="2"/>
      <c r="N164" s="2"/>
      <c r="O164" s="2"/>
    </row>
    <row r="165" spans="1:15" outlineLevel="1" x14ac:dyDescent="0.2">
      <c r="A165" s="122"/>
      <c r="B165" s="122"/>
      <c r="C165" s="123"/>
      <c r="F165" s="122"/>
    </row>
    <row r="166" spans="1:15" ht="15" customHeight="1" outlineLevel="1" x14ac:dyDescent="0.25">
      <c r="A166" s="386" t="s">
        <v>92</v>
      </c>
      <c r="B166" s="386"/>
      <c r="C166" s="386"/>
      <c r="D166" s="386"/>
    </row>
    <row r="167" spans="1:15" x14ac:dyDescent="0.2">
      <c r="A167" s="120" t="s">
        <v>81</v>
      </c>
      <c r="B167" s="120" t="s">
        <v>86</v>
      </c>
      <c r="C167" s="120" t="s">
        <v>87</v>
      </c>
      <c r="D167" s="120" t="s">
        <v>88</v>
      </c>
      <c r="E167" s="120" t="s">
        <v>89</v>
      </c>
      <c r="F167" s="120" t="s">
        <v>4</v>
      </c>
      <c r="G167" s="120" t="s">
        <v>90</v>
      </c>
    </row>
    <row r="168" spans="1:15" ht="153" x14ac:dyDescent="0.2">
      <c r="A168" s="230" t="s">
        <v>109</v>
      </c>
      <c r="B168" s="219" t="s">
        <v>1744</v>
      </c>
      <c r="C168" s="292"/>
      <c r="D168" s="292"/>
      <c r="E168" s="132" t="s">
        <v>1743</v>
      </c>
      <c r="F168" s="74" t="s">
        <v>94</v>
      </c>
      <c r="G168" s="292"/>
    </row>
    <row r="169" spans="1:15" ht="76.5" x14ac:dyDescent="0.25">
      <c r="A169" s="230" t="s">
        <v>109</v>
      </c>
      <c r="B169" s="148" t="s">
        <v>1741</v>
      </c>
      <c r="C169" s="125"/>
      <c r="D169"/>
      <c r="E169" s="132" t="s">
        <v>1695</v>
      </c>
      <c r="F169" s="74" t="s">
        <v>94</v>
      </c>
      <c r="G169" s="126"/>
    </row>
    <row r="170" spans="1:15" ht="76.5" x14ac:dyDescent="0.25">
      <c r="A170" s="230" t="s">
        <v>109</v>
      </c>
      <c r="B170" s="148" t="s">
        <v>1410</v>
      </c>
      <c r="C170" s="125"/>
      <c r="D170"/>
      <c r="E170" s="132" t="s">
        <v>1166</v>
      </c>
      <c r="F170" s="74" t="s">
        <v>94</v>
      </c>
      <c r="G170" s="9"/>
    </row>
  </sheetData>
  <mergeCells count="14">
    <mergeCell ref="A44:D44"/>
    <mergeCell ref="A5:D5"/>
    <mergeCell ref="A10:D10"/>
    <mergeCell ref="A15:D15"/>
    <mergeCell ref="A20:D20"/>
    <mergeCell ref="A38:D38"/>
    <mergeCell ref="A158:D158"/>
    <mergeCell ref="A166:D166"/>
    <mergeCell ref="A51:D51"/>
    <mergeCell ref="A67:D67"/>
    <mergeCell ref="A76:D76"/>
    <mergeCell ref="A89:D89"/>
    <mergeCell ref="A107:D107"/>
    <mergeCell ref="A117:D117"/>
  </mergeCells>
  <phoneticPr fontId="73" type="noConversion"/>
  <conditionalFormatting sqref="G160:G163 C160:C163">
    <cfRule type="cellIs" dxfId="298" priority="17" operator="equal">
      <formula>"ДА"</formula>
    </cfRule>
    <cfRule type="cellIs" dxfId="297" priority="18" operator="equal">
      <formula>"НЕТ"</formula>
    </cfRule>
    <cfRule type="cellIs" dxfId="296" priority="19" operator="equal">
      <formula>"Нет"</formula>
    </cfRule>
    <cfRule type="cellIs" dxfId="295" priority="20" operator="equal">
      <formula>"нет"</formula>
    </cfRule>
    <cfRule type="cellIs" dxfId="294" priority="21" operator="equal">
      <formula>"ДА"</formula>
    </cfRule>
    <cfRule type="containsText" dxfId="293" priority="22" operator="containsText" text="Да">
      <formula>NOT(ISERROR(SEARCH("Да",C160)))</formula>
    </cfRule>
  </conditionalFormatting>
  <conditionalFormatting sqref="E7 E12">
    <cfRule type="cellIs" dxfId="292" priority="29" operator="lessThan">
      <formula>0</formula>
    </cfRule>
    <cfRule type="cellIs" dxfId="291" priority="30" operator="greaterThan">
      <formula>0</formula>
    </cfRule>
  </conditionalFormatting>
  <conditionalFormatting sqref="D7 D12 E17">
    <cfRule type="cellIs" dxfId="290" priority="27" operator="lessThan">
      <formula>0</formula>
    </cfRule>
    <cfRule type="cellIs" dxfId="289" priority="28" operator="greaterThan">
      <formula>0</formula>
    </cfRule>
  </conditionalFormatting>
  <conditionalFormatting sqref="H69">
    <cfRule type="cellIs" dxfId="288" priority="25" operator="lessThan">
      <formula>1</formula>
    </cfRule>
    <cfRule type="cellIs" dxfId="287" priority="26" operator="greaterThan">
      <formula>1</formula>
    </cfRule>
  </conditionalFormatting>
  <conditionalFormatting sqref="H72">
    <cfRule type="cellIs" dxfId="286" priority="23" operator="lessThan">
      <formula>1</formula>
    </cfRule>
    <cfRule type="cellIs" dxfId="285" priority="24" operator="greaterThan">
      <formula>1</formula>
    </cfRule>
  </conditionalFormatting>
  <conditionalFormatting sqref="G170">
    <cfRule type="cellIs" dxfId="284" priority="7" operator="equal">
      <formula>"ДА"</formula>
    </cfRule>
    <cfRule type="cellIs" dxfId="283" priority="8" operator="equal">
      <formula>"НЕТ"</formula>
    </cfRule>
    <cfRule type="cellIs" dxfId="282" priority="9" operator="equal">
      <formula>"Нет"</formula>
    </cfRule>
    <cfRule type="cellIs" dxfId="281" priority="10" operator="equal">
      <formula>"нет"</formula>
    </cfRule>
    <cfRule type="cellIs" dxfId="280" priority="11" operator="equal">
      <formula>"ДА"</formula>
    </cfRule>
    <cfRule type="containsText" dxfId="279" priority="12" operator="containsText" text="Да">
      <formula>NOT(ISERROR(SEARCH("Да",G170)))</formula>
    </cfRule>
  </conditionalFormatting>
  <conditionalFormatting sqref="G169">
    <cfRule type="cellIs" dxfId="278" priority="1" operator="equal">
      <formula>"ДА"</formula>
    </cfRule>
    <cfRule type="cellIs" dxfId="277" priority="2" operator="equal">
      <formula>"НЕТ"</formula>
    </cfRule>
    <cfRule type="cellIs" dxfId="276" priority="3" operator="equal">
      <formula>"Нет"</formula>
    </cfRule>
    <cfRule type="cellIs" dxfId="275" priority="4" operator="equal">
      <formula>"нет"</formula>
    </cfRule>
    <cfRule type="cellIs" dxfId="274" priority="5" operator="equal">
      <formula>"ДА"</formula>
    </cfRule>
  </conditionalFormatting>
  <pageMargins left="0.7" right="0.7" top="0.75" bottom="0.75" header="0.3" footer="0.3"/>
  <pageSetup paperSize="9" orientation="portrait" r:id="rId1"/>
  <legacy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extLst>
    <ext xmlns:x14="http://schemas.microsoft.com/office/spreadsheetml/2009/9/main" uri="{78C0D931-6437-407d-A8EE-F0AAD7539E65}">
      <x14:conditionalFormattings>
        <x14:conditionalFormatting xmlns:xm="http://schemas.microsoft.com/office/excel/2006/main">
          <x14:cfRule type="containsText" priority="6" operator="containsText" text="Да" id="{946EF64B-2F4C-4A6F-B21F-A06EFB3A6A40}">
            <xm:f>NOT(ISERROR(SEARCH("Да",'Август. 25'!G256)))</xm:f>
            <x14:dxf>
              <font>
                <color rgb="FF006100"/>
              </font>
              <fill>
                <patternFill>
                  <bgColor rgb="FFC6EFCE"/>
                </patternFill>
              </fill>
            </x14:dxf>
          </x14:cfRule>
          <xm:sqref>G169</xm:sqref>
        </x14:conditionalFormatting>
      </x14:conditionalFormatting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5B17A-BE59-4F22-8987-2E94C919E5F8}">
  <dimension ref="A1:O136"/>
  <sheetViews>
    <sheetView topLeftCell="A49" zoomScale="85" zoomScaleNormal="85" workbookViewId="0">
      <selection activeCell="E127" sqref="E127"/>
    </sheetView>
  </sheetViews>
  <sheetFormatPr defaultColWidth="9.140625" defaultRowHeight="12.75" outlineLevelRow="1" x14ac:dyDescent="0.2"/>
  <cols>
    <col min="1" max="1" width="30.28515625" style="2" customWidth="1"/>
    <col min="2" max="2" width="35.7109375" style="2" customWidth="1"/>
    <col min="3" max="3" width="31.5703125" style="2" bestFit="1" customWidth="1"/>
    <col min="4" max="4" width="68" style="2" customWidth="1"/>
    <col min="5" max="5" width="34.85546875" style="2" customWidth="1"/>
    <col min="6" max="6" width="27.140625" style="2" customWidth="1"/>
    <col min="7" max="7" width="27.42578125" style="2" customWidth="1"/>
    <col min="8" max="8" width="36" style="2" customWidth="1"/>
    <col min="9" max="16384" width="9.140625" style="2"/>
  </cols>
  <sheetData>
    <row r="1" spans="1:7" ht="24.75" customHeight="1" x14ac:dyDescent="0.25">
      <c r="A1" s="134" t="s">
        <v>94</v>
      </c>
    </row>
    <row r="2" spans="1:7" ht="15.75" x14ac:dyDescent="0.25">
      <c r="A2" s="134" t="s">
        <v>2048</v>
      </c>
    </row>
    <row r="3" spans="1:7" x14ac:dyDescent="0.2">
      <c r="A3" s="3"/>
    </row>
    <row r="4" spans="1:7" ht="15.75" x14ac:dyDescent="0.25">
      <c r="A4" s="1" t="s">
        <v>0</v>
      </c>
      <c r="B4" s="2" t="s">
        <v>1</v>
      </c>
      <c r="C4" s="2" t="s">
        <v>2</v>
      </c>
    </row>
    <row r="5" spans="1:7" ht="15" x14ac:dyDescent="0.25">
      <c r="A5" s="386" t="s">
        <v>3</v>
      </c>
      <c r="B5" s="386"/>
      <c r="C5" s="386"/>
      <c r="D5" s="386"/>
      <c r="F5" s="4"/>
    </row>
    <row r="6" spans="1:7" s="6" customFormat="1" outlineLevel="1" x14ac:dyDescent="0.2">
      <c r="A6" s="5" t="s">
        <v>4</v>
      </c>
      <c r="B6" s="5" t="s">
        <v>5</v>
      </c>
      <c r="C6" s="5" t="s">
        <v>6</v>
      </c>
      <c r="D6" s="5" t="s">
        <v>7</v>
      </c>
      <c r="E6" s="5" t="s">
        <v>8</v>
      </c>
      <c r="F6" s="5" t="s">
        <v>10</v>
      </c>
      <c r="G6" s="186"/>
    </row>
    <row r="7" spans="1:7" outlineLevel="1" x14ac:dyDescent="0.2">
      <c r="A7" s="7" t="s">
        <v>94</v>
      </c>
      <c r="B7" s="8">
        <f>C31</f>
        <v>300000</v>
      </c>
      <c r="C7" s="9">
        <f>B31</f>
        <v>76597.86</v>
      </c>
      <c r="D7" s="10">
        <f>Таблица11029163037445158657223303744515865727986931009223548627690104107127139151163183152947637995111127143159175183450668298114130146545561577589605619635651667683700717163247627792107122137152182197182212[Факт, руб.]/Таблица11029163037445158657223303744515865727986931009223548627690104107127139151163183152947637995111127143159175183450668298114130146545561577589605619635651667683700717163247627792107122137152182197182212[План, руб.]-100%</f>
        <v>-0.74467379999999994</v>
      </c>
      <c r="E7" s="11">
        <f>Таблица11029163037445158657223303744515865727986931009223548627690104107127139151163183152947637995111127143159175183450668298114130146545561577589605619635651667683700717163247627792107122137152182197182212[Факт, руб.]-Таблица11029163037445158657223303744515865727986931009223548627690104107127139151163183152947637995111127143159175183450668298114130146545561577589605619635651667683700717163247627792107122137152182197182212[План, руб.]</f>
        <v>-223402.14</v>
      </c>
      <c r="F7" s="9">
        <f>B30</f>
        <v>165009.1</v>
      </c>
      <c r="G7" s="185"/>
    </row>
    <row r="8" spans="1:7" x14ac:dyDescent="0.2">
      <c r="A8" s="12"/>
      <c r="B8" s="13"/>
      <c r="C8" s="13"/>
      <c r="D8" s="14"/>
      <c r="F8" s="15"/>
      <c r="G8" s="16"/>
    </row>
    <row r="9" spans="1:7" ht="15" customHeight="1" x14ac:dyDescent="0.2">
      <c r="A9" s="12"/>
      <c r="B9" s="13"/>
      <c r="C9" s="13"/>
      <c r="D9" s="14"/>
      <c r="F9" s="17"/>
    </row>
    <row r="10" spans="1:7" ht="15" x14ac:dyDescent="0.25">
      <c r="A10" s="386" t="s">
        <v>11</v>
      </c>
      <c r="B10" s="386"/>
      <c r="C10" s="386"/>
      <c r="D10" s="386"/>
      <c r="F10" s="17"/>
    </row>
    <row r="11" spans="1:7" s="6" customFormat="1" outlineLevel="1" x14ac:dyDescent="0.2">
      <c r="A11" s="18" t="s">
        <v>4</v>
      </c>
      <c r="B11" s="19" t="s">
        <v>12</v>
      </c>
      <c r="C11" s="19" t="s">
        <v>13</v>
      </c>
      <c r="D11" s="19" t="s">
        <v>7</v>
      </c>
      <c r="E11" s="19" t="s">
        <v>8</v>
      </c>
      <c r="F11" s="20"/>
    </row>
    <row r="12" spans="1:7" outlineLevel="1" x14ac:dyDescent="0.2">
      <c r="A12" s="7" t="s">
        <v>94</v>
      </c>
      <c r="B12" s="8">
        <f>SUM(C22:C31)</f>
        <v>2600000</v>
      </c>
      <c r="C12" s="8">
        <f>B34</f>
        <v>1206593.5000000002</v>
      </c>
      <c r="D12" s="21">
        <f>C12/B12-100%</f>
        <v>-0.53592557692307685</v>
      </c>
      <c r="E12" s="8">
        <f>C12-B12</f>
        <v>-1393406.4999999998</v>
      </c>
      <c r="F12" s="17"/>
      <c r="G12" s="22"/>
    </row>
    <row r="13" spans="1:7" x14ac:dyDescent="0.2">
      <c r="A13" s="12"/>
      <c r="B13" s="13"/>
      <c r="C13" s="13"/>
      <c r="D13" s="14"/>
      <c r="F13" s="17"/>
    </row>
    <row r="14" spans="1:7" x14ac:dyDescent="0.2">
      <c r="A14" s="13"/>
      <c r="B14" s="13"/>
      <c r="C14" s="13"/>
      <c r="D14" s="14"/>
      <c r="F14" s="17"/>
      <c r="G14" s="22"/>
    </row>
    <row r="15" spans="1:7" ht="15" x14ac:dyDescent="0.25">
      <c r="A15" s="386" t="s">
        <v>393</v>
      </c>
      <c r="B15" s="386"/>
      <c r="C15" s="386"/>
      <c r="D15" s="386"/>
      <c r="F15" s="17"/>
    </row>
    <row r="16" spans="1:7" s="6" customFormat="1" outlineLevel="1" x14ac:dyDescent="0.2">
      <c r="A16" s="5" t="s">
        <v>4</v>
      </c>
      <c r="B16" s="5" t="s">
        <v>16</v>
      </c>
      <c r="C16" s="5" t="s">
        <v>93</v>
      </c>
      <c r="D16" s="5" t="s">
        <v>1037</v>
      </c>
      <c r="E16" s="5" t="s">
        <v>17</v>
      </c>
      <c r="F16" s="23"/>
    </row>
    <row r="17" spans="1:5" outlineLevel="1" x14ac:dyDescent="0.2">
      <c r="A17" s="7" t="s">
        <v>94</v>
      </c>
      <c r="B17" s="8">
        <v>0</v>
      </c>
      <c r="C17" s="24">
        <v>38704</v>
      </c>
      <c r="D17" s="24">
        <f>B34</f>
        <v>1206593.5000000002</v>
      </c>
      <c r="E17" s="21">
        <f>Таблица211301731384552596673243138455259667380879410110233649637791105109128140152164184163248648096112128144160176193551678399115131147546562578590606620636652668684701718173348637893108123138153183198183213[Профит ФГ 25-26]/Таблица211301731384552596673243138455259667380879410110233649637791105109128140152164184163248648096112128144160176193551678399115131147546562578590606620636652668684701718173348637893108123138153183198183213[Профит ФГ 24-25]</f>
        <v>31.174904402645726</v>
      </c>
    </row>
    <row r="20" spans="1:5" ht="15" x14ac:dyDescent="0.25">
      <c r="A20" s="386" t="s">
        <v>18</v>
      </c>
      <c r="B20" s="386"/>
      <c r="C20" s="386"/>
      <c r="D20" s="386"/>
    </row>
    <row r="21" spans="1:5" outlineLevel="1" x14ac:dyDescent="0.2">
      <c r="A21" s="25" t="s">
        <v>19</v>
      </c>
      <c r="B21" s="26" t="s">
        <v>20</v>
      </c>
      <c r="C21" s="26" t="s">
        <v>21</v>
      </c>
      <c r="D21" s="25" t="s">
        <v>22</v>
      </c>
    </row>
    <row r="22" spans="1:5" outlineLevel="1" x14ac:dyDescent="0.2">
      <c r="A22" s="30" t="s">
        <v>23</v>
      </c>
      <c r="B22" s="31">
        <v>255961.25</v>
      </c>
      <c r="C22" s="31">
        <v>170000</v>
      </c>
      <c r="D22" s="32">
        <f>Таблица4936997167333146617691106121136151166196211196226[[#This Row],[Профит]]/Таблица4936997167333146617691106121136151166196211196226[[#This Row],[План]]</f>
        <v>1.5056544117647059</v>
      </c>
    </row>
    <row r="23" spans="1:5" outlineLevel="1" x14ac:dyDescent="0.2">
      <c r="A23" s="30" t="s">
        <v>25</v>
      </c>
      <c r="B23" s="135">
        <v>85933.41</v>
      </c>
      <c r="C23" s="31">
        <v>190000</v>
      </c>
      <c r="D23" s="32">
        <f>Таблица4936997167333146617691106121136151166196211196226[[#This Row],[Профит]]/Таблица4936997167333146617691106121136151166196211196226[[#This Row],[План]]</f>
        <v>0.4522811052631579</v>
      </c>
    </row>
    <row r="24" spans="1:5" outlineLevel="1" x14ac:dyDescent="0.2">
      <c r="A24" s="30" t="s">
        <v>26</v>
      </c>
      <c r="B24" s="135">
        <v>60194.18</v>
      </c>
      <c r="C24" s="31">
        <v>210000</v>
      </c>
      <c r="D24" s="32">
        <f>Таблица4936997167333146617691106121136151166196211196226[[#This Row],[Профит]]/Таблица4936997167333146617691106121136151166196211196226[[#This Row],[План]]</f>
        <v>0.28663895238095238</v>
      </c>
    </row>
    <row r="25" spans="1:5" outlineLevel="1" x14ac:dyDescent="0.2">
      <c r="A25" s="30" t="s">
        <v>27</v>
      </c>
      <c r="B25" s="135">
        <v>88786.75</v>
      </c>
      <c r="C25" s="31">
        <v>220000</v>
      </c>
      <c r="D25" s="32">
        <f>Таблица4936997167333146617691106121136151166196211196226[[#This Row],[Профит]]/Таблица4936997167333146617691106121136151166196211196226[[#This Row],[План]]</f>
        <v>0.40357613636363637</v>
      </c>
    </row>
    <row r="26" spans="1:5" outlineLevel="1" x14ac:dyDescent="0.2">
      <c r="A26" s="30" t="s">
        <v>28</v>
      </c>
      <c r="B26" s="135">
        <v>51147.62</v>
      </c>
      <c r="C26" s="31">
        <v>250000</v>
      </c>
      <c r="D26" s="32">
        <f>Таблица4936997167333146617691106121136151166196211196226[[#This Row],[Профит]]/Таблица4936997167333146617691106121136151166196211196226[[#This Row],[План]]</f>
        <v>0.20459048000000002</v>
      </c>
    </row>
    <row r="27" spans="1:5" outlineLevel="1" x14ac:dyDescent="0.2">
      <c r="A27" s="30" t="s">
        <v>29</v>
      </c>
      <c r="B27" s="135">
        <v>126413.71</v>
      </c>
      <c r="C27" s="31">
        <v>270000</v>
      </c>
      <c r="D27" s="32">
        <f>Таблица4936997167333146617691106121136151166196211196226[[#This Row],[Профит]]/Таблица4936997167333146617691106121136151166196211196226[[#This Row],[План]]</f>
        <v>0.46819892592592594</v>
      </c>
    </row>
    <row r="28" spans="1:5" outlineLevel="1" x14ac:dyDescent="0.2">
      <c r="A28" s="30" t="s">
        <v>30</v>
      </c>
      <c r="B28" s="135">
        <v>140829.10999999999</v>
      </c>
      <c r="C28" s="31">
        <v>270000</v>
      </c>
      <c r="D28" s="32">
        <f>Таблица4936997167333146617691106121136151166196211196226[[#This Row],[Профит]]/Таблица4936997167333146617691106121136151166196211196226[[#This Row],[План]]</f>
        <v>0.52158929629629625</v>
      </c>
    </row>
    <row r="29" spans="1:5" outlineLevel="1" x14ac:dyDescent="0.2">
      <c r="A29" s="30" t="s">
        <v>31</v>
      </c>
      <c r="B29" s="31">
        <v>155720.51</v>
      </c>
      <c r="C29" s="31">
        <v>330000</v>
      </c>
      <c r="D29" s="32">
        <f>Таблица4936997167333146617691106121136151166196211196226[[#This Row],[Профит]]/Таблица4936997167333146617691106121136151166196211196226[[#This Row],[План]]</f>
        <v>0.47188033333333335</v>
      </c>
    </row>
    <row r="30" spans="1:5" outlineLevel="1" x14ac:dyDescent="0.2">
      <c r="A30" s="30" t="s">
        <v>32</v>
      </c>
      <c r="B30" s="34">
        <v>165009.1</v>
      </c>
      <c r="C30" s="34">
        <v>390000</v>
      </c>
      <c r="D30" s="32">
        <f>Таблица4936997167333146617691106121136151166196211196226[[#This Row],[Профит]]/Таблица4936997167333146617691106121136151166196211196226[[#This Row],[План]]</f>
        <v>0.42310025641025645</v>
      </c>
    </row>
    <row r="31" spans="1:5" outlineLevel="1" x14ac:dyDescent="0.2">
      <c r="A31" s="30" t="s">
        <v>33</v>
      </c>
      <c r="B31" s="34">
        <v>76597.86</v>
      </c>
      <c r="C31" s="34">
        <v>300000</v>
      </c>
      <c r="D31" s="32">
        <f>Таблица4936997167333146617691106121136151166196211196226[[#This Row],[Профит]]/Таблица4936997167333146617691106121136151166196211196226[[#This Row],[План]]</f>
        <v>0.2553262</v>
      </c>
    </row>
    <row r="32" spans="1:5" outlineLevel="1" x14ac:dyDescent="0.2">
      <c r="A32" s="30" t="s">
        <v>34</v>
      </c>
      <c r="B32" s="34">
        <v>0</v>
      </c>
      <c r="C32" s="34">
        <v>330000</v>
      </c>
      <c r="D32" s="32">
        <f>Таблица4936997167333146617691106121136151166196211196226[[#This Row],[Профит]]/Таблица4936997167333146617691106121136151166196211196226[[#This Row],[План]]</f>
        <v>0</v>
      </c>
    </row>
    <row r="33" spans="1:8" outlineLevel="1" x14ac:dyDescent="0.2">
      <c r="A33" s="33" t="s">
        <v>35</v>
      </c>
      <c r="B33" s="34">
        <v>0</v>
      </c>
      <c r="C33" s="34">
        <v>360000</v>
      </c>
      <c r="D33" s="32">
        <f>Таблица4936997167333146617691106121136151166196211196226[[#This Row],[Профит]]/Таблица4936997167333146617691106121136151166196211196226[[#This Row],[План]]</f>
        <v>0</v>
      </c>
      <c r="H33" s="35"/>
    </row>
    <row r="34" spans="1:8" ht="15" outlineLevel="1" x14ac:dyDescent="0.25">
      <c r="A34" s="36" t="s">
        <v>36</v>
      </c>
      <c r="B34" s="37">
        <f>SUM(B22:B33)</f>
        <v>1206593.5000000002</v>
      </c>
      <c r="C34" s="38">
        <f>SUM(C22:C33)</f>
        <v>3290000</v>
      </c>
      <c r="D34" s="39"/>
    </row>
    <row r="35" spans="1:8" outlineLevel="1" x14ac:dyDescent="0.2">
      <c r="A35" s="41" t="s">
        <v>37</v>
      </c>
      <c r="B35" s="42">
        <f>AVERAGE(B22:B31)</f>
        <v>120659.35000000002</v>
      </c>
      <c r="C35" s="42">
        <f>AVERAGE(C22:C33)</f>
        <v>274166.66666666669</v>
      </c>
      <c r="D35" s="43" t="e">
        <f>B35/C312</f>
        <v>#DIV/0!</v>
      </c>
    </row>
    <row r="38" spans="1:8" ht="15" x14ac:dyDescent="0.25">
      <c r="A38" s="386" t="s">
        <v>38</v>
      </c>
      <c r="B38" s="386"/>
      <c r="C38" s="386"/>
      <c r="D38" s="386"/>
    </row>
    <row r="39" spans="1:8" s="45" customFormat="1" outlineLevel="1" x14ac:dyDescent="0.2">
      <c r="A39" s="44" t="s">
        <v>39</v>
      </c>
      <c r="B39" s="44" t="s">
        <v>40</v>
      </c>
      <c r="C39" s="44" t="s">
        <v>41</v>
      </c>
      <c r="D39" s="44" t="s">
        <v>42</v>
      </c>
      <c r="E39" s="44" t="s">
        <v>43</v>
      </c>
      <c r="F39" s="2"/>
    </row>
    <row r="40" spans="1:8" outlineLevel="1" x14ac:dyDescent="0.2">
      <c r="A40" s="8">
        <f>B31</f>
        <v>76597.86</v>
      </c>
      <c r="B40" s="46">
        <f>50000</f>
        <v>50000</v>
      </c>
      <c r="C40" s="136">
        <f>A40*0.07*1</f>
        <v>5361.8502000000008</v>
      </c>
      <c r="D40" s="47">
        <f>SUM(G126:G128)</f>
        <v>4000</v>
      </c>
      <c r="E40" s="48">
        <v>0</v>
      </c>
    </row>
    <row r="41" spans="1:8" outlineLevel="1" x14ac:dyDescent="0.2">
      <c r="A41" s="49" t="s">
        <v>44</v>
      </c>
      <c r="B41" s="137">
        <f>Таблица294459759110712313915517118730466278941101261421585565725886026166306466626786947117282843587388103118133148163193208193223[Оклад]+Таблица294459759110712313915517118730466278941101261421585565725886026166306466626786947117282843587388103118133148163193208193223[Премия]+Таблица294459759110712313915517118730466278941101261421585565725886026166306466626786947117282843587388103118133148163193208193223[Штрафы]+Таблица294459759110712313915517118730466278941101261421585565725886026166306466626786947117282843587388103118133148163193208193223[Доплата за Задачи]</f>
        <v>59361.850200000001</v>
      </c>
      <c r="C41" s="50"/>
    </row>
    <row r="42" spans="1:8" x14ac:dyDescent="0.2">
      <c r="A42" s="40"/>
      <c r="B42" s="40"/>
    </row>
    <row r="43" spans="1:8" x14ac:dyDescent="0.2">
      <c r="A43" s="51"/>
      <c r="B43" s="51"/>
      <c r="C43" s="51"/>
      <c r="D43" s="52"/>
      <c r="E43" s="53"/>
      <c r="F43" s="53"/>
      <c r="H43" s="22"/>
    </row>
    <row r="44" spans="1:8" ht="15" x14ac:dyDescent="0.25">
      <c r="A44" s="386" t="s">
        <v>45</v>
      </c>
      <c r="B44" s="386"/>
      <c r="C44" s="386"/>
      <c r="D44" s="386"/>
      <c r="E44" s="53"/>
      <c r="F44" s="53"/>
      <c r="H44" s="22"/>
    </row>
    <row r="45" spans="1:8" outlineLevel="1" x14ac:dyDescent="0.2">
      <c r="A45" s="5" t="s">
        <v>46</v>
      </c>
      <c r="B45" s="5" t="s">
        <v>47</v>
      </c>
      <c r="C45" s="5" t="s">
        <v>48</v>
      </c>
      <c r="D45" s="54" t="s">
        <v>49</v>
      </c>
      <c r="G45" s="40"/>
    </row>
    <row r="46" spans="1:8" ht="24.95" customHeight="1" outlineLevel="1" x14ac:dyDescent="0.2">
      <c r="A46" s="55" t="s">
        <v>2037</v>
      </c>
      <c r="B46" s="58">
        <v>0</v>
      </c>
      <c r="C46" s="58">
        <v>278550</v>
      </c>
      <c r="D46" s="57">
        <v>0</v>
      </c>
      <c r="G46" s="62"/>
      <c r="H46" s="6"/>
    </row>
    <row r="47" spans="1:8" outlineLevel="1" x14ac:dyDescent="0.2">
      <c r="A47" s="63"/>
      <c r="B47" s="64" t="s">
        <v>50</v>
      </c>
      <c r="C47" s="65">
        <f>SUM(Таблица546243318323946536067742532394653606774818895102112437506478921061101291411531651851733496581971131291451611772036526884100116132148547563579593607621637653669685702719193449647994109124139154184199184214[Общая сумма долга])</f>
        <v>278550</v>
      </c>
      <c r="D47" s="66">
        <v>0</v>
      </c>
      <c r="E47" s="67" t="s">
        <v>51</v>
      </c>
      <c r="F47" s="51"/>
      <c r="G47" s="51"/>
      <c r="H47" s="51"/>
    </row>
    <row r="48" spans="1:8" outlineLevel="1" x14ac:dyDescent="0.2">
      <c r="A48" s="63"/>
      <c r="B48" s="64"/>
      <c r="C48" s="65"/>
      <c r="D48" s="51"/>
      <c r="E48" s="51"/>
      <c r="F48" s="51"/>
      <c r="G48" s="51"/>
      <c r="H48" s="51"/>
    </row>
    <row r="49" spans="1:8" x14ac:dyDescent="0.2">
      <c r="A49" s="63"/>
      <c r="B49" s="51"/>
      <c r="C49" s="51"/>
      <c r="D49" s="52"/>
      <c r="E49" s="51"/>
      <c r="F49" s="53"/>
      <c r="G49" s="51"/>
      <c r="H49" s="68"/>
    </row>
    <row r="50" spans="1:8" x14ac:dyDescent="0.2">
      <c r="A50" s="63"/>
      <c r="B50" s="51"/>
      <c r="C50" s="51"/>
      <c r="D50" s="52"/>
      <c r="E50" s="51"/>
      <c r="F50" s="53"/>
      <c r="G50" s="51"/>
      <c r="H50" s="68"/>
    </row>
    <row r="51" spans="1:8" ht="15" x14ac:dyDescent="0.25">
      <c r="A51" s="387" t="s">
        <v>52</v>
      </c>
      <c r="B51" s="387"/>
      <c r="C51" s="387"/>
      <c r="D51" s="387"/>
      <c r="E51" s="53"/>
      <c r="F51" s="53"/>
      <c r="G51" s="51"/>
    </row>
    <row r="52" spans="1:8" s="6" customFormat="1" outlineLevel="1" x14ac:dyDescent="0.2">
      <c r="A52" s="18" t="s">
        <v>53</v>
      </c>
      <c r="B52" s="19" t="s">
        <v>54</v>
      </c>
      <c r="C52" s="19" t="s">
        <v>55</v>
      </c>
      <c r="D52" s="69" t="s">
        <v>56</v>
      </c>
      <c r="E52" s="69" t="s">
        <v>4</v>
      </c>
      <c r="F52" s="70" t="s">
        <v>57</v>
      </c>
      <c r="G52" s="277"/>
    </row>
    <row r="53" spans="1:8" s="6" customFormat="1" ht="26.25" customHeight="1" outlineLevel="1" x14ac:dyDescent="0.2">
      <c r="A53" s="173" t="s">
        <v>1154</v>
      </c>
      <c r="B53" s="246">
        <v>39832.79</v>
      </c>
      <c r="C53" s="131">
        <v>39832.79</v>
      </c>
      <c r="D53" s="249">
        <v>1</v>
      </c>
      <c r="E53" s="177" t="s">
        <v>94</v>
      </c>
      <c r="F53" s="250" t="s">
        <v>2000</v>
      </c>
    </row>
    <row r="54" spans="1:8" s="6" customFormat="1" ht="26.25" customHeight="1" outlineLevel="1" x14ac:dyDescent="0.2">
      <c r="A54" s="173" t="s">
        <v>2037</v>
      </c>
      <c r="B54" s="246">
        <v>353694</v>
      </c>
      <c r="C54" s="131">
        <v>25577.86</v>
      </c>
      <c r="D54" s="249">
        <v>7.8E-2</v>
      </c>
      <c r="E54" s="177" t="s">
        <v>94</v>
      </c>
      <c r="F54" s="250" t="s">
        <v>1012</v>
      </c>
    </row>
    <row r="55" spans="1:8" s="6" customFormat="1" ht="26.25" customHeight="1" outlineLevel="1" x14ac:dyDescent="0.2">
      <c r="A55" s="173" t="s">
        <v>2134</v>
      </c>
      <c r="B55" s="246">
        <v>160000</v>
      </c>
      <c r="C55" s="131">
        <v>10067</v>
      </c>
      <c r="D55" s="249">
        <v>6.7000000000000004E-2</v>
      </c>
      <c r="E55" s="177" t="s">
        <v>94</v>
      </c>
      <c r="F55" s="250" t="s">
        <v>2137</v>
      </c>
    </row>
    <row r="56" spans="1:8" s="6" customFormat="1" ht="26.25" customHeight="1" outlineLevel="1" x14ac:dyDescent="0.2">
      <c r="A56" s="173" t="s">
        <v>1825</v>
      </c>
      <c r="B56" s="246">
        <v>39000</v>
      </c>
      <c r="C56" s="131">
        <v>5118.16</v>
      </c>
      <c r="D56" s="249">
        <v>0.151</v>
      </c>
      <c r="E56" s="177" t="s">
        <v>94</v>
      </c>
      <c r="F56" s="250" t="s">
        <v>102</v>
      </c>
    </row>
    <row r="57" spans="1:8" s="6" customFormat="1" ht="24.75" customHeight="1" outlineLevel="1" x14ac:dyDescent="0.2">
      <c r="A57" s="173" t="s">
        <v>2136</v>
      </c>
      <c r="B57" s="246">
        <v>93345</v>
      </c>
      <c r="C57" s="131">
        <v>4445</v>
      </c>
      <c r="D57" s="249">
        <v>0.05</v>
      </c>
      <c r="E57" s="177" t="s">
        <v>94</v>
      </c>
      <c r="F57" s="250" t="s">
        <v>2035</v>
      </c>
    </row>
    <row r="58" spans="1:8" s="6" customFormat="1" ht="41.25" customHeight="1" outlineLevel="1" x14ac:dyDescent="0.2">
      <c r="A58" s="173" t="s">
        <v>2135</v>
      </c>
      <c r="B58" s="323">
        <v>10950</v>
      </c>
      <c r="C58" s="131">
        <v>2850.05</v>
      </c>
      <c r="D58" s="249">
        <v>0.35199999999999998</v>
      </c>
      <c r="E58" s="177" t="s">
        <v>94</v>
      </c>
      <c r="F58" s="250" t="s">
        <v>1828</v>
      </c>
    </row>
    <row r="59" spans="1:8" s="6" customFormat="1" ht="24" customHeight="1" outlineLevel="1" x14ac:dyDescent="0.2">
      <c r="A59" s="173" t="s">
        <v>1729</v>
      </c>
      <c r="B59" s="246">
        <v>11150</v>
      </c>
      <c r="C59" s="131">
        <v>730</v>
      </c>
      <c r="D59" s="249">
        <v>7.0000000000000007E-2</v>
      </c>
      <c r="E59" s="177" t="s">
        <v>94</v>
      </c>
      <c r="F59" s="250" t="s">
        <v>251</v>
      </c>
    </row>
    <row r="60" spans="1:8" s="6" customFormat="1" ht="24" customHeight="1" outlineLevel="1" x14ac:dyDescent="0.2">
      <c r="A60" s="173" t="s">
        <v>1823</v>
      </c>
      <c r="B60" s="246">
        <v>-3800</v>
      </c>
      <c r="C60" s="131">
        <v>-387</v>
      </c>
      <c r="D60" s="249">
        <v>0.113</v>
      </c>
      <c r="E60" s="177" t="s">
        <v>94</v>
      </c>
      <c r="F60" s="250" t="s">
        <v>1828</v>
      </c>
    </row>
    <row r="61" spans="1:8" s="6" customFormat="1" ht="24" customHeight="1" outlineLevel="1" x14ac:dyDescent="0.2">
      <c r="A61" s="173" t="s">
        <v>1838</v>
      </c>
      <c r="B61" s="246">
        <v>0</v>
      </c>
      <c r="C61" s="131">
        <v>-11636</v>
      </c>
      <c r="D61" s="249">
        <v>-1</v>
      </c>
      <c r="E61" s="177" t="s">
        <v>94</v>
      </c>
      <c r="F61" s="250" t="s">
        <v>2138</v>
      </c>
    </row>
    <row r="62" spans="1:8" x14ac:dyDescent="0.2">
      <c r="A62" s="51"/>
      <c r="B62" s="51"/>
      <c r="C62" s="51"/>
      <c r="D62" s="52"/>
      <c r="E62" s="51"/>
      <c r="F62" s="53"/>
      <c r="G62" s="51"/>
    </row>
    <row r="63" spans="1:8" ht="15" x14ac:dyDescent="0.25">
      <c r="A63" s="386" t="s">
        <v>58</v>
      </c>
      <c r="B63" s="386"/>
      <c r="C63" s="386"/>
      <c r="D63" s="386"/>
      <c r="E63" s="79"/>
      <c r="F63" s="79"/>
    </row>
    <row r="64" spans="1:8" ht="15" customHeight="1" outlineLevel="1" x14ac:dyDescent="0.2">
      <c r="A64" s="80">
        <v>46023</v>
      </c>
      <c r="B64" s="81" t="s">
        <v>21</v>
      </c>
      <c r="C64" s="81" t="s">
        <v>59</v>
      </c>
      <c r="D64" s="81" t="s">
        <v>60</v>
      </c>
      <c r="E64" s="81" t="s">
        <v>61</v>
      </c>
      <c r="F64" s="81" t="s">
        <v>62</v>
      </c>
      <c r="G64" s="81" t="s">
        <v>63</v>
      </c>
      <c r="H64" s="81" t="s">
        <v>64</v>
      </c>
    </row>
    <row r="65" spans="1:10" outlineLevel="1" x14ac:dyDescent="0.2">
      <c r="A65" s="82"/>
      <c r="B65" s="282">
        <v>330000</v>
      </c>
      <c r="C65" s="354">
        <v>0</v>
      </c>
      <c r="D65" s="354">
        <v>39000</v>
      </c>
      <c r="E65" s="354">
        <v>0</v>
      </c>
      <c r="F65" s="354">
        <v>377000</v>
      </c>
      <c r="G65" s="72">
        <f>C65+D65+E65*0.5+F65*0.05</f>
        <v>57850</v>
      </c>
      <c r="H65" s="284">
        <f>Таблица9132738193340475461687582899682891101171241311381451521591661731801871945121926334047546168758289961031101171241311381451521591661741821902052131241361481601721922440627894110126142158174190334965819711312914516155957559160361763164766367969571224[[#This Row],[Столбец6]]/Таблица9132738193340475461687582899682891101171241311381451521591661731801871945121926334047546168758289961031101171241311381451521591661741821902052131241361481601721922440627894110126142158174190334965819711312914516155957559160361763164766367969571224[[#This Row],[Столбец1]]</f>
        <v>0.17530303030303029</v>
      </c>
    </row>
    <row r="66" spans="1:10" outlineLevel="1" x14ac:dyDescent="0.2">
      <c r="A66" s="40"/>
      <c r="B66" s="40"/>
      <c r="C66" s="40"/>
      <c r="D66" s="40"/>
      <c r="E66" s="40"/>
      <c r="F66" s="40"/>
      <c r="G66" s="40"/>
      <c r="H66" s="86"/>
    </row>
    <row r="67" spans="1:10" outlineLevel="1" x14ac:dyDescent="0.2">
      <c r="A67" s="80">
        <v>46054</v>
      </c>
      <c r="B67" s="81" t="s">
        <v>21</v>
      </c>
      <c r="C67" s="81" t="s">
        <v>59</v>
      </c>
      <c r="D67" s="81" t="s">
        <v>60</v>
      </c>
      <c r="E67" s="81" t="s">
        <v>61</v>
      </c>
      <c r="F67" s="81" t="s">
        <v>62</v>
      </c>
      <c r="G67" s="81" t="s">
        <v>63</v>
      </c>
      <c r="H67" s="81" t="s">
        <v>64</v>
      </c>
    </row>
    <row r="68" spans="1:10" ht="15" customHeight="1" outlineLevel="1" x14ac:dyDescent="0.2">
      <c r="A68" s="87"/>
      <c r="B68" s="282">
        <v>360000</v>
      </c>
      <c r="C68" s="354">
        <v>0</v>
      </c>
      <c r="D68" s="354">
        <v>0</v>
      </c>
      <c r="E68" s="354">
        <v>97000</v>
      </c>
      <c r="F68" s="354">
        <v>841000</v>
      </c>
      <c r="G68" s="72">
        <f>C68+D68+E68*0.5+F68*0.05</f>
        <v>90550</v>
      </c>
      <c r="H68" s="284">
        <f>Таблица9132738193340475461687582899682891101171241311381451521591661731801871945121926334047546168758289961031101171241311381451521591661741821902052131191251371491611731932541567288104120136152168184274359759110712313915555356958559961362764365967569220[[#This Row],[Столбец6]]/Таблица9132738193340475461687582899682891101171241311381451521591661731801871945121926334047546168758289961031101171241311381451521591661741821902052131191251371491611731932541567288104120136152168184274359759110712313915555356958559961362764365967569220[[#This Row],[Столбец1]]</f>
        <v>0.25152777777777779</v>
      </c>
    </row>
    <row r="69" spans="1:10" x14ac:dyDescent="0.2">
      <c r="A69" s="63"/>
      <c r="B69" s="51"/>
      <c r="C69" s="51"/>
      <c r="D69" s="52"/>
      <c r="E69" s="51"/>
    </row>
    <row r="70" spans="1:10" x14ac:dyDescent="0.2">
      <c r="A70" s="51"/>
      <c r="B70" s="51"/>
      <c r="C70" s="51"/>
      <c r="D70" s="52"/>
      <c r="E70" s="51"/>
    </row>
    <row r="71" spans="1:10" ht="15.75" x14ac:dyDescent="0.25">
      <c r="A71" s="88" t="s">
        <v>65</v>
      </c>
      <c r="B71" s="89"/>
    </row>
    <row r="72" spans="1:10" ht="15" x14ac:dyDescent="0.25">
      <c r="A72" s="387" t="s">
        <v>66</v>
      </c>
      <c r="B72" s="387"/>
      <c r="C72" s="387"/>
      <c r="D72" s="387"/>
      <c r="E72" s="90"/>
      <c r="F72" s="90"/>
      <c r="G72" s="235">
        <f>SUM(Таблица4211720344148556269768390978390111118125132139146153160167174181188195613202734414855626976839097104111118125132139146153160167175183198206214123135147159171191233955718710311913515116718326425874901061221381545525685845986126266426586746907077219[Сумма, тыс. руб.])*1000</f>
        <v>10143000</v>
      </c>
      <c r="H72" s="276"/>
    </row>
    <row r="73" spans="1:10" outlineLevel="1" x14ac:dyDescent="0.2">
      <c r="A73" s="91" t="s">
        <v>67</v>
      </c>
      <c r="B73" s="91" t="s">
        <v>53</v>
      </c>
      <c r="C73" s="91" t="s">
        <v>4</v>
      </c>
      <c r="D73" s="91" t="s">
        <v>68</v>
      </c>
      <c r="E73" s="91" t="s">
        <v>69</v>
      </c>
      <c r="F73" s="91" t="s">
        <v>70</v>
      </c>
      <c r="G73" s="91" t="s">
        <v>71</v>
      </c>
      <c r="H73" s="91" t="s">
        <v>72</v>
      </c>
      <c r="I73" s="276"/>
      <c r="J73" s="276"/>
    </row>
    <row r="74" spans="1:10" s="258" customFormat="1" ht="24.95" customHeight="1" outlineLevel="1" x14ac:dyDescent="0.2">
      <c r="A74" s="230" t="s">
        <v>2020</v>
      </c>
      <c r="B74" s="230" t="s">
        <v>1041</v>
      </c>
      <c r="C74" s="177" t="s">
        <v>94</v>
      </c>
      <c r="D74" s="173" t="s">
        <v>73</v>
      </c>
      <c r="E74" s="230" t="s">
        <v>2032</v>
      </c>
      <c r="F74" s="218" t="s">
        <v>1347</v>
      </c>
      <c r="G74" s="131">
        <v>2512</v>
      </c>
      <c r="H74" s="173" t="s">
        <v>1019</v>
      </c>
    </row>
    <row r="75" spans="1:10" s="258" customFormat="1" ht="24.95" customHeight="1" outlineLevel="1" x14ac:dyDescent="0.2">
      <c r="A75" s="190" t="s">
        <v>2147</v>
      </c>
      <c r="B75" s="176" t="s">
        <v>2148</v>
      </c>
      <c r="C75" s="177" t="s">
        <v>94</v>
      </c>
      <c r="D75" s="173" t="s">
        <v>73</v>
      </c>
      <c r="E75" s="178" t="s">
        <v>1829</v>
      </c>
      <c r="F75" s="218" t="s">
        <v>2036</v>
      </c>
      <c r="G75" s="131">
        <v>1572</v>
      </c>
      <c r="H75" s="173" t="s">
        <v>168</v>
      </c>
    </row>
    <row r="76" spans="1:10" s="258" customFormat="1" ht="24.95" customHeight="1" outlineLevel="1" x14ac:dyDescent="0.2">
      <c r="A76" s="190" t="s">
        <v>1577</v>
      </c>
      <c r="B76" s="176" t="s">
        <v>1580</v>
      </c>
      <c r="C76" s="177" t="s">
        <v>94</v>
      </c>
      <c r="D76" s="173" t="s">
        <v>1581</v>
      </c>
      <c r="E76" s="178" t="s">
        <v>1583</v>
      </c>
      <c r="F76" s="218" t="s">
        <v>2036</v>
      </c>
      <c r="G76" s="131">
        <v>1240</v>
      </c>
      <c r="H76" s="173" t="s">
        <v>168</v>
      </c>
    </row>
    <row r="77" spans="1:10" s="258" customFormat="1" ht="24.95" customHeight="1" outlineLevel="1" x14ac:dyDescent="0.2">
      <c r="A77" s="190" t="s">
        <v>2038</v>
      </c>
      <c r="B77" s="176" t="s">
        <v>1780</v>
      </c>
      <c r="C77" s="177" t="s">
        <v>94</v>
      </c>
      <c r="D77" s="173" t="s">
        <v>73</v>
      </c>
      <c r="E77" s="178" t="s">
        <v>2040</v>
      </c>
      <c r="F77" s="218" t="s">
        <v>2036</v>
      </c>
      <c r="G77" s="131">
        <v>1079</v>
      </c>
      <c r="H77" s="173" t="s">
        <v>168</v>
      </c>
    </row>
    <row r="78" spans="1:10" s="258" customFormat="1" ht="24.95" customHeight="1" outlineLevel="1" x14ac:dyDescent="0.2">
      <c r="A78" s="190" t="s">
        <v>1765</v>
      </c>
      <c r="B78" s="176" t="s">
        <v>1766</v>
      </c>
      <c r="C78" s="177" t="s">
        <v>94</v>
      </c>
      <c r="D78" s="173" t="s">
        <v>73</v>
      </c>
      <c r="E78" s="178" t="s">
        <v>1783</v>
      </c>
      <c r="F78" s="218" t="s">
        <v>1347</v>
      </c>
      <c r="G78" s="131">
        <v>1000</v>
      </c>
      <c r="H78" s="173" t="s">
        <v>1019</v>
      </c>
    </row>
    <row r="79" spans="1:10" s="258" customFormat="1" ht="24.95" customHeight="1" outlineLevel="1" x14ac:dyDescent="0.2">
      <c r="A79" s="190" t="s">
        <v>2149</v>
      </c>
      <c r="B79" s="176" t="s">
        <v>2150</v>
      </c>
      <c r="C79" s="177" t="s">
        <v>94</v>
      </c>
      <c r="D79" s="173" t="s">
        <v>73</v>
      </c>
      <c r="E79" s="178" t="s">
        <v>2154</v>
      </c>
      <c r="F79" s="218" t="s">
        <v>2036</v>
      </c>
      <c r="G79" s="131">
        <v>700</v>
      </c>
      <c r="H79" s="173" t="s">
        <v>168</v>
      </c>
    </row>
    <row r="80" spans="1:10" s="258" customFormat="1" ht="24.95" customHeight="1" outlineLevel="1" x14ac:dyDescent="0.2">
      <c r="A80" s="190" t="s">
        <v>2151</v>
      </c>
      <c r="B80" s="176" t="s">
        <v>2148</v>
      </c>
      <c r="C80" s="177" t="s">
        <v>94</v>
      </c>
      <c r="D80" s="173" t="s">
        <v>73</v>
      </c>
      <c r="E80" s="178" t="s">
        <v>2155</v>
      </c>
      <c r="F80" s="218" t="s">
        <v>2036</v>
      </c>
      <c r="G80" s="131">
        <v>511</v>
      </c>
      <c r="H80" s="173" t="s">
        <v>168</v>
      </c>
    </row>
    <row r="81" spans="1:8" s="258" customFormat="1" ht="24.95" customHeight="1" outlineLevel="1" x14ac:dyDescent="0.2">
      <c r="A81" s="190" t="s">
        <v>1345</v>
      </c>
      <c r="B81" s="176" t="s">
        <v>1346</v>
      </c>
      <c r="C81" s="177" t="s">
        <v>94</v>
      </c>
      <c r="D81" s="173" t="s">
        <v>73</v>
      </c>
      <c r="E81" s="178" t="s">
        <v>1138</v>
      </c>
      <c r="F81" s="218" t="s">
        <v>1347</v>
      </c>
      <c r="G81" s="131">
        <v>428</v>
      </c>
      <c r="H81" s="173" t="s">
        <v>1348</v>
      </c>
    </row>
    <row r="82" spans="1:8" s="258" customFormat="1" ht="24.95" customHeight="1" outlineLevel="1" x14ac:dyDescent="0.2">
      <c r="A82" s="190" t="s">
        <v>2021</v>
      </c>
      <c r="B82" s="176" t="s">
        <v>1041</v>
      </c>
      <c r="C82" s="177" t="s">
        <v>94</v>
      </c>
      <c r="D82" s="173" t="s">
        <v>73</v>
      </c>
      <c r="E82" s="178" t="s">
        <v>2033</v>
      </c>
      <c r="F82" s="218" t="s">
        <v>1347</v>
      </c>
      <c r="G82" s="131">
        <v>415</v>
      </c>
      <c r="H82" s="173" t="s">
        <v>1348</v>
      </c>
    </row>
    <row r="83" spans="1:8" s="258" customFormat="1" ht="24.95" customHeight="1" outlineLevel="1" x14ac:dyDescent="0.2">
      <c r="A83" s="190" t="s">
        <v>1005</v>
      </c>
      <c r="B83" s="176" t="s">
        <v>1256</v>
      </c>
      <c r="C83" s="177" t="s">
        <v>94</v>
      </c>
      <c r="D83" s="173" t="s">
        <v>994</v>
      </c>
      <c r="E83" s="178" t="s">
        <v>994</v>
      </c>
      <c r="F83" s="218" t="s">
        <v>1347</v>
      </c>
      <c r="G83" s="131">
        <v>386</v>
      </c>
      <c r="H83" s="173" t="s">
        <v>280</v>
      </c>
    </row>
    <row r="84" spans="1:8" s="258" customFormat="1" ht="24.95" customHeight="1" outlineLevel="1" x14ac:dyDescent="0.2">
      <c r="A84" s="190" t="s">
        <v>1392</v>
      </c>
      <c r="B84" s="176" t="s">
        <v>1391</v>
      </c>
      <c r="C84" s="177" t="s">
        <v>94</v>
      </c>
      <c r="D84" s="173" t="s">
        <v>73</v>
      </c>
      <c r="E84" s="178" t="s">
        <v>1393</v>
      </c>
      <c r="F84" s="218" t="s">
        <v>2036</v>
      </c>
      <c r="G84" s="131">
        <v>160</v>
      </c>
      <c r="H84" s="173" t="s">
        <v>168</v>
      </c>
    </row>
    <row r="85" spans="1:8" s="258" customFormat="1" ht="24.95" customHeight="1" outlineLevel="1" x14ac:dyDescent="0.2">
      <c r="A85" s="190" t="s">
        <v>1600</v>
      </c>
      <c r="B85" s="176" t="s">
        <v>104</v>
      </c>
      <c r="C85" s="177" t="s">
        <v>94</v>
      </c>
      <c r="D85" s="173" t="s">
        <v>73</v>
      </c>
      <c r="E85" s="178" t="s">
        <v>1640</v>
      </c>
      <c r="F85" s="218" t="s">
        <v>1347</v>
      </c>
      <c r="G85" s="131">
        <v>72</v>
      </c>
      <c r="H85" s="173" t="s">
        <v>168</v>
      </c>
    </row>
    <row r="86" spans="1:8" s="258" customFormat="1" ht="24.95" customHeight="1" outlineLevel="1" x14ac:dyDescent="0.2">
      <c r="A86" s="190" t="s">
        <v>2028</v>
      </c>
      <c r="B86" s="176" t="s">
        <v>2029</v>
      </c>
      <c r="C86" s="177" t="s">
        <v>94</v>
      </c>
      <c r="D86" s="173" t="s">
        <v>73</v>
      </c>
      <c r="E86" s="178" t="s">
        <v>102</v>
      </c>
      <c r="F86" s="218" t="s">
        <v>2036</v>
      </c>
      <c r="G86" s="131">
        <v>68</v>
      </c>
      <c r="H86" s="173" t="s">
        <v>168</v>
      </c>
    </row>
    <row r="87" spans="1:8" x14ac:dyDescent="0.2">
      <c r="A87" s="223"/>
      <c r="B87" s="104"/>
      <c r="C87" s="105"/>
      <c r="D87" s="106"/>
      <c r="E87" s="106"/>
      <c r="F87" s="107"/>
      <c r="G87" s="108"/>
      <c r="H87" s="106"/>
    </row>
    <row r="88" spans="1:8" x14ac:dyDescent="0.2">
      <c r="A88" s="104"/>
      <c r="B88" s="104"/>
      <c r="C88" s="105"/>
      <c r="D88" s="106"/>
      <c r="E88" s="106"/>
      <c r="F88" s="107"/>
      <c r="G88" s="108"/>
      <c r="H88" s="106"/>
    </row>
    <row r="89" spans="1:8" ht="15" x14ac:dyDescent="0.25">
      <c r="A89" s="387" t="s">
        <v>74</v>
      </c>
      <c r="B89" s="387"/>
      <c r="C89" s="387"/>
      <c r="D89" s="387"/>
      <c r="G89" s="235">
        <f>SUM(Таблица125138150162174194264257738910512113715316918528446076921081241401565545705866006146286446606766927097262641567186101116131146161191206191221[Сумма])*1000</f>
        <v>7175000</v>
      </c>
      <c r="H89" s="276"/>
    </row>
    <row r="90" spans="1:8" outlineLevel="1" x14ac:dyDescent="0.2">
      <c r="A90" s="91" t="s">
        <v>67</v>
      </c>
      <c r="B90" s="91" t="s">
        <v>53</v>
      </c>
      <c r="C90" s="91" t="s">
        <v>4</v>
      </c>
      <c r="D90" s="91" t="s">
        <v>68</v>
      </c>
      <c r="E90" s="91" t="s">
        <v>69</v>
      </c>
      <c r="F90" s="91" t="s">
        <v>70</v>
      </c>
      <c r="G90" s="91" t="s">
        <v>75</v>
      </c>
      <c r="H90" s="91" t="s">
        <v>72</v>
      </c>
    </row>
    <row r="91" spans="1:8" ht="24.95" customHeight="1" outlineLevel="1" x14ac:dyDescent="0.2">
      <c r="A91" s="74" t="s">
        <v>2143</v>
      </c>
      <c r="B91" s="74" t="s">
        <v>2144</v>
      </c>
      <c r="C91" s="177" t="s">
        <v>94</v>
      </c>
      <c r="D91" s="94" t="s">
        <v>73</v>
      </c>
      <c r="E91" s="74" t="s">
        <v>2152</v>
      </c>
      <c r="F91" s="218" t="s">
        <v>2156</v>
      </c>
      <c r="G91" s="72">
        <v>2470</v>
      </c>
      <c r="H91" s="94" t="s">
        <v>1019</v>
      </c>
    </row>
    <row r="92" spans="1:8" ht="24.95" customHeight="1" outlineLevel="1" x14ac:dyDescent="0.2">
      <c r="A92" s="74" t="s">
        <v>2145</v>
      </c>
      <c r="B92" s="74" t="s">
        <v>2146</v>
      </c>
      <c r="C92" s="177" t="s">
        <v>94</v>
      </c>
      <c r="D92" s="94" t="s">
        <v>73</v>
      </c>
      <c r="E92" s="74" t="s">
        <v>2153</v>
      </c>
      <c r="F92" s="218" t="s">
        <v>2156</v>
      </c>
      <c r="G92" s="72">
        <v>1593</v>
      </c>
      <c r="H92" s="94" t="s">
        <v>168</v>
      </c>
    </row>
    <row r="93" spans="1:8" ht="24.95" customHeight="1" outlineLevel="1" x14ac:dyDescent="0.2">
      <c r="A93" s="74" t="s">
        <v>2147</v>
      </c>
      <c r="B93" s="74" t="s">
        <v>2148</v>
      </c>
      <c r="C93" s="177" t="s">
        <v>94</v>
      </c>
      <c r="D93" s="94" t="s">
        <v>73</v>
      </c>
      <c r="E93" s="74" t="s">
        <v>1829</v>
      </c>
      <c r="F93" s="218" t="s">
        <v>2036</v>
      </c>
      <c r="G93" s="72">
        <v>1572</v>
      </c>
      <c r="H93" s="94" t="s">
        <v>168</v>
      </c>
    </row>
    <row r="94" spans="1:8" ht="24.95" customHeight="1" outlineLevel="1" x14ac:dyDescent="0.2">
      <c r="A94" s="74" t="s">
        <v>2149</v>
      </c>
      <c r="B94" s="74" t="s">
        <v>2150</v>
      </c>
      <c r="C94" s="177" t="s">
        <v>94</v>
      </c>
      <c r="D94" s="94" t="s">
        <v>73</v>
      </c>
      <c r="E94" s="74" t="s">
        <v>2154</v>
      </c>
      <c r="F94" s="218" t="s">
        <v>2036</v>
      </c>
      <c r="G94" s="72">
        <v>700</v>
      </c>
      <c r="H94" s="94" t="s">
        <v>168</v>
      </c>
    </row>
    <row r="95" spans="1:8" ht="24.95" customHeight="1" outlineLevel="1" x14ac:dyDescent="0.2">
      <c r="A95" s="74" t="s">
        <v>2151</v>
      </c>
      <c r="B95" s="74" t="s">
        <v>2148</v>
      </c>
      <c r="C95" s="177" t="s">
        <v>94</v>
      </c>
      <c r="D95" s="94" t="s">
        <v>73</v>
      </c>
      <c r="E95" s="74" t="s">
        <v>2155</v>
      </c>
      <c r="F95" s="218" t="s">
        <v>2036</v>
      </c>
      <c r="G95" s="72">
        <v>511</v>
      </c>
      <c r="H95" s="94" t="s">
        <v>168</v>
      </c>
    </row>
    <row r="96" spans="1:8" ht="24.95" customHeight="1" outlineLevel="1" x14ac:dyDescent="0.2">
      <c r="A96" s="74" t="s">
        <v>2159</v>
      </c>
      <c r="B96" s="74" t="s">
        <v>1599</v>
      </c>
      <c r="C96" s="177" t="s">
        <v>94</v>
      </c>
      <c r="D96" s="94" t="s">
        <v>73</v>
      </c>
      <c r="E96" s="74" t="s">
        <v>2162</v>
      </c>
      <c r="F96" s="218" t="s">
        <v>1365</v>
      </c>
      <c r="G96" s="72">
        <v>182</v>
      </c>
      <c r="H96" s="94" t="s">
        <v>107</v>
      </c>
    </row>
    <row r="97" spans="1:8" ht="24.95" customHeight="1" outlineLevel="1" x14ac:dyDescent="0.2">
      <c r="A97" s="74" t="s">
        <v>2160</v>
      </c>
      <c r="B97" s="74" t="s">
        <v>1599</v>
      </c>
      <c r="C97" s="177" t="s">
        <v>94</v>
      </c>
      <c r="D97" s="94" t="s">
        <v>73</v>
      </c>
      <c r="E97" s="74" t="s">
        <v>2163</v>
      </c>
      <c r="F97" s="218" t="s">
        <v>1365</v>
      </c>
      <c r="G97" s="72">
        <v>75</v>
      </c>
      <c r="H97" s="94" t="s">
        <v>107</v>
      </c>
    </row>
    <row r="98" spans="1:8" ht="24.95" customHeight="1" outlineLevel="1" x14ac:dyDescent="0.2">
      <c r="A98" s="74" t="s">
        <v>2161</v>
      </c>
      <c r="B98" s="74" t="s">
        <v>1599</v>
      </c>
      <c r="C98" s="177" t="s">
        <v>94</v>
      </c>
      <c r="D98" s="94" t="s">
        <v>73</v>
      </c>
      <c r="E98" s="74" t="s">
        <v>102</v>
      </c>
      <c r="F98" s="218" t="s">
        <v>1365</v>
      </c>
      <c r="G98" s="72">
        <v>72</v>
      </c>
      <c r="H98" s="94" t="s">
        <v>107</v>
      </c>
    </row>
    <row r="99" spans="1:8" ht="15" customHeight="1" x14ac:dyDescent="0.2"/>
    <row r="100" spans="1:8" ht="15" customHeight="1" x14ac:dyDescent="0.2"/>
    <row r="101" spans="1:8" ht="15.75" x14ac:dyDescent="0.25">
      <c r="A101" s="1" t="s">
        <v>76</v>
      </c>
    </row>
    <row r="102" spans="1:8" s="7" customFormat="1" ht="15" x14ac:dyDescent="0.25">
      <c r="A102" s="389" t="s">
        <v>77</v>
      </c>
      <c r="B102" s="389"/>
      <c r="C102" s="389"/>
      <c r="D102" s="389"/>
      <c r="E102" s="351"/>
      <c r="F102" s="352"/>
    </row>
    <row r="103" spans="1:8" s="104" customFormat="1" outlineLevel="1" x14ac:dyDescent="0.25">
      <c r="A103" s="112" t="s">
        <v>78</v>
      </c>
      <c r="B103" s="112" t="s">
        <v>53</v>
      </c>
      <c r="C103" s="91" t="s">
        <v>4</v>
      </c>
      <c r="D103" s="112" t="s">
        <v>79</v>
      </c>
      <c r="E103" s="91" t="s">
        <v>80</v>
      </c>
      <c r="F103" s="112" t="s">
        <v>81</v>
      </c>
      <c r="G103" s="112" t="s">
        <v>82</v>
      </c>
    </row>
    <row r="104" spans="1:8" s="104" customFormat="1" ht="23.25" customHeight="1" outlineLevel="1" x14ac:dyDescent="0.25">
      <c r="A104" s="171">
        <v>46050</v>
      </c>
      <c r="B104" s="173" t="s">
        <v>1729</v>
      </c>
      <c r="C104" s="177" t="s">
        <v>94</v>
      </c>
      <c r="D104" s="173" t="s">
        <v>2139</v>
      </c>
      <c r="E104" s="173"/>
      <c r="F104" s="173" t="s">
        <v>1927</v>
      </c>
      <c r="G104" s="173" t="s">
        <v>2140</v>
      </c>
    </row>
    <row r="105" spans="1:8" s="104" customFormat="1" ht="23.25" customHeight="1" outlineLevel="1" x14ac:dyDescent="0.25">
      <c r="A105" s="116">
        <v>46052</v>
      </c>
      <c r="B105" s="173" t="s">
        <v>1154</v>
      </c>
      <c r="C105" s="177" t="s">
        <v>94</v>
      </c>
      <c r="D105" s="173" t="s">
        <v>2139</v>
      </c>
      <c r="E105" s="173"/>
      <c r="F105" s="173" t="s">
        <v>1927</v>
      </c>
      <c r="G105" s="173" t="s">
        <v>2157</v>
      </c>
    </row>
    <row r="106" spans="1:8" s="104" customFormat="1" ht="12" customHeight="1" outlineLevel="1" x14ac:dyDescent="0.2">
      <c r="A106" s="2"/>
      <c r="B106" s="118"/>
      <c r="C106" s="2"/>
      <c r="D106" s="2"/>
      <c r="E106" s="2"/>
      <c r="F106" s="2"/>
      <c r="G106" s="2"/>
    </row>
    <row r="107" spans="1:8" ht="24" customHeight="1" outlineLevel="1" x14ac:dyDescent="0.2">
      <c r="A107" s="118"/>
      <c r="B107" s="118"/>
    </row>
    <row r="108" spans="1:8" s="7" customFormat="1" ht="24" customHeight="1" outlineLevel="1" x14ac:dyDescent="0.25">
      <c r="A108" s="390" t="s">
        <v>83</v>
      </c>
      <c r="B108" s="390"/>
      <c r="C108" s="390"/>
      <c r="D108" s="390"/>
      <c r="E108" s="353"/>
    </row>
    <row r="109" spans="1:8" ht="24" customHeight="1" outlineLevel="1" x14ac:dyDescent="0.2">
      <c r="A109" s="112" t="s">
        <v>78</v>
      </c>
      <c r="B109" s="112" t="s">
        <v>53</v>
      </c>
      <c r="C109" s="91" t="s">
        <v>4</v>
      </c>
      <c r="D109" s="112" t="s">
        <v>79</v>
      </c>
      <c r="E109" s="91" t="s">
        <v>80</v>
      </c>
      <c r="F109" s="112" t="s">
        <v>81</v>
      </c>
      <c r="G109" s="112" t="s">
        <v>82</v>
      </c>
    </row>
    <row r="110" spans="1:8" ht="24" customHeight="1" outlineLevel="1" x14ac:dyDescent="0.2">
      <c r="A110" s="287"/>
      <c r="B110" s="287"/>
      <c r="C110" s="287"/>
      <c r="D110" s="129" t="s">
        <v>2017</v>
      </c>
      <c r="E110" s="287"/>
      <c r="F110" s="287"/>
      <c r="G110" s="287"/>
    </row>
    <row r="111" spans="1:8" ht="24" customHeight="1" outlineLevel="1" x14ac:dyDescent="0.2">
      <c r="A111" s="171">
        <v>46035</v>
      </c>
      <c r="B111" s="173" t="s">
        <v>2050</v>
      </c>
      <c r="C111" s="177" t="s">
        <v>94</v>
      </c>
      <c r="D111" s="173" t="s">
        <v>2049</v>
      </c>
      <c r="E111" s="173"/>
      <c r="F111" s="173" t="s">
        <v>109</v>
      </c>
      <c r="G111" s="173" t="s">
        <v>2051</v>
      </c>
    </row>
    <row r="112" spans="1:8" ht="24" customHeight="1" outlineLevel="1" x14ac:dyDescent="0.2">
      <c r="A112" s="171">
        <v>46035</v>
      </c>
      <c r="B112" s="173" t="s">
        <v>2057</v>
      </c>
      <c r="C112" s="177" t="s">
        <v>94</v>
      </c>
      <c r="D112" s="173" t="s">
        <v>2055</v>
      </c>
      <c r="E112" s="173"/>
      <c r="F112" s="173" t="s">
        <v>109</v>
      </c>
      <c r="G112" s="173" t="s">
        <v>2056</v>
      </c>
    </row>
    <row r="113" spans="1:7" ht="24" customHeight="1" outlineLevel="1" x14ac:dyDescent="0.2">
      <c r="A113" s="171">
        <v>46042</v>
      </c>
      <c r="B113" s="171" t="s">
        <v>2083</v>
      </c>
      <c r="C113" s="177" t="s">
        <v>94</v>
      </c>
      <c r="D113" s="171" t="s">
        <v>2082</v>
      </c>
      <c r="E113" s="173"/>
      <c r="F113" s="173" t="s">
        <v>109</v>
      </c>
      <c r="G113" s="173" t="s">
        <v>2081</v>
      </c>
    </row>
    <row r="114" spans="1:7" ht="24" customHeight="1" outlineLevel="1" x14ac:dyDescent="0.2">
      <c r="A114" s="171">
        <v>46042</v>
      </c>
      <c r="B114" s="171" t="s">
        <v>2086</v>
      </c>
      <c r="C114" s="177" t="s">
        <v>94</v>
      </c>
      <c r="D114" s="171" t="s">
        <v>2085</v>
      </c>
      <c r="E114" s="173"/>
      <c r="F114" s="173" t="s">
        <v>109</v>
      </c>
      <c r="G114" s="173" t="s">
        <v>2084</v>
      </c>
    </row>
    <row r="115" spans="1:7" ht="24" customHeight="1" outlineLevel="1" x14ac:dyDescent="0.2">
      <c r="A115" s="171">
        <v>46042</v>
      </c>
      <c r="B115" s="171" t="s">
        <v>2088</v>
      </c>
      <c r="C115" s="177" t="s">
        <v>94</v>
      </c>
      <c r="D115" s="171" t="s">
        <v>2087</v>
      </c>
      <c r="E115" s="173"/>
      <c r="F115" s="173" t="s">
        <v>109</v>
      </c>
      <c r="G115" s="173" t="s">
        <v>2089</v>
      </c>
    </row>
    <row r="116" spans="1:7" ht="24" customHeight="1" outlineLevel="1" x14ac:dyDescent="0.2">
      <c r="A116" s="171">
        <v>46043</v>
      </c>
      <c r="B116" s="171" t="s">
        <v>2094</v>
      </c>
      <c r="C116" s="177" t="s">
        <v>94</v>
      </c>
      <c r="D116" s="171" t="s">
        <v>2095</v>
      </c>
      <c r="E116" s="173"/>
      <c r="F116" s="173" t="s">
        <v>109</v>
      </c>
      <c r="G116" s="173" t="s">
        <v>2093</v>
      </c>
    </row>
    <row r="117" spans="1:7" ht="24" customHeight="1" outlineLevel="1" x14ac:dyDescent="0.2">
      <c r="A117" s="171">
        <v>46043</v>
      </c>
      <c r="B117" s="171" t="s">
        <v>2099</v>
      </c>
      <c r="C117" s="177" t="s">
        <v>94</v>
      </c>
      <c r="D117" s="171" t="s">
        <v>2100</v>
      </c>
      <c r="E117" s="173"/>
      <c r="F117" s="173" t="s">
        <v>109</v>
      </c>
      <c r="G117" s="173" t="s">
        <v>2101</v>
      </c>
    </row>
    <row r="118" spans="1:7" ht="24" customHeight="1" outlineLevel="1" x14ac:dyDescent="0.2">
      <c r="A118" s="171">
        <v>46043</v>
      </c>
      <c r="B118" s="116" t="s">
        <v>2096</v>
      </c>
      <c r="C118" s="177" t="s">
        <v>94</v>
      </c>
      <c r="D118" s="171" t="s">
        <v>2097</v>
      </c>
      <c r="E118" s="264" t="s">
        <v>2158</v>
      </c>
      <c r="F118" s="173" t="s">
        <v>109</v>
      </c>
      <c r="G118" s="173" t="s">
        <v>2098</v>
      </c>
    </row>
    <row r="119" spans="1:7" ht="24" customHeight="1" outlineLevel="1" x14ac:dyDescent="0.2">
      <c r="A119" s="171">
        <v>46048</v>
      </c>
      <c r="B119" s="116" t="s">
        <v>2107</v>
      </c>
      <c r="C119" s="177" t="s">
        <v>94</v>
      </c>
      <c r="D119" s="171" t="s">
        <v>2105</v>
      </c>
      <c r="E119" s="264" t="s">
        <v>2158</v>
      </c>
      <c r="F119" s="173" t="s">
        <v>109</v>
      </c>
      <c r="G119" s="173" t="s">
        <v>2106</v>
      </c>
    </row>
    <row r="120" spans="1:7" ht="24" customHeight="1" outlineLevel="1" x14ac:dyDescent="0.2">
      <c r="A120" s="171">
        <v>46049</v>
      </c>
      <c r="B120" s="116" t="s">
        <v>2123</v>
      </c>
      <c r="C120" s="177" t="s">
        <v>94</v>
      </c>
      <c r="D120" s="171" t="s">
        <v>2121</v>
      </c>
      <c r="E120" s="264" t="s">
        <v>2158</v>
      </c>
      <c r="F120" s="173" t="s">
        <v>109</v>
      </c>
      <c r="G120" s="173" t="s">
        <v>2122</v>
      </c>
    </row>
    <row r="122" spans="1:7" s="17" customFormat="1" outlineLevel="1" x14ac:dyDescent="0.2">
      <c r="A122" s="2"/>
      <c r="B122" s="2"/>
      <c r="C122" s="2"/>
      <c r="D122" s="2"/>
      <c r="E122" s="2"/>
      <c r="F122" s="2"/>
      <c r="G122" s="2"/>
    </row>
    <row r="123" spans="1:7" ht="60" customHeight="1" outlineLevel="1" x14ac:dyDescent="0.25">
      <c r="A123" s="1" t="s">
        <v>84</v>
      </c>
    </row>
    <row r="124" spans="1:7" ht="12.6" customHeight="1" outlineLevel="1" x14ac:dyDescent="0.25">
      <c r="A124" s="386" t="s">
        <v>85</v>
      </c>
      <c r="B124" s="386"/>
      <c r="C124" s="386"/>
      <c r="D124" s="386"/>
    </row>
    <row r="125" spans="1:7" ht="33" customHeight="1" outlineLevel="1" x14ac:dyDescent="0.2">
      <c r="A125" s="120" t="s">
        <v>81</v>
      </c>
      <c r="B125" s="120" t="s">
        <v>86</v>
      </c>
      <c r="C125" s="120" t="s">
        <v>87</v>
      </c>
      <c r="D125" s="120" t="s">
        <v>88</v>
      </c>
      <c r="E125" s="120" t="s">
        <v>89</v>
      </c>
      <c r="F125" s="120" t="s">
        <v>4</v>
      </c>
      <c r="G125" s="120" t="s">
        <v>90</v>
      </c>
    </row>
    <row r="126" spans="1:7" ht="126" customHeight="1" x14ac:dyDescent="0.2">
      <c r="A126" s="94"/>
      <c r="B126" s="219" t="s">
        <v>2075</v>
      </c>
      <c r="C126" s="238" t="s">
        <v>1280</v>
      </c>
      <c r="D126" s="225" t="s">
        <v>2133</v>
      </c>
      <c r="E126" s="132" t="s">
        <v>1870</v>
      </c>
      <c r="F126" s="74" t="s">
        <v>94</v>
      </c>
      <c r="G126" s="72">
        <v>4000</v>
      </c>
    </row>
    <row r="127" spans="1:7" ht="183" customHeight="1" x14ac:dyDescent="0.2">
      <c r="A127" s="94"/>
      <c r="B127" s="219" t="s">
        <v>2077</v>
      </c>
      <c r="C127" s="238" t="s">
        <v>761</v>
      </c>
      <c r="D127" s="225" t="s">
        <v>2142</v>
      </c>
      <c r="E127" s="132" t="s">
        <v>913</v>
      </c>
      <c r="F127" s="74" t="s">
        <v>94</v>
      </c>
      <c r="G127" s="72">
        <v>0</v>
      </c>
    </row>
    <row r="128" spans="1:7" ht="141.75" customHeight="1" x14ac:dyDescent="0.2">
      <c r="A128" s="130"/>
      <c r="B128" s="148" t="s">
        <v>2076</v>
      </c>
      <c r="C128" s="238" t="s">
        <v>761</v>
      </c>
      <c r="D128" s="96" t="s">
        <v>2141</v>
      </c>
      <c r="E128" s="132" t="s">
        <v>1801</v>
      </c>
      <c r="F128" s="74" t="s">
        <v>94</v>
      </c>
      <c r="G128" s="72">
        <v>0</v>
      </c>
    </row>
    <row r="129" spans="1:15" s="124" customFormat="1" ht="12.75" customHeight="1" outlineLevel="1" x14ac:dyDescent="0.2">
      <c r="A129" s="2"/>
      <c r="B129" s="122"/>
      <c r="C129" s="123"/>
      <c r="D129" s="2"/>
      <c r="E129" s="2"/>
      <c r="F129" s="122"/>
      <c r="G129" s="2"/>
      <c r="H129" s="2"/>
      <c r="I129" s="2"/>
      <c r="J129" s="2"/>
      <c r="K129" s="2"/>
      <c r="L129" s="2"/>
      <c r="M129" s="2"/>
      <c r="N129" s="2"/>
      <c r="O129" s="2"/>
    </row>
    <row r="130" spans="1:15" ht="60" customHeight="1" outlineLevel="1" x14ac:dyDescent="0.2">
      <c r="A130" s="122"/>
      <c r="B130" s="122"/>
      <c r="C130" s="123"/>
      <c r="F130" s="122"/>
    </row>
    <row r="131" spans="1:15" ht="60" customHeight="1" outlineLevel="1" x14ac:dyDescent="0.25">
      <c r="A131" s="386" t="s">
        <v>92</v>
      </c>
      <c r="B131" s="386"/>
      <c r="C131" s="386"/>
      <c r="D131" s="386"/>
    </row>
    <row r="132" spans="1:15" x14ac:dyDescent="0.2">
      <c r="A132" s="120" t="s">
        <v>81</v>
      </c>
      <c r="B132" s="120" t="s">
        <v>86</v>
      </c>
      <c r="C132" s="120" t="s">
        <v>87</v>
      </c>
      <c r="D132" s="120" t="s">
        <v>88</v>
      </c>
      <c r="E132" s="120" t="s">
        <v>89</v>
      </c>
      <c r="F132" s="120" t="s">
        <v>4</v>
      </c>
      <c r="G132" s="120" t="s">
        <v>90</v>
      </c>
    </row>
    <row r="133" spans="1:15" ht="153" x14ac:dyDescent="0.2">
      <c r="A133" s="230" t="s">
        <v>109</v>
      </c>
      <c r="B133" s="219" t="s">
        <v>1744</v>
      </c>
      <c r="C133" s="292"/>
      <c r="D133" s="292"/>
      <c r="E133" s="132" t="s">
        <v>1743</v>
      </c>
      <c r="F133" s="74" t="s">
        <v>94</v>
      </c>
      <c r="G133" s="292"/>
    </row>
    <row r="134" spans="1:15" ht="76.5" x14ac:dyDescent="0.25">
      <c r="A134" s="230" t="s">
        <v>109</v>
      </c>
      <c r="B134" s="148" t="s">
        <v>1741</v>
      </c>
      <c r="C134" s="125"/>
      <c r="D134"/>
      <c r="E134" s="132" t="s">
        <v>1695</v>
      </c>
      <c r="F134" s="74" t="s">
        <v>94</v>
      </c>
      <c r="G134" s="126"/>
    </row>
    <row r="135" spans="1:15" ht="38.25" x14ac:dyDescent="0.25">
      <c r="A135" s="230" t="s">
        <v>109</v>
      </c>
      <c r="B135" s="148" t="s">
        <v>1745</v>
      </c>
      <c r="C135" s="125"/>
      <c r="D135"/>
      <c r="E135" s="132" t="s">
        <v>1516</v>
      </c>
      <c r="F135" s="74" t="s">
        <v>94</v>
      </c>
      <c r="G135" s="126"/>
    </row>
    <row r="136" spans="1:15" ht="76.5" x14ac:dyDescent="0.25">
      <c r="A136" s="230" t="s">
        <v>109</v>
      </c>
      <c r="B136" s="148" t="s">
        <v>1410</v>
      </c>
      <c r="C136" s="125"/>
      <c r="D136"/>
      <c r="E136" s="132" t="s">
        <v>1742</v>
      </c>
      <c r="F136" s="74" t="s">
        <v>94</v>
      </c>
      <c r="G136" s="9"/>
    </row>
  </sheetData>
  <mergeCells count="14">
    <mergeCell ref="A44:D44"/>
    <mergeCell ref="A5:D5"/>
    <mergeCell ref="A10:D10"/>
    <mergeCell ref="A15:D15"/>
    <mergeCell ref="A20:D20"/>
    <mergeCell ref="A38:D38"/>
    <mergeCell ref="A124:D124"/>
    <mergeCell ref="A131:D131"/>
    <mergeCell ref="A51:D51"/>
    <mergeCell ref="A63:D63"/>
    <mergeCell ref="A72:D72"/>
    <mergeCell ref="A89:D89"/>
    <mergeCell ref="A102:D102"/>
    <mergeCell ref="A108:D108"/>
  </mergeCells>
  <phoneticPr fontId="73" type="noConversion"/>
  <conditionalFormatting sqref="G126:G128 C126:C128">
    <cfRule type="cellIs" dxfId="272" priority="17" operator="equal">
      <formula>"ДА"</formula>
    </cfRule>
    <cfRule type="cellIs" dxfId="271" priority="18" operator="equal">
      <formula>"НЕТ"</formula>
    </cfRule>
    <cfRule type="cellIs" dxfId="270" priority="19" operator="equal">
      <formula>"Нет"</formula>
    </cfRule>
    <cfRule type="cellIs" dxfId="269" priority="20" operator="equal">
      <formula>"нет"</formula>
    </cfRule>
    <cfRule type="cellIs" dxfId="268" priority="21" operator="equal">
      <formula>"ДА"</formula>
    </cfRule>
    <cfRule type="containsText" dxfId="267" priority="22" operator="containsText" text="Да">
      <formula>NOT(ISERROR(SEARCH("Да",C126)))</formula>
    </cfRule>
  </conditionalFormatting>
  <conditionalFormatting sqref="E7 E12">
    <cfRule type="cellIs" dxfId="266" priority="29" operator="lessThan">
      <formula>0</formula>
    </cfRule>
    <cfRule type="cellIs" dxfId="265" priority="30" operator="greaterThan">
      <formula>0</formula>
    </cfRule>
  </conditionalFormatting>
  <conditionalFormatting sqref="D7 D12 E17">
    <cfRule type="cellIs" dxfId="264" priority="27" operator="lessThan">
      <formula>0</formula>
    </cfRule>
    <cfRule type="cellIs" dxfId="263" priority="28" operator="greaterThan">
      <formula>0</formula>
    </cfRule>
  </conditionalFormatting>
  <conditionalFormatting sqref="H65">
    <cfRule type="cellIs" dxfId="262" priority="25" operator="lessThan">
      <formula>1</formula>
    </cfRule>
    <cfRule type="cellIs" dxfId="261" priority="26" operator="greaterThan">
      <formula>1</formula>
    </cfRule>
  </conditionalFormatting>
  <conditionalFormatting sqref="H68">
    <cfRule type="cellIs" dxfId="260" priority="23" operator="lessThan">
      <formula>1</formula>
    </cfRule>
    <cfRule type="cellIs" dxfId="259" priority="24" operator="greaterThan">
      <formula>1</formula>
    </cfRule>
  </conditionalFormatting>
  <conditionalFormatting sqref="G136">
    <cfRule type="cellIs" dxfId="258" priority="7" operator="equal">
      <formula>"ДА"</formula>
    </cfRule>
    <cfRule type="cellIs" dxfId="257" priority="8" operator="equal">
      <formula>"НЕТ"</formula>
    </cfRule>
    <cfRule type="cellIs" dxfId="256" priority="9" operator="equal">
      <formula>"Нет"</formula>
    </cfRule>
    <cfRule type="cellIs" dxfId="255" priority="10" operator="equal">
      <formula>"нет"</formula>
    </cfRule>
    <cfRule type="cellIs" dxfId="254" priority="11" operator="equal">
      <formula>"ДА"</formula>
    </cfRule>
    <cfRule type="containsText" dxfId="253" priority="12" operator="containsText" text="Да">
      <formula>NOT(ISERROR(SEARCH("Да",G136)))</formula>
    </cfRule>
  </conditionalFormatting>
  <conditionalFormatting sqref="G134:G135">
    <cfRule type="cellIs" dxfId="252" priority="1" operator="equal">
      <formula>"ДА"</formula>
    </cfRule>
    <cfRule type="cellIs" dxfId="251" priority="2" operator="equal">
      <formula>"НЕТ"</formula>
    </cfRule>
    <cfRule type="cellIs" dxfId="250" priority="3" operator="equal">
      <formula>"Нет"</formula>
    </cfRule>
    <cfRule type="cellIs" dxfId="249" priority="4" operator="equal">
      <formula>"нет"</formula>
    </cfRule>
    <cfRule type="cellIs" dxfId="248" priority="5" operator="equal">
      <formula>"ДА"</formula>
    </cfRule>
  </conditionalFormatting>
  <pageMargins left="0.7" right="0.7" top="0.75" bottom="0.75" header="0.3" footer="0.3"/>
  <pageSetup paperSize="9" orientation="portrait" r:id="rId1"/>
  <legacy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extLst>
    <ext xmlns:x14="http://schemas.microsoft.com/office/spreadsheetml/2009/9/main" uri="{78C0D931-6437-407d-A8EE-F0AAD7539E65}">
      <x14:conditionalFormattings>
        <x14:conditionalFormatting xmlns:xm="http://schemas.microsoft.com/office/excel/2006/main">
          <x14:cfRule type="containsText" priority="6" operator="containsText" text="Да" id="{6B4B9697-F5FE-45ED-9AF9-CB592EDD3DDD}">
            <xm:f>NOT(ISERROR(SEARCH("Да",'Август. 25'!G256)))</xm:f>
            <x14:dxf>
              <font>
                <color rgb="FF006100"/>
              </font>
              <fill>
                <patternFill>
                  <bgColor rgb="FFC6EFCE"/>
                </patternFill>
              </fill>
            </x14:dxf>
          </x14:cfRule>
          <xm:sqref>G134:G135</xm:sqref>
        </x14:conditionalFormatting>
      </x14:conditionalFormatting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977E6-C350-4BA3-A4F6-5713AE4A7F2D}">
  <dimension ref="A1:O164"/>
  <sheetViews>
    <sheetView topLeftCell="A64" zoomScale="85" zoomScaleNormal="85" workbookViewId="0">
      <selection activeCell="E157" sqref="E157"/>
    </sheetView>
  </sheetViews>
  <sheetFormatPr defaultColWidth="9.140625" defaultRowHeight="12.75" outlineLevelRow="1" x14ac:dyDescent="0.2"/>
  <cols>
    <col min="1" max="1" width="30.28515625" style="2" customWidth="1"/>
    <col min="2" max="2" width="35.7109375" style="2" customWidth="1"/>
    <col min="3" max="3" width="31.5703125" style="2" bestFit="1" customWidth="1"/>
    <col min="4" max="4" width="36.42578125" style="2" customWidth="1"/>
    <col min="5" max="5" width="34.85546875" style="2" customWidth="1"/>
    <col min="6" max="6" width="27.140625" style="2" customWidth="1"/>
    <col min="7" max="7" width="27.42578125" style="2" customWidth="1"/>
    <col min="8" max="8" width="36" style="2" customWidth="1"/>
    <col min="9" max="16384" width="9.140625" style="2"/>
  </cols>
  <sheetData>
    <row r="1" spans="1:7" ht="24.75" customHeight="1" x14ac:dyDescent="0.25">
      <c r="A1" s="134" t="s">
        <v>94</v>
      </c>
    </row>
    <row r="2" spans="1:7" ht="15.75" x14ac:dyDescent="0.25">
      <c r="A2" s="134" t="s">
        <v>2186</v>
      </c>
    </row>
    <row r="3" spans="1:7" x14ac:dyDescent="0.2">
      <c r="A3" s="3"/>
    </row>
    <row r="4" spans="1:7" ht="15.75" x14ac:dyDescent="0.25">
      <c r="A4" s="1" t="s">
        <v>0</v>
      </c>
      <c r="B4" s="2" t="s">
        <v>1</v>
      </c>
      <c r="C4" s="2" t="s">
        <v>2</v>
      </c>
    </row>
    <row r="5" spans="1:7" ht="15" x14ac:dyDescent="0.25">
      <c r="A5" s="386" t="s">
        <v>3</v>
      </c>
      <c r="B5" s="386"/>
      <c r="C5" s="386"/>
      <c r="D5" s="386"/>
      <c r="F5" s="4"/>
    </row>
    <row r="6" spans="1:7" s="6" customFormat="1" outlineLevel="1" x14ac:dyDescent="0.2">
      <c r="A6" s="5" t="s">
        <v>4</v>
      </c>
      <c r="B6" s="5" t="s">
        <v>5</v>
      </c>
      <c r="C6" s="5" t="s">
        <v>6</v>
      </c>
      <c r="D6" s="5" t="s">
        <v>7</v>
      </c>
      <c r="E6" s="5" t="s">
        <v>8</v>
      </c>
      <c r="F6" s="5" t="s">
        <v>10</v>
      </c>
      <c r="G6" s="186"/>
    </row>
    <row r="7" spans="1:7" outlineLevel="1" x14ac:dyDescent="0.2">
      <c r="A7" s="7" t="s">
        <v>94</v>
      </c>
      <c r="B7" s="8">
        <f>C32</f>
        <v>330000</v>
      </c>
      <c r="C7" s="72">
        <f>B32</f>
        <v>380912</v>
      </c>
      <c r="D7" s="10">
        <f>Таблица11029163037445158657223303744515865727986931009223548627690104107127139151163183152947637995111127143159175183450668298114130146545561577589605619635651667683700717163247627792107122137152182197182212227[Факт, руб.]/Таблица11029163037445158657223303744515865727986931009223548627690104107127139151163183152947637995111127143159175183450668298114130146545561577589605619635651667683700717163247627792107122137152182197182212227[План, руб.]-100%</f>
        <v>0.1542787878787879</v>
      </c>
      <c r="E7" s="11">
        <f>Таблица11029163037445158657223303744515865727986931009223548627690104107127139151163183152947637995111127143159175183450668298114130146545561577589605619635651667683700717163247627792107122137152182197182212227[Факт, руб.]-Таблица11029163037445158657223303744515865727986931009223548627690104107127139151163183152947637995111127143159175183450668298114130146545561577589605619635651667683700717163247627792107122137152182197182212227[План, руб.]</f>
        <v>50912</v>
      </c>
      <c r="F7" s="9">
        <f>B31</f>
        <v>76597.86</v>
      </c>
      <c r="G7" s="185"/>
    </row>
    <row r="8" spans="1:7" x14ac:dyDescent="0.2">
      <c r="A8" s="12"/>
      <c r="B8" s="13"/>
      <c r="C8" s="13"/>
      <c r="D8" s="14"/>
      <c r="F8" s="15"/>
      <c r="G8" s="16"/>
    </row>
    <row r="9" spans="1:7" ht="15" customHeight="1" x14ac:dyDescent="0.2">
      <c r="A9" s="12"/>
      <c r="B9" s="13"/>
      <c r="C9" s="13"/>
      <c r="D9" s="14"/>
      <c r="F9" s="17"/>
    </row>
    <row r="10" spans="1:7" ht="15" x14ac:dyDescent="0.25">
      <c r="A10" s="386" t="s">
        <v>11</v>
      </c>
      <c r="B10" s="386"/>
      <c r="C10" s="386"/>
      <c r="D10" s="386"/>
      <c r="F10" s="17"/>
    </row>
    <row r="11" spans="1:7" s="6" customFormat="1" outlineLevel="1" x14ac:dyDescent="0.2">
      <c r="A11" s="18" t="s">
        <v>4</v>
      </c>
      <c r="B11" s="19" t="s">
        <v>12</v>
      </c>
      <c r="C11" s="19" t="s">
        <v>13</v>
      </c>
      <c r="D11" s="19" t="s">
        <v>7</v>
      </c>
      <c r="E11" s="19" t="s">
        <v>8</v>
      </c>
      <c r="F11" s="20"/>
    </row>
    <row r="12" spans="1:7" outlineLevel="1" x14ac:dyDescent="0.2">
      <c r="A12" s="7" t="s">
        <v>94</v>
      </c>
      <c r="B12" s="8">
        <f>SUM(C22:C32)</f>
        <v>2930000</v>
      </c>
      <c r="C12" s="8">
        <f>B34</f>
        <v>1587505.5000000002</v>
      </c>
      <c r="D12" s="21">
        <f>C12/B12-100%</f>
        <v>-0.45818924914675763</v>
      </c>
      <c r="E12" s="8">
        <f>C12-B12</f>
        <v>-1342494.4999999998</v>
      </c>
      <c r="F12" s="17"/>
      <c r="G12" s="22"/>
    </row>
    <row r="13" spans="1:7" x14ac:dyDescent="0.2">
      <c r="A13" s="12"/>
      <c r="B13" s="13"/>
      <c r="C13" s="13"/>
      <c r="D13" s="14"/>
      <c r="F13" s="17"/>
    </row>
    <row r="14" spans="1:7" x14ac:dyDescent="0.2">
      <c r="A14" s="13"/>
      <c r="B14" s="13"/>
      <c r="C14" s="13"/>
      <c r="D14" s="14"/>
      <c r="F14" s="17"/>
      <c r="G14" s="22"/>
    </row>
    <row r="15" spans="1:7" ht="15" x14ac:dyDescent="0.25">
      <c r="A15" s="386" t="s">
        <v>393</v>
      </c>
      <c r="B15" s="386"/>
      <c r="C15" s="386"/>
      <c r="D15" s="386"/>
      <c r="F15" s="17"/>
    </row>
    <row r="16" spans="1:7" s="6" customFormat="1" outlineLevel="1" x14ac:dyDescent="0.2">
      <c r="A16" s="5" t="s">
        <v>4</v>
      </c>
      <c r="B16" s="5" t="s">
        <v>16</v>
      </c>
      <c r="C16" s="5" t="s">
        <v>93</v>
      </c>
      <c r="D16" s="5" t="s">
        <v>1037</v>
      </c>
      <c r="E16" s="5" t="s">
        <v>17</v>
      </c>
      <c r="F16" s="23"/>
    </row>
    <row r="17" spans="1:5" outlineLevel="1" x14ac:dyDescent="0.2">
      <c r="A17" s="7" t="s">
        <v>94</v>
      </c>
      <c r="B17" s="8">
        <v>0</v>
      </c>
      <c r="C17" s="24">
        <v>66131</v>
      </c>
      <c r="D17" s="24">
        <f>B34</f>
        <v>1587505.5000000002</v>
      </c>
      <c r="E17" s="21">
        <f>Таблица211301731384552596673243138455259667380879410110233649637791105109128140152164184163248648096112128144160176193551678399115131147546562578590606620636652668684701718173348637893108123138153183198183213228[Профит ФГ 25-26]/Таблица211301731384552596673243138455259667380879410110233649637791105109128140152164184163248648096112128144160176193551678399115131147546562578590606620636652668684701718173348637893108123138153183198183213228[Профит ФГ 24-25]</f>
        <v>24.005466422706451</v>
      </c>
    </row>
    <row r="20" spans="1:5" ht="15" x14ac:dyDescent="0.25">
      <c r="A20" s="386" t="s">
        <v>18</v>
      </c>
      <c r="B20" s="386"/>
      <c r="C20" s="386"/>
      <c r="D20" s="386"/>
    </row>
    <row r="21" spans="1:5" outlineLevel="1" x14ac:dyDescent="0.2">
      <c r="A21" s="25" t="s">
        <v>19</v>
      </c>
      <c r="B21" s="26" t="s">
        <v>20</v>
      </c>
      <c r="C21" s="26" t="s">
        <v>21</v>
      </c>
      <c r="D21" s="25" t="s">
        <v>22</v>
      </c>
    </row>
    <row r="22" spans="1:5" outlineLevel="1" x14ac:dyDescent="0.2">
      <c r="A22" s="30" t="s">
        <v>23</v>
      </c>
      <c r="B22" s="31">
        <v>255961.25</v>
      </c>
      <c r="C22" s="31">
        <v>170000</v>
      </c>
      <c r="D22" s="32">
        <f>Таблица4936997167333146617691106121136151166196211196226241[[#This Row],[Профит]]/Таблица4936997167333146617691106121136151166196211196226241[[#This Row],[План]]</f>
        <v>1.5056544117647059</v>
      </c>
    </row>
    <row r="23" spans="1:5" outlineLevel="1" x14ac:dyDescent="0.2">
      <c r="A23" s="30" t="s">
        <v>25</v>
      </c>
      <c r="B23" s="31">
        <v>85933.41</v>
      </c>
      <c r="C23" s="31">
        <v>190000</v>
      </c>
      <c r="D23" s="32">
        <f>Таблица4936997167333146617691106121136151166196211196226241[[#This Row],[Профит]]/Таблица4936997167333146617691106121136151166196211196226241[[#This Row],[План]]</f>
        <v>0.4522811052631579</v>
      </c>
    </row>
    <row r="24" spans="1:5" outlineLevel="1" x14ac:dyDescent="0.2">
      <c r="A24" s="30" t="s">
        <v>26</v>
      </c>
      <c r="B24" s="31">
        <v>60194.18</v>
      </c>
      <c r="C24" s="31">
        <v>210000</v>
      </c>
      <c r="D24" s="32">
        <f>Таблица4936997167333146617691106121136151166196211196226241[[#This Row],[Профит]]/Таблица4936997167333146617691106121136151166196211196226241[[#This Row],[План]]</f>
        <v>0.28663895238095238</v>
      </c>
    </row>
    <row r="25" spans="1:5" outlineLevel="1" x14ac:dyDescent="0.2">
      <c r="A25" s="30" t="s">
        <v>27</v>
      </c>
      <c r="B25" s="31">
        <v>88786.75</v>
      </c>
      <c r="C25" s="31">
        <v>220000</v>
      </c>
      <c r="D25" s="32">
        <f>Таблица4936997167333146617691106121136151166196211196226241[[#This Row],[Профит]]/Таблица4936997167333146617691106121136151166196211196226241[[#This Row],[План]]</f>
        <v>0.40357613636363637</v>
      </c>
    </row>
    <row r="26" spans="1:5" outlineLevel="1" x14ac:dyDescent="0.2">
      <c r="A26" s="30" t="s">
        <v>28</v>
      </c>
      <c r="B26" s="31">
        <v>51147.62</v>
      </c>
      <c r="C26" s="31">
        <v>250000</v>
      </c>
      <c r="D26" s="32">
        <f>Таблица4936997167333146617691106121136151166196211196226241[[#This Row],[Профит]]/Таблица4936997167333146617691106121136151166196211196226241[[#This Row],[План]]</f>
        <v>0.20459048000000002</v>
      </c>
    </row>
    <row r="27" spans="1:5" outlineLevel="1" x14ac:dyDescent="0.2">
      <c r="A27" s="30" t="s">
        <v>29</v>
      </c>
      <c r="B27" s="31">
        <v>126413.71</v>
      </c>
      <c r="C27" s="31">
        <v>270000</v>
      </c>
      <c r="D27" s="32">
        <f>Таблица4936997167333146617691106121136151166196211196226241[[#This Row],[Профит]]/Таблица4936997167333146617691106121136151166196211196226241[[#This Row],[План]]</f>
        <v>0.46819892592592594</v>
      </c>
    </row>
    <row r="28" spans="1:5" outlineLevel="1" x14ac:dyDescent="0.2">
      <c r="A28" s="30" t="s">
        <v>30</v>
      </c>
      <c r="B28" s="31">
        <v>140829.10999999999</v>
      </c>
      <c r="C28" s="31">
        <v>270000</v>
      </c>
      <c r="D28" s="32">
        <f>Таблица4936997167333146617691106121136151166196211196226241[[#This Row],[Профит]]/Таблица4936997167333146617691106121136151166196211196226241[[#This Row],[План]]</f>
        <v>0.52158929629629625</v>
      </c>
    </row>
    <row r="29" spans="1:5" outlineLevel="1" x14ac:dyDescent="0.2">
      <c r="A29" s="30" t="s">
        <v>31</v>
      </c>
      <c r="B29" s="31">
        <v>155720.51</v>
      </c>
      <c r="C29" s="31">
        <v>330000</v>
      </c>
      <c r="D29" s="32">
        <f>Таблица4936997167333146617691106121136151166196211196226241[[#This Row],[Профит]]/Таблица4936997167333146617691106121136151166196211196226241[[#This Row],[План]]</f>
        <v>0.47188033333333335</v>
      </c>
    </row>
    <row r="30" spans="1:5" outlineLevel="1" x14ac:dyDescent="0.2">
      <c r="A30" s="30" t="s">
        <v>32</v>
      </c>
      <c r="B30" s="31">
        <v>165009.1</v>
      </c>
      <c r="C30" s="34">
        <v>390000</v>
      </c>
      <c r="D30" s="32">
        <f>Таблица4936997167333146617691106121136151166196211196226241[[#This Row],[Профит]]/Таблица4936997167333146617691106121136151166196211196226241[[#This Row],[План]]</f>
        <v>0.42310025641025645</v>
      </c>
    </row>
    <row r="31" spans="1:5" outlineLevel="1" x14ac:dyDescent="0.2">
      <c r="A31" s="30" t="s">
        <v>33</v>
      </c>
      <c r="B31" s="31">
        <v>76597.86</v>
      </c>
      <c r="C31" s="34">
        <v>300000</v>
      </c>
      <c r="D31" s="32">
        <f>Таблица4936997167333146617691106121136151166196211196226241[[#This Row],[Профит]]/Таблица4936997167333146617691106121136151166196211196226241[[#This Row],[План]]</f>
        <v>0.2553262</v>
      </c>
    </row>
    <row r="32" spans="1:5" outlineLevel="1" x14ac:dyDescent="0.2">
      <c r="A32" s="30" t="s">
        <v>34</v>
      </c>
      <c r="B32" s="31">
        <v>380912</v>
      </c>
      <c r="C32" s="34">
        <v>330000</v>
      </c>
      <c r="D32" s="32">
        <f>Таблица4936997167333146617691106121136151166196211196226241[[#This Row],[Профит]]/Таблица4936997167333146617691106121136151166196211196226241[[#This Row],[План]]</f>
        <v>1.1542787878787879</v>
      </c>
    </row>
    <row r="33" spans="1:8" outlineLevel="1" x14ac:dyDescent="0.2">
      <c r="A33" s="33" t="s">
        <v>35</v>
      </c>
      <c r="B33" s="31">
        <v>0</v>
      </c>
      <c r="C33" s="34">
        <v>360000</v>
      </c>
      <c r="D33" s="32">
        <f>Таблица4936997167333146617691106121136151166196211196226241[[#This Row],[Профит]]/Таблица4936997167333146617691106121136151166196211196226241[[#This Row],[План]]</f>
        <v>0</v>
      </c>
      <c r="H33" s="35"/>
    </row>
    <row r="34" spans="1:8" ht="15" outlineLevel="1" x14ac:dyDescent="0.25">
      <c r="A34" s="36" t="s">
        <v>36</v>
      </c>
      <c r="B34" s="37">
        <f>SUM(B22:B33)</f>
        <v>1587505.5000000002</v>
      </c>
      <c r="C34" s="38">
        <f>SUM(C22:C33)</f>
        <v>3290000</v>
      </c>
      <c r="D34" s="39"/>
    </row>
    <row r="35" spans="1:8" outlineLevel="1" x14ac:dyDescent="0.2">
      <c r="A35" s="41" t="s">
        <v>37</v>
      </c>
      <c r="B35" s="42">
        <f>AVERAGE(B22:B32)</f>
        <v>144318.68181818185</v>
      </c>
      <c r="C35" s="42">
        <f>AVERAGE(C22:C33)</f>
        <v>274166.66666666669</v>
      </c>
      <c r="D35" s="358" t="e">
        <f>B35/C340</f>
        <v>#DIV/0!</v>
      </c>
    </row>
    <row r="38" spans="1:8" ht="15" x14ac:dyDescent="0.25">
      <c r="A38" s="386" t="s">
        <v>38</v>
      </c>
      <c r="B38" s="386"/>
      <c r="C38" s="386"/>
      <c r="D38" s="386"/>
    </row>
    <row r="39" spans="1:8" s="45" customFormat="1" outlineLevel="1" x14ac:dyDescent="0.2">
      <c r="A39" s="44" t="s">
        <v>39</v>
      </c>
      <c r="B39" s="44" t="s">
        <v>40</v>
      </c>
      <c r="C39" s="44" t="s">
        <v>41</v>
      </c>
      <c r="D39" s="44" t="s">
        <v>42</v>
      </c>
      <c r="E39" s="44" t="s">
        <v>43</v>
      </c>
      <c r="F39" s="2"/>
    </row>
    <row r="40" spans="1:8" outlineLevel="1" x14ac:dyDescent="0.2">
      <c r="A40" s="8">
        <f>B32</f>
        <v>380912</v>
      </c>
      <c r="B40" s="46">
        <f>50000</f>
        <v>50000</v>
      </c>
      <c r="C40" s="136">
        <f>A40*0.07*1.1</f>
        <v>29330.224000000006</v>
      </c>
      <c r="D40" s="47">
        <f>SUM(G156:G157)</f>
        <v>21100</v>
      </c>
      <c r="E40" s="48">
        <v>0</v>
      </c>
    </row>
    <row r="41" spans="1:8" outlineLevel="1" x14ac:dyDescent="0.2">
      <c r="A41" s="49" t="s">
        <v>44</v>
      </c>
      <c r="B41" s="137">
        <f>Таблица294459759110712313915517118730466278941101261421585565725886026166306466626786947117282843587388103118133148163193208193223238[Оклад]+Таблица294459759110712313915517118730466278941101261421585565725886026166306466626786947117282843587388103118133148163193208193223238[Премия]+Таблица294459759110712313915517118730466278941101261421585565725886026166306466626786947117282843587388103118133148163193208193223238[Штрафы]+Таблица294459759110712313915517118730466278941101261421585565725886026166306466626786947117282843587388103118133148163193208193223238[Доплата за Задачи]</f>
        <v>100430.224</v>
      </c>
      <c r="C41" s="50"/>
    </row>
    <row r="42" spans="1:8" x14ac:dyDescent="0.2">
      <c r="A42" s="40"/>
      <c r="B42" s="40"/>
    </row>
    <row r="43" spans="1:8" x14ac:dyDescent="0.2">
      <c r="A43" s="51"/>
      <c r="B43" s="51"/>
      <c r="C43" s="51"/>
      <c r="D43" s="52"/>
      <c r="E43" s="53"/>
      <c r="F43" s="53"/>
      <c r="H43" s="22"/>
    </row>
    <row r="44" spans="1:8" ht="15" x14ac:dyDescent="0.25">
      <c r="A44" s="386" t="s">
        <v>45</v>
      </c>
      <c r="B44" s="386"/>
      <c r="C44" s="386"/>
      <c r="D44" s="386"/>
      <c r="E44" s="53"/>
      <c r="F44" s="53"/>
      <c r="H44" s="22"/>
    </row>
    <row r="45" spans="1:8" outlineLevel="1" x14ac:dyDescent="0.2">
      <c r="A45" s="5" t="s">
        <v>46</v>
      </c>
      <c r="B45" s="5" t="s">
        <v>47</v>
      </c>
      <c r="C45" s="5" t="s">
        <v>48</v>
      </c>
      <c r="D45" s="54" t="s">
        <v>49</v>
      </c>
      <c r="G45" s="40"/>
    </row>
    <row r="46" spans="1:8" outlineLevel="1" x14ac:dyDescent="0.2">
      <c r="A46" s="5" t="s">
        <v>1599</v>
      </c>
      <c r="B46" s="355">
        <v>181900</v>
      </c>
      <c r="C46" s="355">
        <v>245250</v>
      </c>
      <c r="D46" s="359">
        <f>Таблица546243318323946536067742532394653606774818895102112437506478921061101291411531651851733496581971131291451611772036526884100116132148547563579593607621637653669685702719193449647994109124139154184199184214229[[#This Row],[Сумма просроченного долга]]/Таблица546243318323946536067742532394653606774818895102112437506478921061101291411531651851733496581971131291451611772036526884100116132148547563579593607621637653669685702719193449647994109124139154184199184214229[[#This Row],[Общая сумма долга]]</f>
        <v>0.74169215086646278</v>
      </c>
      <c r="G46" s="40"/>
    </row>
    <row r="47" spans="1:8" outlineLevel="1" x14ac:dyDescent="0.2">
      <c r="A47" s="5" t="s">
        <v>2172</v>
      </c>
      <c r="B47" s="355">
        <v>5700</v>
      </c>
      <c r="C47" s="355">
        <v>5700</v>
      </c>
      <c r="D47" s="359">
        <f>Таблица546243318323946536067742532394653606774818895102112437506478921061101291411531651851733496581971131291451611772036526884100116132148547563579593607621637653669685702719193449647994109124139154184199184214229[[#This Row],[Сумма просроченного долга]]/Таблица546243318323946536067742532394653606774818895102112437506478921061101291411531651851733496581971131291451611772036526884100116132148547563579593607621637653669685702719193449647994109124139154184199184214229[[#This Row],[Общая сумма долга]]</f>
        <v>1</v>
      </c>
      <c r="G47" s="40"/>
    </row>
    <row r="48" spans="1:8" outlineLevel="1" x14ac:dyDescent="0.2">
      <c r="A48" s="5" t="s">
        <v>2169</v>
      </c>
      <c r="B48" s="356">
        <v>0</v>
      </c>
      <c r="C48" s="355">
        <v>111905.2</v>
      </c>
      <c r="D48" s="359">
        <f>Таблица546243318323946536067742532394653606774818895102112437506478921061101291411531651851733496581971131291451611772036526884100116132148547563579593607621637653669685702719193449647994109124139154184199184214229[[#This Row],[Сумма просроченного долга]]/Таблица546243318323946536067742532394653606774818895102112437506478921061101291411531651851733496581971131291451611772036526884100116132148547563579593607621637653669685702719193449647994109124139154184199184214229[[#This Row],[Общая сумма долга]]</f>
        <v>0</v>
      </c>
      <c r="G48" s="40"/>
    </row>
    <row r="49" spans="1:8" outlineLevel="1" x14ac:dyDescent="0.2">
      <c r="A49" s="5" t="s">
        <v>2171</v>
      </c>
      <c r="B49" s="356">
        <v>0</v>
      </c>
      <c r="C49" s="355">
        <v>49200</v>
      </c>
      <c r="D49" s="359">
        <f>Таблица546243318323946536067742532394653606774818895102112437506478921061101291411531651851733496581971131291451611772036526884100116132148547563579593607621637653669685702719193449647994109124139154184199184214229[[#This Row],[Сумма просроченного долга]]/Таблица546243318323946536067742532394653606774818895102112437506478921061101291411531651851733496581971131291451611772036526884100116132148547563579593607621637653669685702719193449647994109124139154184199184214229[[#This Row],[Общая сумма долга]]</f>
        <v>0</v>
      </c>
      <c r="G49" s="40"/>
    </row>
    <row r="50" spans="1:8" ht="14.25" customHeight="1" outlineLevel="1" x14ac:dyDescent="0.2">
      <c r="A50" s="55" t="s">
        <v>1041</v>
      </c>
      <c r="B50" s="356">
        <v>0</v>
      </c>
      <c r="C50" s="357">
        <v>1770750</v>
      </c>
      <c r="D50" s="359">
        <f>Таблица546243318323946536067742532394653606774818895102112437506478921061101291411531651851733496581971131291451611772036526884100116132148547563579593607621637653669685702719193449647994109124139154184199184214229[[#This Row],[Сумма просроченного долга]]/Таблица546243318323946536067742532394653606774818895102112437506478921061101291411531651851733496581971131291451611772036526884100116132148547563579593607621637653669685702719193449647994109124139154184199184214229[[#This Row],[Общая сумма долга]]</f>
        <v>0</v>
      </c>
      <c r="G50" s="62"/>
      <c r="H50" s="6"/>
    </row>
    <row r="51" spans="1:8" outlineLevel="1" x14ac:dyDescent="0.2">
      <c r="A51" s="63"/>
      <c r="B51" s="64" t="s">
        <v>50</v>
      </c>
      <c r="C51" s="65">
        <f>SUM(Таблица546243318323946536067742532394653606774818895102112437506478921061101291411531651851733496581971131291451611772036526884100116132148547563579593607621637653669685702719193449647994109124139154184199184214229[Общая сумма долга])</f>
        <v>2182805.2000000002</v>
      </c>
      <c r="D51" s="66">
        <v>4.5600000000000002E-2</v>
      </c>
      <c r="E51" s="67" t="s">
        <v>51</v>
      </c>
      <c r="F51" s="51"/>
      <c r="G51" s="51"/>
      <c r="H51" s="51"/>
    </row>
    <row r="52" spans="1:8" outlineLevel="1" x14ac:dyDescent="0.2">
      <c r="A52" s="63"/>
      <c r="B52" s="64"/>
      <c r="C52" s="65"/>
      <c r="D52" s="51"/>
      <c r="E52" s="51"/>
      <c r="F52" s="51"/>
      <c r="G52" s="51"/>
      <c r="H52" s="51"/>
    </row>
    <row r="53" spans="1:8" x14ac:dyDescent="0.2">
      <c r="A53" s="63"/>
      <c r="B53" s="51"/>
      <c r="C53" s="51"/>
      <c r="D53" s="52"/>
      <c r="E53" s="51"/>
      <c r="F53" s="53"/>
      <c r="G53" s="51"/>
      <c r="H53" s="68"/>
    </row>
    <row r="54" spans="1:8" x14ac:dyDescent="0.2">
      <c r="A54" s="63"/>
      <c r="B54" s="51"/>
      <c r="C54" s="51"/>
      <c r="D54" s="52"/>
      <c r="E54" s="51"/>
      <c r="F54" s="53"/>
      <c r="G54" s="51"/>
      <c r="H54" s="68"/>
    </row>
    <row r="55" spans="1:8" ht="15" x14ac:dyDescent="0.25">
      <c r="A55" s="387" t="s">
        <v>52</v>
      </c>
      <c r="B55" s="387"/>
      <c r="C55" s="387"/>
      <c r="D55" s="387"/>
      <c r="E55" s="53"/>
      <c r="F55" s="53"/>
      <c r="G55" s="51"/>
    </row>
    <row r="56" spans="1:8" s="6" customFormat="1" outlineLevel="1" x14ac:dyDescent="0.2">
      <c r="A56" s="18" t="s">
        <v>53</v>
      </c>
      <c r="B56" s="19" t="s">
        <v>54</v>
      </c>
      <c r="C56" s="19" t="s">
        <v>55</v>
      </c>
      <c r="D56" s="69" t="s">
        <v>56</v>
      </c>
      <c r="E56" s="69" t="s">
        <v>4</v>
      </c>
      <c r="F56" s="70" t="s">
        <v>57</v>
      </c>
      <c r="G56" s="277"/>
    </row>
    <row r="57" spans="1:8" s="6" customFormat="1" ht="26.25" customHeight="1" outlineLevel="1" x14ac:dyDescent="0.2">
      <c r="A57" s="173" t="s">
        <v>1041</v>
      </c>
      <c r="B57" s="246">
        <v>2459612.4500000002</v>
      </c>
      <c r="C57" s="131">
        <v>224112.82</v>
      </c>
      <c r="D57" s="249">
        <v>0.1</v>
      </c>
      <c r="E57" s="177" t="s">
        <v>94</v>
      </c>
      <c r="F57" s="250" t="s">
        <v>572</v>
      </c>
    </row>
    <row r="58" spans="1:8" s="6" customFormat="1" ht="26.25" customHeight="1" outlineLevel="1" x14ac:dyDescent="0.2">
      <c r="A58" s="173" t="s">
        <v>2169</v>
      </c>
      <c r="B58" s="246">
        <v>177205.2</v>
      </c>
      <c r="C58" s="131">
        <v>38333.370000000003</v>
      </c>
      <c r="D58" s="249">
        <v>0.27600000000000002</v>
      </c>
      <c r="E58" s="177" t="s">
        <v>94</v>
      </c>
      <c r="F58" s="250" t="s">
        <v>1248</v>
      </c>
    </row>
    <row r="59" spans="1:8" s="6" customFormat="1" ht="26.25" customHeight="1" outlineLevel="1" x14ac:dyDescent="0.2">
      <c r="A59" s="173" t="s">
        <v>1154</v>
      </c>
      <c r="B59" s="230">
        <v>39832.79</v>
      </c>
      <c r="C59" s="131">
        <v>39832.79</v>
      </c>
      <c r="D59" s="249">
        <v>1</v>
      </c>
      <c r="E59" s="177" t="s">
        <v>94</v>
      </c>
      <c r="F59" s="250" t="s">
        <v>2000</v>
      </c>
    </row>
    <row r="60" spans="1:8" s="6" customFormat="1" ht="26.25" customHeight="1" outlineLevel="1" x14ac:dyDescent="0.2">
      <c r="A60" s="173" t="s">
        <v>2170</v>
      </c>
      <c r="B60" s="246">
        <v>548100</v>
      </c>
      <c r="C60" s="131">
        <v>38257</v>
      </c>
      <c r="D60" s="249">
        <v>7.4999999999999997E-2</v>
      </c>
      <c r="E60" s="177" t="s">
        <v>94</v>
      </c>
      <c r="F60" s="250" t="s">
        <v>2258</v>
      </c>
    </row>
    <row r="61" spans="1:8" s="6" customFormat="1" ht="24.75" customHeight="1" outlineLevel="1" x14ac:dyDescent="0.2">
      <c r="A61" s="173" t="s">
        <v>2171</v>
      </c>
      <c r="B61" s="246">
        <v>49200</v>
      </c>
      <c r="C61" s="131">
        <v>17222</v>
      </c>
      <c r="D61" s="249">
        <v>0.53900000000000003</v>
      </c>
      <c r="E61" s="177" t="s">
        <v>94</v>
      </c>
      <c r="F61" s="250" t="s">
        <v>2271</v>
      </c>
    </row>
    <row r="62" spans="1:8" s="6" customFormat="1" ht="24.75" customHeight="1" outlineLevel="1" x14ac:dyDescent="0.2">
      <c r="A62" s="173" t="s">
        <v>1825</v>
      </c>
      <c r="B62" s="246">
        <v>104400</v>
      </c>
      <c r="C62" s="131">
        <v>9413.17</v>
      </c>
      <c r="D62" s="249">
        <v>9.9000000000000005E-2</v>
      </c>
      <c r="E62" s="177" t="s">
        <v>94</v>
      </c>
      <c r="F62" s="250" t="s">
        <v>1829</v>
      </c>
    </row>
    <row r="63" spans="1:8" s="6" customFormat="1" ht="24.75" customHeight="1" outlineLevel="1" x14ac:dyDescent="0.2">
      <c r="A63" s="173" t="s">
        <v>2144</v>
      </c>
      <c r="B63" s="246">
        <v>48958</v>
      </c>
      <c r="C63" s="131">
        <v>8017.9</v>
      </c>
      <c r="D63" s="249">
        <v>0.33400000000000002</v>
      </c>
      <c r="E63" s="177" t="s">
        <v>94</v>
      </c>
      <c r="F63" s="250" t="s">
        <v>282</v>
      </c>
    </row>
    <row r="64" spans="1:8" s="6" customFormat="1" ht="24.75" customHeight="1" outlineLevel="1" x14ac:dyDescent="0.2">
      <c r="A64" s="173" t="s">
        <v>1729</v>
      </c>
      <c r="B64" s="246">
        <v>36290</v>
      </c>
      <c r="C64" s="131">
        <v>4265.79</v>
      </c>
      <c r="D64" s="249">
        <v>0.13300000000000001</v>
      </c>
      <c r="E64" s="177" t="s">
        <v>94</v>
      </c>
      <c r="F64" s="250" t="s">
        <v>251</v>
      </c>
    </row>
    <row r="65" spans="1:10" s="6" customFormat="1" ht="24.75" customHeight="1" outlineLevel="1" x14ac:dyDescent="0.2">
      <c r="A65" s="173" t="s">
        <v>1186</v>
      </c>
      <c r="B65" s="246">
        <v>112000</v>
      </c>
      <c r="C65" s="131">
        <v>1566</v>
      </c>
      <c r="D65" s="249">
        <v>1.4E-2</v>
      </c>
      <c r="E65" s="177" t="s">
        <v>94</v>
      </c>
      <c r="F65" s="250" t="s">
        <v>1734</v>
      </c>
    </row>
    <row r="66" spans="1:10" s="6" customFormat="1" ht="24.75" customHeight="1" outlineLevel="1" x14ac:dyDescent="0.2">
      <c r="A66" s="173" t="s">
        <v>2172</v>
      </c>
      <c r="B66" s="246">
        <v>5700</v>
      </c>
      <c r="C66" s="131">
        <v>277.70999999999998</v>
      </c>
      <c r="D66" s="249">
        <v>5.0999999999999997E-2</v>
      </c>
      <c r="E66" s="177" t="s">
        <v>94</v>
      </c>
      <c r="F66" s="250" t="s">
        <v>2272</v>
      </c>
    </row>
    <row r="67" spans="1:10" s="6" customFormat="1" ht="24.75" customHeight="1" outlineLevel="1" x14ac:dyDescent="0.2">
      <c r="A67" s="173" t="s">
        <v>1599</v>
      </c>
      <c r="B67" s="246">
        <v>2700</v>
      </c>
      <c r="C67" s="131">
        <v>208.82</v>
      </c>
      <c r="D67" s="249">
        <v>8.4000000000000005E-2</v>
      </c>
      <c r="E67" s="177" t="s">
        <v>94</v>
      </c>
      <c r="F67" s="250" t="s">
        <v>251</v>
      </c>
    </row>
    <row r="68" spans="1:10" s="6" customFormat="1" ht="24.75" customHeight="1" outlineLevel="1" x14ac:dyDescent="0.2">
      <c r="A68" s="173" t="s">
        <v>1823</v>
      </c>
      <c r="B68" s="246">
        <v>3800</v>
      </c>
      <c r="C68" s="131">
        <v>-595.66</v>
      </c>
      <c r="D68" s="249">
        <v>-0.13600000000000001</v>
      </c>
      <c r="E68" s="177" t="s">
        <v>94</v>
      </c>
      <c r="F68" s="250" t="s">
        <v>1248</v>
      </c>
    </row>
    <row r="69" spans="1:10" x14ac:dyDescent="0.2">
      <c r="A69" s="51"/>
      <c r="B69" s="51"/>
      <c r="C69" s="51"/>
      <c r="D69" s="52"/>
      <c r="E69" s="51"/>
      <c r="F69" s="53"/>
      <c r="G69" s="51"/>
    </row>
    <row r="70" spans="1:10" ht="15" x14ac:dyDescent="0.25">
      <c r="A70" s="386" t="s">
        <v>58</v>
      </c>
      <c r="B70" s="386"/>
      <c r="C70" s="386"/>
      <c r="D70" s="386"/>
      <c r="E70" s="79"/>
      <c r="F70" s="79"/>
    </row>
    <row r="71" spans="1:10" ht="15" customHeight="1" outlineLevel="1" x14ac:dyDescent="0.2">
      <c r="A71" s="80">
        <v>46023</v>
      </c>
      <c r="B71" s="81" t="s">
        <v>21</v>
      </c>
      <c r="C71" s="81" t="s">
        <v>59</v>
      </c>
      <c r="D71" s="81" t="s">
        <v>60</v>
      </c>
      <c r="E71" s="81" t="s">
        <v>61</v>
      </c>
      <c r="F71" s="81" t="s">
        <v>62</v>
      </c>
      <c r="G71" s="81" t="s">
        <v>63</v>
      </c>
      <c r="H71" s="81" t="s">
        <v>64</v>
      </c>
    </row>
    <row r="72" spans="1:10" outlineLevel="1" x14ac:dyDescent="0.2">
      <c r="A72" s="82"/>
      <c r="B72" s="282">
        <v>360000</v>
      </c>
      <c r="C72" s="283">
        <v>0</v>
      </c>
      <c r="D72" s="282">
        <v>49000</v>
      </c>
      <c r="E72" s="282">
        <v>123000</v>
      </c>
      <c r="F72" s="282">
        <v>393000</v>
      </c>
      <c r="G72" s="282">
        <f>C72+D72+E72*0.5+F72*0.05</f>
        <v>130150</v>
      </c>
      <c r="H72" s="284">
        <f>Таблица9132738193340475461687582899682891101171241311381451521591661731801871945121926334047546168758289961031101171241311381451521591661741821902052131241361481601721922440627894110126142158174190334965819711312914516155957559160361763164766367969571239[[#This Row],[Столбец6]]/Таблица9132738193340475461687582899682891101171241311381451521591661731801871945121926334047546168758289961031101171241311381451521591661741821902052131241361481601721922440627894110126142158174190334965819711312914516155957559160361763164766367969571239[[#This Row],[Столбец1]]</f>
        <v>0.36152777777777778</v>
      </c>
    </row>
    <row r="73" spans="1:10" outlineLevel="1" x14ac:dyDescent="0.2">
      <c r="A73" s="40"/>
      <c r="B73" s="40"/>
      <c r="C73" s="40"/>
      <c r="D73" s="40"/>
      <c r="E73" s="40"/>
      <c r="F73" s="40"/>
      <c r="G73" s="40"/>
      <c r="H73" s="86"/>
    </row>
    <row r="74" spans="1:10" outlineLevel="1" x14ac:dyDescent="0.2">
      <c r="A74" s="80">
        <v>46054</v>
      </c>
      <c r="B74" s="81" t="s">
        <v>21</v>
      </c>
      <c r="C74" s="81" t="s">
        <v>59</v>
      </c>
      <c r="D74" s="81" t="s">
        <v>60</v>
      </c>
      <c r="E74" s="81" t="s">
        <v>61</v>
      </c>
      <c r="F74" s="81" t="s">
        <v>62</v>
      </c>
      <c r="G74" s="81" t="s">
        <v>63</v>
      </c>
      <c r="H74" s="81" t="s">
        <v>64</v>
      </c>
    </row>
    <row r="75" spans="1:10" ht="15" customHeight="1" outlineLevel="1" x14ac:dyDescent="0.2">
      <c r="A75" s="87"/>
      <c r="B75" s="282">
        <v>390000</v>
      </c>
      <c r="C75" s="283">
        <v>0</v>
      </c>
      <c r="D75" s="285">
        <v>400000</v>
      </c>
      <c r="E75" s="283">
        <v>133000</v>
      </c>
      <c r="F75" s="286">
        <v>717000</v>
      </c>
      <c r="G75" s="282">
        <f>C75+D75+E75*0.5+F75*0.05</f>
        <v>502350</v>
      </c>
      <c r="H75" s="284">
        <f>Таблица9132738193340475461687582899682891101171241311381451521591661731801871945121926334047546168758289961031101171241311381451521591661741821902052131191251371491611731932541567288104120136152168184274359759110712313915555356958559961362764365967569235[[#This Row],[Столбец6]]/Таблица9132738193340475461687582899682891101171241311381451521591661731801871945121926334047546168758289961031101171241311381451521591661741821902052131191251371491611731932541567288104120136152168184274359759110712313915555356958559961362764365967569235[[#This Row],[Столбец1]]</f>
        <v>1.2880769230769231</v>
      </c>
    </row>
    <row r="76" spans="1:10" x14ac:dyDescent="0.2">
      <c r="A76" s="63"/>
      <c r="B76" s="51"/>
      <c r="C76" s="51"/>
      <c r="D76" s="52"/>
      <c r="E76" s="51"/>
    </row>
    <row r="77" spans="1:10" x14ac:dyDescent="0.2">
      <c r="A77" s="51"/>
      <c r="B77" s="51"/>
      <c r="C77" s="51"/>
      <c r="D77" s="52"/>
      <c r="E77" s="51"/>
    </row>
    <row r="78" spans="1:10" ht="15.75" x14ac:dyDescent="0.25">
      <c r="A78" s="88" t="s">
        <v>65</v>
      </c>
      <c r="B78" s="89"/>
    </row>
    <row r="79" spans="1:10" ht="15" x14ac:dyDescent="0.25">
      <c r="A79" s="387" t="s">
        <v>66</v>
      </c>
      <c r="B79" s="387"/>
      <c r="C79" s="387"/>
      <c r="D79" s="387"/>
      <c r="E79" s="90"/>
      <c r="F79" s="90"/>
      <c r="G79" s="235">
        <f>SUM(Таблица4211720344148556269768390978390111118125132139146153160167174181188195613202734414855626976839097104111118125132139146153160167175183198206214123135147159171191233955718710311913515116718326425874901061221381545525685845986126266426586746907077234[Сумма, тыс. руб.])*1000</f>
        <v>7547000</v>
      </c>
      <c r="H79" s="276"/>
    </row>
    <row r="80" spans="1:10" outlineLevel="1" x14ac:dyDescent="0.2">
      <c r="A80" s="91" t="s">
        <v>67</v>
      </c>
      <c r="B80" s="91" t="s">
        <v>53</v>
      </c>
      <c r="C80" s="91" t="s">
        <v>4</v>
      </c>
      <c r="D80" s="91" t="s">
        <v>68</v>
      </c>
      <c r="E80" s="91" t="s">
        <v>69</v>
      </c>
      <c r="F80" s="91" t="s">
        <v>70</v>
      </c>
      <c r="G80" s="91" t="s">
        <v>71</v>
      </c>
      <c r="H80" s="91" t="s">
        <v>72</v>
      </c>
      <c r="I80" s="276"/>
      <c r="J80" s="276"/>
    </row>
    <row r="81" spans="1:9" s="258" customFormat="1" ht="24.95" customHeight="1" outlineLevel="1" x14ac:dyDescent="0.2">
      <c r="A81" s="230" t="s">
        <v>1577</v>
      </c>
      <c r="B81" s="230" t="s">
        <v>1580</v>
      </c>
      <c r="C81" s="177" t="s">
        <v>94</v>
      </c>
      <c r="D81" s="173" t="s">
        <v>1581</v>
      </c>
      <c r="E81" s="230" t="s">
        <v>1583</v>
      </c>
      <c r="F81" s="218" t="s">
        <v>1347</v>
      </c>
      <c r="G81" s="131">
        <v>1240</v>
      </c>
      <c r="H81" s="173" t="s">
        <v>280</v>
      </c>
      <c r="I81" s="360" t="s">
        <v>2306</v>
      </c>
    </row>
    <row r="82" spans="1:9" s="258" customFormat="1" ht="24.95" customHeight="1" outlineLevel="1" x14ac:dyDescent="0.2">
      <c r="A82" s="230" t="s">
        <v>1765</v>
      </c>
      <c r="B82" s="230" t="s">
        <v>1766</v>
      </c>
      <c r="C82" s="177" t="s">
        <v>94</v>
      </c>
      <c r="D82" s="173" t="s">
        <v>73</v>
      </c>
      <c r="E82" s="230" t="s">
        <v>1783</v>
      </c>
      <c r="F82" s="218" t="s">
        <v>1347</v>
      </c>
      <c r="G82" s="131">
        <v>1000</v>
      </c>
      <c r="H82" s="173" t="s">
        <v>1019</v>
      </c>
    </row>
    <row r="83" spans="1:9" s="258" customFormat="1" ht="24.95" customHeight="1" outlineLevel="1" x14ac:dyDescent="0.2">
      <c r="A83" s="230" t="s">
        <v>2190</v>
      </c>
      <c r="B83" s="230" t="s">
        <v>2215</v>
      </c>
      <c r="C83" s="177" t="s">
        <v>94</v>
      </c>
      <c r="D83" s="173" t="s">
        <v>73</v>
      </c>
      <c r="E83" s="230" t="s">
        <v>2223</v>
      </c>
      <c r="F83" s="218" t="s">
        <v>1347</v>
      </c>
      <c r="G83" s="131">
        <v>825</v>
      </c>
      <c r="H83" s="173" t="s">
        <v>390</v>
      </c>
    </row>
    <row r="84" spans="1:9" s="258" customFormat="1" ht="24.95" customHeight="1" outlineLevel="1" x14ac:dyDescent="0.2">
      <c r="A84" s="230" t="s">
        <v>2193</v>
      </c>
      <c r="B84" s="230" t="s">
        <v>2217</v>
      </c>
      <c r="C84" s="177" t="s">
        <v>94</v>
      </c>
      <c r="D84" s="173" t="s">
        <v>73</v>
      </c>
      <c r="E84" s="230" t="s">
        <v>2226</v>
      </c>
      <c r="F84" s="218" t="s">
        <v>1347</v>
      </c>
      <c r="G84" s="131">
        <v>587</v>
      </c>
      <c r="H84" s="173" t="s">
        <v>168</v>
      </c>
    </row>
    <row r="85" spans="1:9" s="258" customFormat="1" ht="24.95" customHeight="1" outlineLevel="1" x14ac:dyDescent="0.2">
      <c r="A85" s="230" t="s">
        <v>2194</v>
      </c>
      <c r="B85" s="230" t="s">
        <v>2218</v>
      </c>
      <c r="C85" s="177" t="s">
        <v>94</v>
      </c>
      <c r="D85" s="173" t="s">
        <v>73</v>
      </c>
      <c r="E85" s="230" t="s">
        <v>1248</v>
      </c>
      <c r="F85" s="218" t="s">
        <v>1347</v>
      </c>
      <c r="G85" s="131">
        <v>500</v>
      </c>
      <c r="H85" s="173" t="s">
        <v>168</v>
      </c>
    </row>
    <row r="86" spans="1:9" s="258" customFormat="1" ht="24.95" customHeight="1" outlineLevel="1" x14ac:dyDescent="0.2">
      <c r="A86" s="230" t="s">
        <v>2195</v>
      </c>
      <c r="B86" s="230" t="s">
        <v>2219</v>
      </c>
      <c r="C86" s="177" t="s">
        <v>94</v>
      </c>
      <c r="D86" s="173" t="s">
        <v>73</v>
      </c>
      <c r="E86" s="230" t="s">
        <v>2227</v>
      </c>
      <c r="F86" s="218" t="s">
        <v>1347</v>
      </c>
      <c r="G86" s="131">
        <v>484</v>
      </c>
      <c r="H86" s="173" t="s">
        <v>390</v>
      </c>
      <c r="I86" s="360" t="s">
        <v>2306</v>
      </c>
    </row>
    <row r="87" spans="1:9" s="258" customFormat="1" ht="24.95" customHeight="1" outlineLevel="1" x14ac:dyDescent="0.2">
      <c r="A87" s="190" t="s">
        <v>2196</v>
      </c>
      <c r="B87" s="176" t="s">
        <v>2220</v>
      </c>
      <c r="C87" s="177" t="s">
        <v>94</v>
      </c>
      <c r="D87" s="173" t="s">
        <v>73</v>
      </c>
      <c r="E87" s="178" t="s">
        <v>251</v>
      </c>
      <c r="F87" s="218" t="s">
        <v>1347</v>
      </c>
      <c r="G87" s="131">
        <v>477</v>
      </c>
      <c r="H87" s="173" t="s">
        <v>168</v>
      </c>
    </row>
    <row r="88" spans="1:9" s="258" customFormat="1" ht="24.95" customHeight="1" outlineLevel="1" x14ac:dyDescent="0.2">
      <c r="A88" s="190" t="s">
        <v>1345</v>
      </c>
      <c r="B88" s="176" t="s">
        <v>1346</v>
      </c>
      <c r="C88" s="177" t="s">
        <v>94</v>
      </c>
      <c r="D88" s="173" t="s">
        <v>73</v>
      </c>
      <c r="E88" s="178" t="s">
        <v>1138</v>
      </c>
      <c r="F88" s="218" t="s">
        <v>1347</v>
      </c>
      <c r="G88" s="131">
        <v>428</v>
      </c>
      <c r="H88" s="173" t="s">
        <v>1348</v>
      </c>
    </row>
    <row r="89" spans="1:9" s="258" customFormat="1" ht="24.95" customHeight="1" outlineLevel="1" x14ac:dyDescent="0.2">
      <c r="A89" s="190" t="s">
        <v>2197</v>
      </c>
      <c r="B89" s="176" t="s">
        <v>1599</v>
      </c>
      <c r="C89" s="177" t="s">
        <v>94</v>
      </c>
      <c r="D89" s="173" t="s">
        <v>73</v>
      </c>
      <c r="E89" s="178" t="s">
        <v>2228</v>
      </c>
      <c r="F89" s="218" t="s">
        <v>1347</v>
      </c>
      <c r="G89" s="131">
        <v>421</v>
      </c>
      <c r="H89" s="173" t="s">
        <v>168</v>
      </c>
    </row>
    <row r="90" spans="1:9" s="258" customFormat="1" ht="24.95" customHeight="1" outlineLevel="1" x14ac:dyDescent="0.2">
      <c r="A90" s="190" t="s">
        <v>2021</v>
      </c>
      <c r="B90" s="176" t="s">
        <v>1041</v>
      </c>
      <c r="C90" s="177" t="s">
        <v>94</v>
      </c>
      <c r="D90" s="173" t="s">
        <v>73</v>
      </c>
      <c r="E90" s="178" t="s">
        <v>2033</v>
      </c>
      <c r="F90" s="218" t="s">
        <v>1347</v>
      </c>
      <c r="G90" s="131">
        <v>415</v>
      </c>
      <c r="H90" s="173" t="s">
        <v>1348</v>
      </c>
    </row>
    <row r="91" spans="1:9" s="258" customFormat="1" ht="24.95" customHeight="1" outlineLevel="1" x14ac:dyDescent="0.2">
      <c r="A91" s="190" t="s">
        <v>2198</v>
      </c>
      <c r="B91" s="176" t="s">
        <v>2171</v>
      </c>
      <c r="C91" s="177" t="s">
        <v>94</v>
      </c>
      <c r="D91" s="173" t="s">
        <v>73</v>
      </c>
      <c r="E91" s="178" t="s">
        <v>2229</v>
      </c>
      <c r="F91" s="218" t="s">
        <v>1347</v>
      </c>
      <c r="G91" s="131">
        <v>392</v>
      </c>
      <c r="H91" s="173" t="s">
        <v>168</v>
      </c>
    </row>
    <row r="92" spans="1:9" s="258" customFormat="1" ht="24.95" customHeight="1" outlineLevel="1" x14ac:dyDescent="0.2">
      <c r="A92" s="190" t="s">
        <v>1005</v>
      </c>
      <c r="B92" s="176" t="s">
        <v>1256</v>
      </c>
      <c r="C92" s="177" t="s">
        <v>94</v>
      </c>
      <c r="D92" s="173" t="s">
        <v>994</v>
      </c>
      <c r="E92" s="178" t="s">
        <v>994</v>
      </c>
      <c r="F92" s="218" t="s">
        <v>1347</v>
      </c>
      <c r="G92" s="131">
        <v>386</v>
      </c>
      <c r="H92" s="173" t="s">
        <v>280</v>
      </c>
    </row>
    <row r="93" spans="1:9" s="258" customFormat="1" ht="24.95" customHeight="1" outlineLevel="1" x14ac:dyDescent="0.2">
      <c r="A93" s="190" t="s">
        <v>2199</v>
      </c>
      <c r="B93" s="176" t="s">
        <v>1725</v>
      </c>
      <c r="C93" s="177" t="s">
        <v>94</v>
      </c>
      <c r="D93" s="173" t="s">
        <v>73</v>
      </c>
      <c r="E93" s="178" t="s">
        <v>2230</v>
      </c>
      <c r="F93" s="218" t="s">
        <v>1347</v>
      </c>
      <c r="G93" s="131">
        <v>131</v>
      </c>
      <c r="H93" s="173" t="s">
        <v>168</v>
      </c>
    </row>
    <row r="94" spans="1:9" s="258" customFormat="1" ht="24.95" customHeight="1" outlineLevel="1" x14ac:dyDescent="0.2">
      <c r="A94" s="190" t="s">
        <v>2189</v>
      </c>
      <c r="B94" s="176" t="s">
        <v>2175</v>
      </c>
      <c r="C94" s="177" t="s">
        <v>94</v>
      </c>
      <c r="D94" s="177" t="s">
        <v>73</v>
      </c>
      <c r="E94" s="178" t="s">
        <v>1828</v>
      </c>
      <c r="F94" s="179" t="s">
        <v>1347</v>
      </c>
      <c r="G94" s="131">
        <v>123</v>
      </c>
      <c r="H94" s="173" t="s">
        <v>168</v>
      </c>
    </row>
    <row r="95" spans="1:9" s="258" customFormat="1" ht="24.95" customHeight="1" outlineLevel="1" x14ac:dyDescent="0.2">
      <c r="A95" s="190" t="s">
        <v>1600</v>
      </c>
      <c r="B95" s="176" t="s">
        <v>104</v>
      </c>
      <c r="C95" s="177" t="s">
        <v>94</v>
      </c>
      <c r="D95" s="173" t="s">
        <v>73</v>
      </c>
      <c r="E95" s="178" t="s">
        <v>1640</v>
      </c>
      <c r="F95" s="218" t="s">
        <v>1347</v>
      </c>
      <c r="G95" s="131">
        <v>72</v>
      </c>
      <c r="H95" s="173" t="s">
        <v>168</v>
      </c>
    </row>
    <row r="96" spans="1:9" s="258" customFormat="1" ht="24.95" customHeight="1" outlineLevel="1" x14ac:dyDescent="0.2">
      <c r="A96" s="190" t="s">
        <v>2028</v>
      </c>
      <c r="B96" s="176" t="s">
        <v>2029</v>
      </c>
      <c r="C96" s="177" t="s">
        <v>94</v>
      </c>
      <c r="D96" s="173" t="s">
        <v>73</v>
      </c>
      <c r="E96" s="178" t="s">
        <v>102</v>
      </c>
      <c r="F96" s="218" t="s">
        <v>1347</v>
      </c>
      <c r="G96" s="131">
        <v>66</v>
      </c>
      <c r="H96" s="173" t="s">
        <v>168</v>
      </c>
    </row>
    <row r="97" spans="1:8" x14ac:dyDescent="0.2">
      <c r="A97" s="223"/>
      <c r="B97" s="104"/>
      <c r="C97" s="105"/>
      <c r="D97" s="106"/>
      <c r="E97" s="106"/>
      <c r="F97" s="107"/>
      <c r="G97" s="108"/>
      <c r="H97" s="106"/>
    </row>
    <row r="98" spans="1:8" x14ac:dyDescent="0.2">
      <c r="A98" s="104"/>
      <c r="B98" s="104"/>
      <c r="C98" s="105"/>
      <c r="D98" s="106"/>
      <c r="E98" s="106"/>
      <c r="F98" s="107"/>
      <c r="G98" s="108"/>
      <c r="H98" s="106"/>
    </row>
    <row r="99" spans="1:8" ht="15" x14ac:dyDescent="0.25">
      <c r="A99" s="387" t="s">
        <v>74</v>
      </c>
      <c r="B99" s="387"/>
      <c r="C99" s="387"/>
      <c r="D99" s="387"/>
      <c r="G99" s="235">
        <f>SUM(Таблица125138150162174194264257738910512113715316918528446076921081241401565545705866006146286446606766927097262641567186101116131146161191206191221236[Сумма])*1000</f>
        <v>8803000</v>
      </c>
      <c r="H99" s="276"/>
    </row>
    <row r="100" spans="1:8" outlineLevel="1" x14ac:dyDescent="0.2">
      <c r="A100" s="91" t="s">
        <v>67</v>
      </c>
      <c r="B100" s="91" t="s">
        <v>53</v>
      </c>
      <c r="C100" s="91" t="s">
        <v>4</v>
      </c>
      <c r="D100" s="91" t="s">
        <v>68</v>
      </c>
      <c r="E100" s="91" t="s">
        <v>69</v>
      </c>
      <c r="F100" s="91" t="s">
        <v>70</v>
      </c>
      <c r="G100" s="91" t="s">
        <v>75</v>
      </c>
      <c r="H100" s="91" t="s">
        <v>72</v>
      </c>
    </row>
    <row r="101" spans="1:8" ht="24.95" customHeight="1" outlineLevel="1" x14ac:dyDescent="0.2">
      <c r="A101" s="74" t="s">
        <v>2249</v>
      </c>
      <c r="B101" s="74" t="s">
        <v>2250</v>
      </c>
      <c r="C101" s="177" t="s">
        <v>94</v>
      </c>
      <c r="D101" s="94" t="s">
        <v>73</v>
      </c>
      <c r="E101" s="74" t="s">
        <v>2257</v>
      </c>
      <c r="F101" s="218" t="s">
        <v>2036</v>
      </c>
      <c r="G101" s="72">
        <v>2361</v>
      </c>
      <c r="H101" s="94" t="s">
        <v>2273</v>
      </c>
    </row>
    <row r="102" spans="1:8" ht="24.95" customHeight="1" outlineLevel="1" x14ac:dyDescent="0.2">
      <c r="A102" s="74" t="s">
        <v>2191</v>
      </c>
      <c r="B102" s="74" t="s">
        <v>1029</v>
      </c>
      <c r="C102" s="177" t="s">
        <v>94</v>
      </c>
      <c r="D102" s="94" t="s">
        <v>73</v>
      </c>
      <c r="E102" s="74" t="s">
        <v>2224</v>
      </c>
      <c r="F102" s="218" t="s">
        <v>2244</v>
      </c>
      <c r="G102" s="72">
        <v>1197</v>
      </c>
      <c r="H102" s="94" t="s">
        <v>2274</v>
      </c>
    </row>
    <row r="103" spans="1:8" ht="24.95" customHeight="1" outlineLevel="1" x14ac:dyDescent="0.2">
      <c r="A103" s="74" t="s">
        <v>2190</v>
      </c>
      <c r="B103" s="74" t="s">
        <v>2215</v>
      </c>
      <c r="C103" s="177" t="s">
        <v>94</v>
      </c>
      <c r="D103" s="94" t="s">
        <v>73</v>
      </c>
      <c r="E103" s="74" t="s">
        <v>2223</v>
      </c>
      <c r="F103" s="218" t="s">
        <v>1347</v>
      </c>
      <c r="G103" s="72">
        <v>825</v>
      </c>
      <c r="H103" s="94" t="s">
        <v>2275</v>
      </c>
    </row>
    <row r="104" spans="1:8" ht="24.95" customHeight="1" outlineLevel="1" x14ac:dyDescent="0.2">
      <c r="A104" s="74" t="s">
        <v>2192</v>
      </c>
      <c r="B104" s="74" t="s">
        <v>2216</v>
      </c>
      <c r="C104" s="177" t="s">
        <v>94</v>
      </c>
      <c r="D104" s="94" t="s">
        <v>73</v>
      </c>
      <c r="E104" s="74" t="s">
        <v>2225</v>
      </c>
      <c r="F104" s="218" t="s">
        <v>2156</v>
      </c>
      <c r="G104" s="72">
        <v>605</v>
      </c>
      <c r="H104" s="94" t="s">
        <v>2276</v>
      </c>
    </row>
    <row r="105" spans="1:8" ht="24.95" customHeight="1" outlineLevel="1" x14ac:dyDescent="0.2">
      <c r="A105" s="74" t="s">
        <v>2193</v>
      </c>
      <c r="B105" s="74" t="s">
        <v>2217</v>
      </c>
      <c r="C105" s="177" t="s">
        <v>94</v>
      </c>
      <c r="D105" s="94" t="s">
        <v>73</v>
      </c>
      <c r="E105" s="74" t="s">
        <v>2226</v>
      </c>
      <c r="F105" s="218" t="s">
        <v>1347</v>
      </c>
      <c r="G105" s="72">
        <v>587</v>
      </c>
      <c r="H105" s="94" t="s">
        <v>2277</v>
      </c>
    </row>
    <row r="106" spans="1:8" ht="24.95" customHeight="1" outlineLevel="1" x14ac:dyDescent="0.2">
      <c r="A106" s="74" t="s">
        <v>2194</v>
      </c>
      <c r="B106" s="74" t="s">
        <v>2218</v>
      </c>
      <c r="C106" s="177" t="s">
        <v>94</v>
      </c>
      <c r="D106" s="94" t="s">
        <v>73</v>
      </c>
      <c r="E106" s="74" t="s">
        <v>1248</v>
      </c>
      <c r="F106" s="218" t="s">
        <v>1347</v>
      </c>
      <c r="G106" s="72">
        <v>500</v>
      </c>
      <c r="H106" s="94" t="s">
        <v>2278</v>
      </c>
    </row>
    <row r="107" spans="1:8" ht="24.95" customHeight="1" outlineLevel="1" x14ac:dyDescent="0.2">
      <c r="A107" s="74" t="s">
        <v>2195</v>
      </c>
      <c r="B107" s="74" t="s">
        <v>2219</v>
      </c>
      <c r="C107" s="177" t="s">
        <v>94</v>
      </c>
      <c r="D107" s="94" t="s">
        <v>73</v>
      </c>
      <c r="E107" s="74" t="s">
        <v>2227</v>
      </c>
      <c r="F107" s="218" t="s">
        <v>1347</v>
      </c>
      <c r="G107" s="72">
        <v>484</v>
      </c>
      <c r="H107" s="94" t="s">
        <v>2279</v>
      </c>
    </row>
    <row r="108" spans="1:8" ht="24.95" customHeight="1" outlineLevel="1" x14ac:dyDescent="0.2">
      <c r="A108" s="74" t="s">
        <v>2196</v>
      </c>
      <c r="B108" s="74" t="s">
        <v>2220</v>
      </c>
      <c r="C108" s="177" t="s">
        <v>94</v>
      </c>
      <c r="D108" s="94" t="s">
        <v>73</v>
      </c>
      <c r="E108" s="74" t="s">
        <v>251</v>
      </c>
      <c r="F108" s="218" t="s">
        <v>1347</v>
      </c>
      <c r="G108" s="72">
        <v>477</v>
      </c>
      <c r="H108" s="94" t="s">
        <v>2280</v>
      </c>
    </row>
    <row r="109" spans="1:8" ht="24.95" customHeight="1" outlineLevel="1" x14ac:dyDescent="0.2">
      <c r="A109" s="74" t="s">
        <v>2197</v>
      </c>
      <c r="B109" s="74" t="s">
        <v>1599</v>
      </c>
      <c r="C109" s="177" t="s">
        <v>94</v>
      </c>
      <c r="D109" s="94" t="s">
        <v>73</v>
      </c>
      <c r="E109" s="74" t="s">
        <v>2228</v>
      </c>
      <c r="F109" s="218" t="s">
        <v>1347</v>
      </c>
      <c r="G109" s="72">
        <v>421</v>
      </c>
      <c r="H109" s="94" t="s">
        <v>2281</v>
      </c>
    </row>
    <row r="110" spans="1:8" ht="24.95" customHeight="1" outlineLevel="1" x14ac:dyDescent="0.2">
      <c r="A110" s="74" t="s">
        <v>2198</v>
      </c>
      <c r="B110" s="74" t="s">
        <v>2171</v>
      </c>
      <c r="C110" s="177" t="s">
        <v>94</v>
      </c>
      <c r="D110" s="94" t="s">
        <v>73</v>
      </c>
      <c r="E110" s="74" t="s">
        <v>2229</v>
      </c>
      <c r="F110" s="218" t="s">
        <v>1347</v>
      </c>
      <c r="G110" s="72">
        <v>392</v>
      </c>
      <c r="H110" s="94" t="s">
        <v>2282</v>
      </c>
    </row>
    <row r="111" spans="1:8" ht="24.95" customHeight="1" outlineLevel="1" x14ac:dyDescent="0.2">
      <c r="A111" s="74" t="s">
        <v>2251</v>
      </c>
      <c r="B111" s="74" t="s">
        <v>1186</v>
      </c>
      <c r="C111" s="177" t="s">
        <v>94</v>
      </c>
      <c r="D111" s="94" t="s">
        <v>73</v>
      </c>
      <c r="E111" s="74" t="s">
        <v>2258</v>
      </c>
      <c r="F111" s="218" t="s">
        <v>2036</v>
      </c>
      <c r="G111" s="72">
        <v>288</v>
      </c>
      <c r="H111" s="94" t="s">
        <v>2283</v>
      </c>
    </row>
    <row r="112" spans="1:8" ht="24.95" customHeight="1" outlineLevel="1" x14ac:dyDescent="0.2">
      <c r="A112" s="74" t="s">
        <v>2199</v>
      </c>
      <c r="B112" s="74" t="s">
        <v>1725</v>
      </c>
      <c r="C112" s="177" t="s">
        <v>94</v>
      </c>
      <c r="D112" s="94" t="s">
        <v>73</v>
      </c>
      <c r="E112" s="74" t="s">
        <v>2230</v>
      </c>
      <c r="F112" s="218" t="s">
        <v>1347</v>
      </c>
      <c r="G112" s="72">
        <v>131</v>
      </c>
      <c r="H112" s="94" t="s">
        <v>2284</v>
      </c>
    </row>
    <row r="113" spans="1:8" ht="24.95" customHeight="1" outlineLevel="1" x14ac:dyDescent="0.2">
      <c r="A113" s="190" t="s">
        <v>2189</v>
      </c>
      <c r="B113" s="176" t="s">
        <v>2175</v>
      </c>
      <c r="C113" s="177" t="s">
        <v>94</v>
      </c>
      <c r="D113" s="177" t="s">
        <v>73</v>
      </c>
      <c r="E113" s="178" t="s">
        <v>1828</v>
      </c>
      <c r="F113" s="179" t="s">
        <v>1347</v>
      </c>
      <c r="G113" s="131">
        <v>123</v>
      </c>
      <c r="H113" s="173" t="s">
        <v>2285</v>
      </c>
    </row>
    <row r="114" spans="1:8" ht="24.95" customHeight="1" outlineLevel="1" x14ac:dyDescent="0.2">
      <c r="A114" s="74" t="s">
        <v>2252</v>
      </c>
      <c r="B114" s="74" t="s">
        <v>1186</v>
      </c>
      <c r="C114" s="177" t="s">
        <v>94</v>
      </c>
      <c r="D114" s="94" t="s">
        <v>73</v>
      </c>
      <c r="E114" s="74" t="s">
        <v>2259</v>
      </c>
      <c r="F114" s="218" t="s">
        <v>2036</v>
      </c>
      <c r="G114" s="72">
        <v>112</v>
      </c>
      <c r="H114" s="94" t="s">
        <v>2286</v>
      </c>
    </row>
    <row r="115" spans="1:8" ht="24.95" customHeight="1" outlineLevel="1" x14ac:dyDescent="0.2">
      <c r="A115" s="74" t="s">
        <v>2253</v>
      </c>
      <c r="B115" s="74" t="s">
        <v>2169</v>
      </c>
      <c r="C115" s="177" t="s">
        <v>94</v>
      </c>
      <c r="D115" s="94" t="s">
        <v>73</v>
      </c>
      <c r="E115" s="74" t="s">
        <v>2227</v>
      </c>
      <c r="F115" s="218" t="s">
        <v>2036</v>
      </c>
      <c r="G115" s="72">
        <v>100</v>
      </c>
      <c r="H115" s="94" t="s">
        <v>2287</v>
      </c>
    </row>
    <row r="116" spans="1:8" ht="24.95" customHeight="1" outlineLevel="1" x14ac:dyDescent="0.2">
      <c r="A116" s="74" t="s">
        <v>2200</v>
      </c>
      <c r="B116" s="74" t="s">
        <v>2175</v>
      </c>
      <c r="C116" s="177" t="s">
        <v>94</v>
      </c>
      <c r="D116" s="94" t="s">
        <v>1646</v>
      </c>
      <c r="E116" s="74" t="s">
        <v>2231</v>
      </c>
      <c r="F116" s="218" t="s">
        <v>2245</v>
      </c>
      <c r="G116" s="72">
        <v>82</v>
      </c>
      <c r="H116" s="94" t="s">
        <v>2288</v>
      </c>
    </row>
    <row r="117" spans="1:8" ht="24.95" customHeight="1" outlineLevel="1" x14ac:dyDescent="0.2">
      <c r="A117" s="74" t="s">
        <v>2201</v>
      </c>
      <c r="B117" s="74" t="s">
        <v>2221</v>
      </c>
      <c r="C117" s="177" t="s">
        <v>94</v>
      </c>
      <c r="D117" s="94" t="s">
        <v>73</v>
      </c>
      <c r="E117" s="74" t="s">
        <v>1784</v>
      </c>
      <c r="F117" s="218" t="s">
        <v>2246</v>
      </c>
      <c r="G117" s="72">
        <v>64</v>
      </c>
      <c r="H117" s="94" t="s">
        <v>2289</v>
      </c>
    </row>
    <row r="118" spans="1:8" ht="24.95" customHeight="1" outlineLevel="1" x14ac:dyDescent="0.2">
      <c r="A118" s="74" t="s">
        <v>2254</v>
      </c>
      <c r="B118" s="74" t="s">
        <v>1041</v>
      </c>
      <c r="C118" s="177" t="s">
        <v>94</v>
      </c>
      <c r="D118" s="94" t="s">
        <v>73</v>
      </c>
      <c r="E118" s="74" t="s">
        <v>2260</v>
      </c>
      <c r="F118" s="218" t="s">
        <v>2036</v>
      </c>
      <c r="G118" s="72">
        <v>54</v>
      </c>
      <c r="H118" s="94" t="s">
        <v>2290</v>
      </c>
    </row>
    <row r="119" spans="1:8" ht="24.95" customHeight="1" outlineLevel="1" x14ac:dyDescent="0.2">
      <c r="A119" s="74" t="s">
        <v>2209</v>
      </c>
      <c r="B119" s="74" t="s">
        <v>2181</v>
      </c>
      <c r="C119" s="177" t="s">
        <v>94</v>
      </c>
      <c r="D119" s="94" t="s">
        <v>73</v>
      </c>
      <c r="E119" s="74" t="s">
        <v>2238</v>
      </c>
      <c r="F119" s="218" t="s">
        <v>1347</v>
      </c>
      <c r="G119" s="72">
        <v>0</v>
      </c>
      <c r="H119" s="94" t="s">
        <v>2291</v>
      </c>
    </row>
    <row r="120" spans="1:8" ht="24.95" customHeight="1" outlineLevel="1" x14ac:dyDescent="0.2">
      <c r="A120" s="74" t="s">
        <v>2208</v>
      </c>
      <c r="B120" s="74" t="s">
        <v>2181</v>
      </c>
      <c r="C120" s="177" t="s">
        <v>94</v>
      </c>
      <c r="D120" s="94" t="s">
        <v>73</v>
      </c>
      <c r="E120" s="74" t="s">
        <v>2237</v>
      </c>
      <c r="F120" s="218" t="s">
        <v>1347</v>
      </c>
      <c r="G120" s="72">
        <v>0</v>
      </c>
      <c r="H120" s="94" t="s">
        <v>2292</v>
      </c>
    </row>
    <row r="121" spans="1:8" ht="24.95" customHeight="1" outlineLevel="1" x14ac:dyDescent="0.2">
      <c r="A121" s="74" t="s">
        <v>2207</v>
      </c>
      <c r="B121" s="74" t="s">
        <v>2181</v>
      </c>
      <c r="C121" s="177" t="s">
        <v>94</v>
      </c>
      <c r="D121" s="94" t="s">
        <v>73</v>
      </c>
      <c r="E121" s="74" t="s">
        <v>1138</v>
      </c>
      <c r="F121" s="218" t="s">
        <v>2248</v>
      </c>
      <c r="G121" s="72">
        <v>0</v>
      </c>
      <c r="H121" s="94" t="s">
        <v>2293</v>
      </c>
    </row>
    <row r="122" spans="1:8" ht="24.95" customHeight="1" outlineLevel="1" x14ac:dyDescent="0.2">
      <c r="A122" s="74" t="s">
        <v>2206</v>
      </c>
      <c r="B122" s="74" t="s">
        <v>1938</v>
      </c>
      <c r="C122" s="177" t="s">
        <v>94</v>
      </c>
      <c r="D122" s="94" t="s">
        <v>73</v>
      </c>
      <c r="E122" s="74" t="s">
        <v>2236</v>
      </c>
      <c r="F122" s="218" t="s">
        <v>1347</v>
      </c>
      <c r="G122" s="72">
        <v>0</v>
      </c>
      <c r="H122" s="94" t="s">
        <v>2294</v>
      </c>
    </row>
    <row r="123" spans="1:8" ht="24.95" customHeight="1" outlineLevel="1" x14ac:dyDescent="0.2">
      <c r="A123" s="74" t="s">
        <v>2210</v>
      </c>
      <c r="B123" s="74" t="s">
        <v>2181</v>
      </c>
      <c r="C123" s="177" t="s">
        <v>94</v>
      </c>
      <c r="D123" s="94" t="s">
        <v>73</v>
      </c>
      <c r="E123" s="74" t="s">
        <v>2239</v>
      </c>
      <c r="F123" s="218" t="s">
        <v>1347</v>
      </c>
      <c r="G123" s="72">
        <v>0</v>
      </c>
      <c r="H123" s="94" t="s">
        <v>2295</v>
      </c>
    </row>
    <row r="124" spans="1:8" ht="24.95" customHeight="1" outlineLevel="1" x14ac:dyDescent="0.2">
      <c r="A124" s="74" t="s">
        <v>2212</v>
      </c>
      <c r="B124" s="74" t="s">
        <v>2181</v>
      </c>
      <c r="C124" s="177" t="s">
        <v>94</v>
      </c>
      <c r="D124" s="94" t="s">
        <v>73</v>
      </c>
      <c r="E124" s="74" t="s">
        <v>2241</v>
      </c>
      <c r="F124" s="218" t="s">
        <v>1347</v>
      </c>
      <c r="G124" s="72">
        <v>0</v>
      </c>
      <c r="H124" s="94" t="s">
        <v>2296</v>
      </c>
    </row>
    <row r="125" spans="1:8" ht="24.95" customHeight="1" outlineLevel="1" x14ac:dyDescent="0.2">
      <c r="A125" s="74" t="s">
        <v>2213</v>
      </c>
      <c r="B125" s="74" t="s">
        <v>2181</v>
      </c>
      <c r="C125" s="177" t="s">
        <v>94</v>
      </c>
      <c r="D125" s="94" t="s">
        <v>73</v>
      </c>
      <c r="E125" s="74" t="s">
        <v>2242</v>
      </c>
      <c r="F125" s="218" t="s">
        <v>1347</v>
      </c>
      <c r="G125" s="72">
        <v>0</v>
      </c>
      <c r="H125" s="94" t="s">
        <v>2297</v>
      </c>
    </row>
    <row r="126" spans="1:8" ht="24.95" customHeight="1" outlineLevel="1" x14ac:dyDescent="0.2">
      <c r="A126" s="74" t="s">
        <v>2203</v>
      </c>
      <c r="B126" s="74" t="s">
        <v>2175</v>
      </c>
      <c r="C126" s="177" t="s">
        <v>94</v>
      </c>
      <c r="D126" s="94" t="s">
        <v>1646</v>
      </c>
      <c r="E126" s="74" t="s">
        <v>2233</v>
      </c>
      <c r="F126" s="218" t="s">
        <v>1347</v>
      </c>
      <c r="G126" s="72">
        <v>0</v>
      </c>
      <c r="H126" s="94" t="s">
        <v>2298</v>
      </c>
    </row>
    <row r="127" spans="1:8" ht="24.95" customHeight="1" outlineLevel="1" x14ac:dyDescent="0.2">
      <c r="A127" s="74" t="s">
        <v>2202</v>
      </c>
      <c r="B127" s="74" t="s">
        <v>2175</v>
      </c>
      <c r="C127" s="177" t="s">
        <v>94</v>
      </c>
      <c r="D127" s="94" t="s">
        <v>1646</v>
      </c>
      <c r="E127" s="74" t="s">
        <v>2232</v>
      </c>
      <c r="F127" s="218" t="s">
        <v>2247</v>
      </c>
      <c r="G127" s="72">
        <v>0</v>
      </c>
      <c r="H127" s="94" t="s">
        <v>2299</v>
      </c>
    </row>
    <row r="128" spans="1:8" ht="24.95" customHeight="1" outlineLevel="1" x14ac:dyDescent="0.2">
      <c r="A128" s="244" t="s">
        <v>2204</v>
      </c>
      <c r="B128" s="220" t="s">
        <v>2169</v>
      </c>
      <c r="C128" s="177" t="s">
        <v>94</v>
      </c>
      <c r="D128" s="93" t="s">
        <v>1257</v>
      </c>
      <c r="E128" s="221" t="s">
        <v>2234</v>
      </c>
      <c r="F128" s="218" t="s">
        <v>1347</v>
      </c>
      <c r="G128" s="72">
        <v>0</v>
      </c>
      <c r="H128" s="94" t="s">
        <v>2300</v>
      </c>
    </row>
    <row r="129" spans="1:8" ht="24.95" customHeight="1" outlineLevel="1" x14ac:dyDescent="0.2">
      <c r="A129" s="190" t="s">
        <v>2205</v>
      </c>
      <c r="B129" s="176" t="s">
        <v>2169</v>
      </c>
      <c r="C129" s="177" t="s">
        <v>94</v>
      </c>
      <c r="D129" s="177" t="s">
        <v>1646</v>
      </c>
      <c r="E129" s="178" t="s">
        <v>2235</v>
      </c>
      <c r="F129" s="179" t="s">
        <v>1347</v>
      </c>
      <c r="G129" s="131">
        <v>0</v>
      </c>
      <c r="H129" s="173" t="s">
        <v>2301</v>
      </c>
    </row>
    <row r="130" spans="1:8" ht="24.95" customHeight="1" outlineLevel="1" x14ac:dyDescent="0.2">
      <c r="A130" s="74" t="s">
        <v>2211</v>
      </c>
      <c r="B130" s="74" t="s">
        <v>2169</v>
      </c>
      <c r="C130" s="177" t="s">
        <v>94</v>
      </c>
      <c r="D130" s="94" t="s">
        <v>73</v>
      </c>
      <c r="E130" s="74" t="s">
        <v>2240</v>
      </c>
      <c r="F130" s="218" t="s">
        <v>1347</v>
      </c>
      <c r="G130" s="72">
        <v>0</v>
      </c>
      <c r="H130" s="94" t="s">
        <v>2302</v>
      </c>
    </row>
    <row r="131" spans="1:8" ht="24.95" customHeight="1" outlineLevel="1" x14ac:dyDescent="0.2">
      <c r="A131" s="74" t="s">
        <v>2255</v>
      </c>
      <c r="B131" s="74" t="s">
        <v>1981</v>
      </c>
      <c r="C131" s="177" t="s">
        <v>94</v>
      </c>
      <c r="D131" s="94" t="s">
        <v>73</v>
      </c>
      <c r="E131" s="74" t="s">
        <v>2261</v>
      </c>
      <c r="F131" s="218" t="s">
        <v>1347</v>
      </c>
      <c r="G131" s="72">
        <v>0</v>
      </c>
      <c r="H131" s="94" t="s">
        <v>2303</v>
      </c>
    </row>
    <row r="132" spans="1:8" ht="24.95" customHeight="1" outlineLevel="1" x14ac:dyDescent="0.2">
      <c r="A132" s="74" t="s">
        <v>2256</v>
      </c>
      <c r="B132" s="74" t="s">
        <v>2219</v>
      </c>
      <c r="C132" s="177" t="s">
        <v>94</v>
      </c>
      <c r="D132" s="94" t="s">
        <v>73</v>
      </c>
      <c r="E132" s="74" t="s">
        <v>2262</v>
      </c>
      <c r="F132" s="218" t="s">
        <v>1347</v>
      </c>
      <c r="G132" s="72">
        <v>0</v>
      </c>
      <c r="H132" s="94" t="s">
        <v>2304</v>
      </c>
    </row>
    <row r="133" spans="1:8" ht="24.95" customHeight="1" outlineLevel="1" x14ac:dyDescent="0.2">
      <c r="A133" s="74" t="s">
        <v>2214</v>
      </c>
      <c r="B133" s="74" t="s">
        <v>2222</v>
      </c>
      <c r="C133" s="177" t="s">
        <v>94</v>
      </c>
      <c r="D133" s="94" t="s">
        <v>73</v>
      </c>
      <c r="E133" s="74" t="s">
        <v>2243</v>
      </c>
      <c r="F133" s="218" t="s">
        <v>2244</v>
      </c>
      <c r="G133" s="72">
        <v>0</v>
      </c>
      <c r="H133" s="94" t="s">
        <v>2305</v>
      </c>
    </row>
    <row r="134" spans="1:8" ht="15" customHeight="1" x14ac:dyDescent="0.2"/>
    <row r="135" spans="1:8" ht="15" customHeight="1" x14ac:dyDescent="0.2"/>
    <row r="136" spans="1:8" ht="15.75" x14ac:dyDescent="0.25">
      <c r="A136" s="1" t="s">
        <v>76</v>
      </c>
    </row>
    <row r="137" spans="1:8" ht="15" x14ac:dyDescent="0.25">
      <c r="A137" s="387" t="s">
        <v>77</v>
      </c>
      <c r="B137" s="387"/>
      <c r="C137" s="387"/>
      <c r="D137" s="387"/>
      <c r="E137" s="110"/>
      <c r="F137" s="111"/>
    </row>
    <row r="138" spans="1:8" s="104" customFormat="1" outlineLevel="1" x14ac:dyDescent="0.25">
      <c r="A138" s="112" t="s">
        <v>78</v>
      </c>
      <c r="B138" s="112" t="s">
        <v>53</v>
      </c>
      <c r="C138" s="91" t="s">
        <v>4</v>
      </c>
      <c r="D138" s="112" t="s">
        <v>79</v>
      </c>
      <c r="E138" s="91" t="s">
        <v>80</v>
      </c>
      <c r="F138" s="112" t="s">
        <v>81</v>
      </c>
      <c r="G138" s="112" t="s">
        <v>82</v>
      </c>
    </row>
    <row r="139" spans="1:8" s="104" customFormat="1" ht="23.25" customHeight="1" outlineLevel="1" x14ac:dyDescent="0.25">
      <c r="A139" s="171">
        <v>46070</v>
      </c>
      <c r="B139" s="173" t="s">
        <v>2175</v>
      </c>
      <c r="C139" s="173" t="s">
        <v>94</v>
      </c>
      <c r="D139" s="173" t="s">
        <v>2174</v>
      </c>
      <c r="E139" s="173" t="s">
        <v>2268</v>
      </c>
      <c r="F139" s="173" t="s">
        <v>109</v>
      </c>
      <c r="G139" s="173" t="s">
        <v>2176</v>
      </c>
    </row>
    <row r="140" spans="1:8" s="104" customFormat="1" ht="23.25" customHeight="1" outlineLevel="1" x14ac:dyDescent="0.25">
      <c r="A140" s="116">
        <v>46070</v>
      </c>
      <c r="B140" s="173" t="s">
        <v>2169</v>
      </c>
      <c r="C140" s="177" t="s">
        <v>94</v>
      </c>
      <c r="D140" s="173" t="s">
        <v>2173</v>
      </c>
      <c r="E140" s="173" t="s">
        <v>2267</v>
      </c>
      <c r="F140" s="173" t="s">
        <v>109</v>
      </c>
      <c r="G140" s="173" t="s">
        <v>2177</v>
      </c>
    </row>
    <row r="141" spans="1:8" s="104" customFormat="1" ht="23.25" customHeight="1" outlineLevel="1" x14ac:dyDescent="0.25">
      <c r="A141" s="116">
        <v>46070</v>
      </c>
      <c r="B141" s="173" t="s">
        <v>1981</v>
      </c>
      <c r="C141" s="177" t="s">
        <v>94</v>
      </c>
      <c r="D141" s="173" t="s">
        <v>2178</v>
      </c>
      <c r="E141" s="173" t="s">
        <v>2255</v>
      </c>
      <c r="F141" s="173" t="s">
        <v>2266</v>
      </c>
      <c r="G141" s="173" t="s">
        <v>2179</v>
      </c>
    </row>
    <row r="142" spans="1:8" s="104" customFormat="1" ht="23.25" customHeight="1" outlineLevel="1" x14ac:dyDescent="0.25">
      <c r="A142" s="116">
        <v>46080</v>
      </c>
      <c r="B142" s="173" t="s">
        <v>2181</v>
      </c>
      <c r="C142" s="177" t="s">
        <v>94</v>
      </c>
      <c r="D142" s="173" t="s">
        <v>2180</v>
      </c>
      <c r="E142" s="173" t="s">
        <v>2269</v>
      </c>
      <c r="F142" s="173" t="s">
        <v>109</v>
      </c>
      <c r="G142" s="173" t="s">
        <v>2182</v>
      </c>
    </row>
    <row r="143" spans="1:8" s="104" customFormat="1" ht="23.25" customHeight="1" outlineLevel="1" x14ac:dyDescent="0.25">
      <c r="A143" s="116">
        <v>46080</v>
      </c>
      <c r="B143" s="173" t="s">
        <v>1938</v>
      </c>
      <c r="C143" s="177" t="s">
        <v>94</v>
      </c>
      <c r="D143" s="173" t="s">
        <v>2183</v>
      </c>
      <c r="E143" s="173" t="s">
        <v>2206</v>
      </c>
      <c r="F143" s="173" t="s">
        <v>2265</v>
      </c>
      <c r="G143" s="173" t="s">
        <v>2184</v>
      </c>
    </row>
    <row r="144" spans="1:8" s="104" customFormat="1" ht="23.25" customHeight="1" outlineLevel="1" x14ac:dyDescent="0.25">
      <c r="A144" s="171">
        <v>46080</v>
      </c>
      <c r="B144" s="173" t="s">
        <v>1725</v>
      </c>
      <c r="C144" s="177" t="s">
        <v>94</v>
      </c>
      <c r="D144" s="173" t="s">
        <v>2185</v>
      </c>
      <c r="E144" s="173" t="s">
        <v>2199</v>
      </c>
      <c r="F144" s="173" t="s">
        <v>2264</v>
      </c>
      <c r="G144" s="173" t="s">
        <v>2263</v>
      </c>
    </row>
    <row r="145" spans="1:15" s="104" customFormat="1" ht="12" customHeight="1" outlineLevel="1" x14ac:dyDescent="0.2">
      <c r="A145" s="2"/>
      <c r="B145" s="118"/>
      <c r="C145" s="2"/>
      <c r="D145" s="2"/>
      <c r="E145" s="2"/>
      <c r="F145" s="2"/>
      <c r="G145" s="2"/>
    </row>
    <row r="146" spans="1:15" ht="24" customHeight="1" outlineLevel="1" x14ac:dyDescent="0.2">
      <c r="A146" s="118"/>
      <c r="B146" s="118"/>
    </row>
    <row r="147" spans="1:15" ht="24" customHeight="1" outlineLevel="1" x14ac:dyDescent="0.25">
      <c r="A147" s="387" t="s">
        <v>83</v>
      </c>
      <c r="B147" s="387"/>
      <c r="C147" s="387"/>
      <c r="D147" s="387"/>
      <c r="E147" s="212"/>
    </row>
    <row r="148" spans="1:15" ht="24" customHeight="1" outlineLevel="1" x14ac:dyDescent="0.2">
      <c r="A148" s="112" t="s">
        <v>78</v>
      </c>
      <c r="B148" s="112" t="s">
        <v>53</v>
      </c>
      <c r="C148" s="91" t="s">
        <v>4</v>
      </c>
      <c r="D148" s="112" t="s">
        <v>79</v>
      </c>
      <c r="E148" s="91" t="s">
        <v>80</v>
      </c>
      <c r="F148" s="112" t="s">
        <v>81</v>
      </c>
      <c r="G148" s="112" t="s">
        <v>82</v>
      </c>
    </row>
    <row r="149" spans="1:15" ht="24" customHeight="1" outlineLevel="1" x14ac:dyDescent="0.2">
      <c r="A149" s="287" t="s">
        <v>24</v>
      </c>
      <c r="B149" s="287"/>
      <c r="C149" s="287"/>
      <c r="D149" s="287"/>
      <c r="E149" s="287"/>
      <c r="F149" s="287"/>
      <c r="G149" s="287"/>
    </row>
    <row r="150" spans="1:15" ht="24" customHeight="1" outlineLevel="1" x14ac:dyDescent="0.2">
      <c r="A150" s="91"/>
      <c r="B150" s="91"/>
      <c r="C150" s="278"/>
      <c r="D150" s="280"/>
      <c r="E150" s="91"/>
      <c r="F150" s="91"/>
      <c r="G150" s="91"/>
    </row>
    <row r="152" spans="1:15" s="17" customFormat="1" outlineLevel="1" x14ac:dyDescent="0.2">
      <c r="A152" s="2"/>
      <c r="B152" s="2"/>
      <c r="C152" s="2"/>
      <c r="D152" s="2"/>
      <c r="E152" s="2"/>
      <c r="F152" s="2"/>
      <c r="G152" s="2"/>
    </row>
    <row r="153" spans="1:15" ht="60" customHeight="1" outlineLevel="1" x14ac:dyDescent="0.25">
      <c r="A153" s="1" t="s">
        <v>84</v>
      </c>
    </row>
    <row r="154" spans="1:15" ht="12.6" customHeight="1" outlineLevel="1" x14ac:dyDescent="0.25">
      <c r="A154" s="386" t="s">
        <v>85</v>
      </c>
      <c r="B154" s="386"/>
      <c r="C154" s="386"/>
      <c r="D154" s="386"/>
    </row>
    <row r="155" spans="1:15" ht="33" customHeight="1" outlineLevel="1" x14ac:dyDescent="0.2">
      <c r="A155" s="120" t="s">
        <v>81</v>
      </c>
      <c r="B155" s="120" t="s">
        <v>86</v>
      </c>
      <c r="C155" s="120" t="s">
        <v>87</v>
      </c>
      <c r="D155" s="120" t="s">
        <v>88</v>
      </c>
      <c r="E155" s="120" t="s">
        <v>89</v>
      </c>
      <c r="F155" s="120" t="s">
        <v>4</v>
      </c>
      <c r="G155" s="120" t="s">
        <v>90</v>
      </c>
    </row>
    <row r="156" spans="1:15" ht="217.5" customHeight="1" x14ac:dyDescent="0.2">
      <c r="A156" s="94"/>
      <c r="B156" s="219" t="s">
        <v>2165</v>
      </c>
      <c r="C156" s="238" t="s">
        <v>1280</v>
      </c>
      <c r="D156" s="225" t="s">
        <v>2187</v>
      </c>
      <c r="E156" s="132" t="s">
        <v>2167</v>
      </c>
      <c r="F156" s="74" t="s">
        <v>94</v>
      </c>
      <c r="G156" s="72">
        <v>12000</v>
      </c>
    </row>
    <row r="157" spans="1:15" ht="378.75" customHeight="1" x14ac:dyDescent="0.2">
      <c r="A157" s="94"/>
      <c r="B157" s="219" t="s">
        <v>2270</v>
      </c>
      <c r="C157" s="238" t="s">
        <v>1280</v>
      </c>
      <c r="D157" s="225" t="s">
        <v>2188</v>
      </c>
      <c r="E157" s="132" t="s">
        <v>2168</v>
      </c>
      <c r="F157" s="74" t="s">
        <v>94</v>
      </c>
      <c r="G157" s="72">
        <v>9100</v>
      </c>
    </row>
    <row r="158" spans="1:15" s="124" customFormat="1" ht="12.75" customHeight="1" outlineLevel="1" x14ac:dyDescent="0.2">
      <c r="A158" s="2"/>
      <c r="B158" s="122"/>
      <c r="C158" s="123"/>
      <c r="D158" s="2"/>
      <c r="E158" s="2"/>
      <c r="F158" s="122"/>
      <c r="G158" s="2"/>
      <c r="H158" s="2"/>
      <c r="I158" s="2"/>
      <c r="J158" s="2"/>
      <c r="K158" s="2"/>
      <c r="L158" s="2"/>
      <c r="M158" s="2"/>
      <c r="N158" s="2"/>
      <c r="O158" s="2"/>
    </row>
    <row r="159" spans="1:15" ht="60" customHeight="1" outlineLevel="1" x14ac:dyDescent="0.2">
      <c r="A159" s="122"/>
      <c r="B159" s="122"/>
      <c r="C159" s="123"/>
      <c r="F159" s="122"/>
    </row>
    <row r="160" spans="1:15" ht="60" customHeight="1" outlineLevel="1" x14ac:dyDescent="0.25">
      <c r="A160" s="386" t="s">
        <v>92</v>
      </c>
      <c r="B160" s="386"/>
      <c r="C160" s="386"/>
      <c r="D160" s="386"/>
    </row>
    <row r="161" spans="1:7" x14ac:dyDescent="0.2">
      <c r="A161" s="120" t="s">
        <v>81</v>
      </c>
      <c r="B161" s="120" t="s">
        <v>86</v>
      </c>
      <c r="C161" s="120" t="s">
        <v>87</v>
      </c>
      <c r="D161" s="120" t="s">
        <v>88</v>
      </c>
      <c r="E161" s="120" t="s">
        <v>89</v>
      </c>
      <c r="F161" s="120" t="s">
        <v>4</v>
      </c>
      <c r="G161" s="120" t="s">
        <v>90</v>
      </c>
    </row>
    <row r="162" spans="1:7" ht="140.25" x14ac:dyDescent="0.2">
      <c r="A162" s="230" t="s">
        <v>109</v>
      </c>
      <c r="B162" s="219" t="s">
        <v>2164</v>
      </c>
      <c r="C162" s="292"/>
      <c r="D162" s="292"/>
      <c r="E162" s="132" t="s">
        <v>913</v>
      </c>
      <c r="F162" s="74" t="s">
        <v>94</v>
      </c>
      <c r="G162" s="292"/>
    </row>
    <row r="163" spans="1:7" ht="63.75" x14ac:dyDescent="0.25">
      <c r="A163" s="230" t="s">
        <v>109</v>
      </c>
      <c r="B163" s="148" t="s">
        <v>2165</v>
      </c>
      <c r="C163" s="125"/>
      <c r="D163"/>
      <c r="E163" s="132" t="s">
        <v>2166</v>
      </c>
      <c r="F163" s="74" t="s">
        <v>94</v>
      </c>
      <c r="G163" s="126"/>
    </row>
    <row r="164" spans="1:7" ht="38.25" x14ac:dyDescent="0.25">
      <c r="A164" s="230" t="s">
        <v>109</v>
      </c>
      <c r="B164" s="148" t="s">
        <v>1745</v>
      </c>
      <c r="C164" s="125"/>
      <c r="D164"/>
      <c r="E164" s="132" t="s">
        <v>1742</v>
      </c>
      <c r="F164" s="74" t="s">
        <v>94</v>
      </c>
      <c r="G164" s="9"/>
    </row>
  </sheetData>
  <mergeCells count="14">
    <mergeCell ref="A154:D154"/>
    <mergeCell ref="A160:D160"/>
    <mergeCell ref="A55:D55"/>
    <mergeCell ref="A70:D70"/>
    <mergeCell ref="A79:D79"/>
    <mergeCell ref="A99:D99"/>
    <mergeCell ref="A137:D137"/>
    <mergeCell ref="A147:D147"/>
    <mergeCell ref="A44:D44"/>
    <mergeCell ref="A5:D5"/>
    <mergeCell ref="A10:D10"/>
    <mergeCell ref="A15:D15"/>
    <mergeCell ref="A20:D20"/>
    <mergeCell ref="A38:D38"/>
  </mergeCells>
  <conditionalFormatting sqref="G156:G157 C156:C157">
    <cfRule type="cellIs" dxfId="246" priority="19" operator="equal">
      <formula>"ДА"</formula>
    </cfRule>
    <cfRule type="cellIs" dxfId="245" priority="20" operator="equal">
      <formula>"НЕТ"</formula>
    </cfRule>
    <cfRule type="cellIs" dxfId="244" priority="21" operator="equal">
      <formula>"Нет"</formula>
    </cfRule>
    <cfRule type="cellIs" dxfId="243" priority="22" operator="equal">
      <formula>"нет"</formula>
    </cfRule>
    <cfRule type="cellIs" dxfId="242" priority="23" operator="equal">
      <formula>"ДА"</formula>
    </cfRule>
    <cfRule type="containsText" dxfId="241" priority="24" operator="containsText" text="Да">
      <formula>NOT(ISERROR(SEARCH("Да",C156)))</formula>
    </cfRule>
  </conditionalFormatting>
  <conditionalFormatting sqref="E7 E12">
    <cfRule type="cellIs" dxfId="240" priority="31" operator="lessThan">
      <formula>0</formula>
    </cfRule>
    <cfRule type="cellIs" dxfId="239" priority="32" operator="greaterThan">
      <formula>0</formula>
    </cfRule>
  </conditionalFormatting>
  <conditionalFormatting sqref="D7 D12 E17">
    <cfRule type="cellIs" dxfId="238" priority="29" operator="lessThan">
      <formula>0</formula>
    </cfRule>
    <cfRule type="cellIs" dxfId="237" priority="30" operator="greaterThan">
      <formula>0</formula>
    </cfRule>
  </conditionalFormatting>
  <conditionalFormatting sqref="H72">
    <cfRule type="cellIs" dxfId="236" priority="27" operator="lessThan">
      <formula>1</formula>
    </cfRule>
    <cfRule type="cellIs" dxfId="235" priority="28" operator="greaterThan">
      <formula>1</formula>
    </cfRule>
  </conditionalFormatting>
  <conditionalFormatting sqref="H75">
    <cfRule type="cellIs" dxfId="234" priority="25" operator="lessThan">
      <formula>1</formula>
    </cfRule>
    <cfRule type="cellIs" dxfId="233" priority="26" operator="greaterThan">
      <formula>1</formula>
    </cfRule>
  </conditionalFormatting>
  <conditionalFormatting sqref="G164">
    <cfRule type="cellIs" dxfId="232" priority="9" operator="equal">
      <formula>"ДА"</formula>
    </cfRule>
    <cfRule type="cellIs" dxfId="231" priority="10" operator="equal">
      <formula>"НЕТ"</formula>
    </cfRule>
    <cfRule type="cellIs" dxfId="230" priority="11" operator="equal">
      <formula>"Нет"</formula>
    </cfRule>
    <cfRule type="cellIs" dxfId="229" priority="12" operator="equal">
      <formula>"нет"</formula>
    </cfRule>
    <cfRule type="cellIs" dxfId="228" priority="13" operator="equal">
      <formula>"ДА"</formula>
    </cfRule>
    <cfRule type="containsText" dxfId="227" priority="14" operator="containsText" text="Да">
      <formula>NOT(ISERROR(SEARCH("Да",G164)))</formula>
    </cfRule>
  </conditionalFormatting>
  <conditionalFormatting sqref="G163">
    <cfRule type="cellIs" dxfId="226" priority="3" operator="equal">
      <formula>"ДА"</formula>
    </cfRule>
    <cfRule type="cellIs" dxfId="225" priority="4" operator="equal">
      <formula>"НЕТ"</formula>
    </cfRule>
    <cfRule type="cellIs" dxfId="224" priority="5" operator="equal">
      <formula>"Нет"</formula>
    </cfRule>
    <cfRule type="cellIs" dxfId="223" priority="6" operator="equal">
      <formula>"нет"</formula>
    </cfRule>
    <cfRule type="cellIs" dxfId="222" priority="7" operator="equal">
      <formula>"ДА"</formula>
    </cfRule>
  </conditionalFormatting>
  <conditionalFormatting sqref="B22:B33">
    <cfRule type="cellIs" dxfId="221" priority="1" operator="greaterThanOrEqual">
      <formula>$C$22</formula>
    </cfRule>
    <cfRule type="cellIs" dxfId="220" priority="2" operator="lessThan">
      <formula>$C$22</formula>
    </cfRule>
  </conditionalFormatting>
  <pageMargins left="0.7" right="0.7" top="0.75" bottom="0.75" header="0.3" footer="0.3"/>
  <pageSetup paperSize="9" orientation="portrait" r:id="rId1"/>
  <legacy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extLst>
    <ext xmlns:x14="http://schemas.microsoft.com/office/spreadsheetml/2009/9/main" uri="{78C0D931-6437-407d-A8EE-F0AAD7539E65}">
      <x14:conditionalFormattings>
        <x14:conditionalFormatting xmlns:xm="http://schemas.microsoft.com/office/excel/2006/main">
          <x14:cfRule type="containsText" priority="8" operator="containsText" text="Да" id="{56BFB364-1B78-44CB-A88C-A0BD024EE5F5}">
            <xm:f>NOT(ISERROR(SEARCH("Да",'Август. 25'!G256)))</xm:f>
            <x14:dxf>
              <font>
                <color rgb="FF006100"/>
              </font>
              <fill>
                <patternFill>
                  <bgColor rgb="FFC6EFCE"/>
                </patternFill>
              </fill>
            </x14:dxf>
          </x14:cfRule>
          <xm:sqref>G163</xm:sqref>
        </x14:conditionalFormatting>
      </x14:conditionalFormatting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6CF12-7EFC-44B0-90ED-11EEB0D2D00B}">
  <dimension ref="A1:O169"/>
  <sheetViews>
    <sheetView topLeftCell="A58" zoomScale="85" zoomScaleNormal="85" workbookViewId="0">
      <selection activeCell="B12" sqref="B12"/>
    </sheetView>
  </sheetViews>
  <sheetFormatPr defaultColWidth="9.140625" defaultRowHeight="12.75" outlineLevelRow="1" x14ac:dyDescent="0.2"/>
  <cols>
    <col min="1" max="1" width="30.28515625" style="2" customWidth="1"/>
    <col min="2" max="2" width="35.7109375" style="2" customWidth="1"/>
    <col min="3" max="3" width="31.5703125" style="2" bestFit="1" customWidth="1"/>
    <col min="4" max="4" width="74" style="2" customWidth="1"/>
    <col min="5" max="5" width="34.85546875" style="2" customWidth="1"/>
    <col min="6" max="6" width="27.140625" style="2" customWidth="1"/>
    <col min="7" max="7" width="27.42578125" style="2" customWidth="1"/>
    <col min="8" max="8" width="36" style="2" customWidth="1"/>
    <col min="9" max="16384" width="9.140625" style="2"/>
  </cols>
  <sheetData>
    <row r="1" spans="1:7" ht="24.75" customHeight="1" x14ac:dyDescent="0.25">
      <c r="A1" s="134" t="s">
        <v>94</v>
      </c>
    </row>
    <row r="2" spans="1:7" ht="15.75" x14ac:dyDescent="0.25">
      <c r="A2" s="134" t="s">
        <v>2311</v>
      </c>
    </row>
    <row r="3" spans="1:7" x14ac:dyDescent="0.2">
      <c r="A3" s="3"/>
    </row>
    <row r="4" spans="1:7" ht="15.75" x14ac:dyDescent="0.25">
      <c r="A4" s="1" t="s">
        <v>0</v>
      </c>
      <c r="B4" s="2" t="s">
        <v>1</v>
      </c>
      <c r="C4" s="2" t="s">
        <v>2</v>
      </c>
    </row>
    <row r="5" spans="1:7" ht="15" x14ac:dyDescent="0.25">
      <c r="A5" s="386" t="s">
        <v>3</v>
      </c>
      <c r="B5" s="386"/>
      <c r="C5" s="386"/>
      <c r="D5" s="386"/>
      <c r="F5" s="4"/>
    </row>
    <row r="6" spans="1:7" s="6" customFormat="1" outlineLevel="1" x14ac:dyDescent="0.2">
      <c r="A6" s="5" t="s">
        <v>4</v>
      </c>
      <c r="B6" s="5" t="s">
        <v>5</v>
      </c>
      <c r="C6" s="5" t="s">
        <v>6</v>
      </c>
      <c r="D6" s="5" t="s">
        <v>7</v>
      </c>
      <c r="E6" s="5" t="s">
        <v>8</v>
      </c>
      <c r="F6" s="5" t="s">
        <v>10</v>
      </c>
      <c r="G6" s="186"/>
    </row>
    <row r="7" spans="1:7" outlineLevel="1" x14ac:dyDescent="0.2">
      <c r="A7" s="7" t="s">
        <v>94</v>
      </c>
      <c r="B7" s="8">
        <f>C33</f>
        <v>360000</v>
      </c>
      <c r="C7" s="9">
        <f>B33</f>
        <v>173735.13</v>
      </c>
      <c r="D7" s="10">
        <f>Таблица11029163037445158657223303744515865727986931009223548627690104107127139151163183152947637995111127143159175183450668298114130146545561577589605619635651667683700717163247627792107122137152182197182212227242[Факт, руб.]/Таблица11029163037445158657223303744515865727986931009223548627690104107127139151163183152947637995111127143159175183450668298114130146545561577589605619635651667683700717163247627792107122137152182197182212227242[План, руб.]-100%</f>
        <v>-0.51740241666666664</v>
      </c>
      <c r="E7" s="11">
        <f>Таблица11029163037445158657223303744515865727986931009223548627690104107127139151163183152947637995111127143159175183450668298114130146545561577589605619635651667683700717163247627792107122137152182197182212227242[Факт, руб.]-Таблица11029163037445158657223303744515865727986931009223548627690104107127139151163183152947637995111127143159175183450668298114130146545561577589605619635651667683700717163247627792107122137152182197182212227242[План, руб.]</f>
        <v>-186264.87</v>
      </c>
      <c r="F7" s="9">
        <f>B32</f>
        <v>380912</v>
      </c>
      <c r="G7" s="185"/>
    </row>
    <row r="8" spans="1:7" x14ac:dyDescent="0.2">
      <c r="A8" s="12"/>
      <c r="B8" s="13"/>
      <c r="C8" s="13"/>
      <c r="D8" s="14"/>
      <c r="F8" s="15"/>
      <c r="G8" s="16"/>
    </row>
    <row r="9" spans="1:7" ht="15" customHeight="1" x14ac:dyDescent="0.2">
      <c r="A9" s="12"/>
      <c r="B9" s="13"/>
      <c r="C9" s="13"/>
      <c r="D9" s="14"/>
      <c r="F9" s="17"/>
    </row>
    <row r="10" spans="1:7" ht="15" x14ac:dyDescent="0.25">
      <c r="A10" s="386" t="s">
        <v>11</v>
      </c>
      <c r="B10" s="386"/>
      <c r="C10" s="386"/>
      <c r="D10" s="386"/>
      <c r="F10" s="17"/>
    </row>
    <row r="11" spans="1:7" s="6" customFormat="1" outlineLevel="1" x14ac:dyDescent="0.2">
      <c r="A11" s="18" t="s">
        <v>4</v>
      </c>
      <c r="B11" s="19" t="s">
        <v>12</v>
      </c>
      <c r="C11" s="19" t="s">
        <v>13</v>
      </c>
      <c r="D11" s="19" t="s">
        <v>7</v>
      </c>
      <c r="E11" s="19" t="s">
        <v>8</v>
      </c>
      <c r="F11" s="20"/>
    </row>
    <row r="12" spans="1:7" outlineLevel="1" x14ac:dyDescent="0.2">
      <c r="A12" s="7" t="s">
        <v>94</v>
      </c>
      <c r="B12" s="8">
        <f>SUM(C22:C33)</f>
        <v>3290000</v>
      </c>
      <c r="C12" s="8">
        <f>B34</f>
        <v>1761240.6300000004</v>
      </c>
      <c r="D12" s="21">
        <f>C12/B12-100%</f>
        <v>-0.46466850151975669</v>
      </c>
      <c r="E12" s="8">
        <f>C12-B12</f>
        <v>-1528759.3699999996</v>
      </c>
      <c r="F12" s="17"/>
      <c r="G12" s="22"/>
    </row>
    <row r="13" spans="1:7" x14ac:dyDescent="0.2">
      <c r="A13" s="12"/>
      <c r="B13" s="13"/>
      <c r="C13" s="13"/>
      <c r="D13" s="14"/>
      <c r="F13" s="17"/>
    </row>
    <row r="14" spans="1:7" x14ac:dyDescent="0.2">
      <c r="A14" s="13"/>
      <c r="B14" s="13"/>
      <c r="C14" s="13"/>
      <c r="D14" s="14"/>
      <c r="F14" s="17"/>
      <c r="G14" s="22"/>
    </row>
    <row r="15" spans="1:7" ht="15" x14ac:dyDescent="0.25">
      <c r="A15" s="386" t="s">
        <v>393</v>
      </c>
      <c r="B15" s="386"/>
      <c r="C15" s="386"/>
      <c r="D15" s="386"/>
      <c r="F15" s="17"/>
    </row>
    <row r="16" spans="1:7" s="6" customFormat="1" outlineLevel="1" x14ac:dyDescent="0.2">
      <c r="A16" s="5" t="s">
        <v>4</v>
      </c>
      <c r="B16" s="5" t="s">
        <v>16</v>
      </c>
      <c r="C16" s="5" t="s">
        <v>93</v>
      </c>
      <c r="D16" s="5" t="s">
        <v>1037</v>
      </c>
      <c r="E16" s="5" t="s">
        <v>17</v>
      </c>
      <c r="F16" s="23"/>
    </row>
    <row r="17" spans="1:5" outlineLevel="1" x14ac:dyDescent="0.2">
      <c r="A17" s="7" t="s">
        <v>94</v>
      </c>
      <c r="B17" s="8">
        <v>0</v>
      </c>
      <c r="C17" s="24">
        <v>178483</v>
      </c>
      <c r="D17" s="24">
        <f>B34</f>
        <v>1761240.6300000004</v>
      </c>
      <c r="E17" s="21">
        <f>Таблица211301731384552596673243138455259667380879410110233649637791105109128140152164184163248648096112128144160176193551678399115131147546562578590606620636652668684701718173348637893108123138153183198183213228243[Профит ФГ 25-26]/Таблица211301731384552596673243138455259667380879410110233649637791105109128140152164184163248648096112128144160176193551678399115131147546562578590606620636652668684701718173348637893108123138153183198183213228243[Профит ФГ 24-25]</f>
        <v>9.8678340794361379</v>
      </c>
    </row>
    <row r="20" spans="1:5" ht="15" x14ac:dyDescent="0.25">
      <c r="A20" s="386" t="s">
        <v>18</v>
      </c>
      <c r="B20" s="386"/>
      <c r="C20" s="386"/>
      <c r="D20" s="386"/>
    </row>
    <row r="21" spans="1:5" outlineLevel="1" x14ac:dyDescent="0.2">
      <c r="A21" s="25" t="s">
        <v>19</v>
      </c>
      <c r="B21" s="26" t="s">
        <v>20</v>
      </c>
      <c r="C21" s="26" t="s">
        <v>21</v>
      </c>
      <c r="D21" s="25" t="s">
        <v>22</v>
      </c>
    </row>
    <row r="22" spans="1:5" outlineLevel="1" x14ac:dyDescent="0.2">
      <c r="A22" s="30" t="s">
        <v>23</v>
      </c>
      <c r="B22" s="31">
        <v>255961.25</v>
      </c>
      <c r="C22" s="31">
        <v>170000</v>
      </c>
      <c r="D22" s="32">
        <f>Таблица4936997167333146617691106121136151166196211196226241256[[#This Row],[Профит]]/Таблица4936997167333146617691106121136151166196211196226241256[[#This Row],[План]]</f>
        <v>1.5056544117647059</v>
      </c>
    </row>
    <row r="23" spans="1:5" outlineLevel="1" x14ac:dyDescent="0.2">
      <c r="A23" s="30" t="s">
        <v>25</v>
      </c>
      <c r="B23" s="135">
        <v>85933.41</v>
      </c>
      <c r="C23" s="31">
        <v>190000</v>
      </c>
      <c r="D23" s="32">
        <f>Таблица4936997167333146617691106121136151166196211196226241256[[#This Row],[Профит]]/Таблица4936997167333146617691106121136151166196211196226241256[[#This Row],[План]]</f>
        <v>0.4522811052631579</v>
      </c>
    </row>
    <row r="24" spans="1:5" outlineLevel="1" x14ac:dyDescent="0.2">
      <c r="A24" s="30" t="s">
        <v>26</v>
      </c>
      <c r="B24" s="135">
        <v>60194.18</v>
      </c>
      <c r="C24" s="31">
        <v>210000</v>
      </c>
      <c r="D24" s="32">
        <f>Таблица4936997167333146617691106121136151166196211196226241256[[#This Row],[Профит]]/Таблица4936997167333146617691106121136151166196211196226241256[[#This Row],[План]]</f>
        <v>0.28663895238095238</v>
      </c>
    </row>
    <row r="25" spans="1:5" outlineLevel="1" x14ac:dyDescent="0.2">
      <c r="A25" s="30" t="s">
        <v>27</v>
      </c>
      <c r="B25" s="135">
        <v>88786.75</v>
      </c>
      <c r="C25" s="31">
        <v>220000</v>
      </c>
      <c r="D25" s="32">
        <f>Таблица4936997167333146617691106121136151166196211196226241256[[#This Row],[Профит]]/Таблица4936997167333146617691106121136151166196211196226241256[[#This Row],[План]]</f>
        <v>0.40357613636363637</v>
      </c>
    </row>
    <row r="26" spans="1:5" outlineLevel="1" x14ac:dyDescent="0.2">
      <c r="A26" s="30" t="s">
        <v>28</v>
      </c>
      <c r="B26" s="135">
        <v>51147.62</v>
      </c>
      <c r="C26" s="31">
        <v>250000</v>
      </c>
      <c r="D26" s="32">
        <f>Таблица4936997167333146617691106121136151166196211196226241256[[#This Row],[Профит]]/Таблица4936997167333146617691106121136151166196211196226241256[[#This Row],[План]]</f>
        <v>0.20459048000000002</v>
      </c>
    </row>
    <row r="27" spans="1:5" outlineLevel="1" x14ac:dyDescent="0.2">
      <c r="A27" s="30" t="s">
        <v>29</v>
      </c>
      <c r="B27" s="135">
        <v>126413.71</v>
      </c>
      <c r="C27" s="31">
        <v>270000</v>
      </c>
      <c r="D27" s="32">
        <f>Таблица4936997167333146617691106121136151166196211196226241256[[#This Row],[Профит]]/Таблица4936997167333146617691106121136151166196211196226241256[[#This Row],[План]]</f>
        <v>0.46819892592592594</v>
      </c>
    </row>
    <row r="28" spans="1:5" outlineLevel="1" x14ac:dyDescent="0.2">
      <c r="A28" s="30" t="s">
        <v>30</v>
      </c>
      <c r="B28" s="135">
        <v>140829.10999999999</v>
      </c>
      <c r="C28" s="31">
        <v>270000</v>
      </c>
      <c r="D28" s="32">
        <f>Таблица4936997167333146617691106121136151166196211196226241256[[#This Row],[Профит]]/Таблица4936997167333146617691106121136151166196211196226241256[[#This Row],[План]]</f>
        <v>0.52158929629629625</v>
      </c>
    </row>
    <row r="29" spans="1:5" outlineLevel="1" x14ac:dyDescent="0.2">
      <c r="A29" s="30" t="s">
        <v>31</v>
      </c>
      <c r="B29" s="31">
        <v>155720.51</v>
      </c>
      <c r="C29" s="31">
        <v>330000</v>
      </c>
      <c r="D29" s="32">
        <f>Таблица4936997167333146617691106121136151166196211196226241256[[#This Row],[Профит]]/Таблица4936997167333146617691106121136151166196211196226241256[[#This Row],[План]]</f>
        <v>0.47188033333333335</v>
      </c>
    </row>
    <row r="30" spans="1:5" outlineLevel="1" x14ac:dyDescent="0.2">
      <c r="A30" s="30" t="s">
        <v>32</v>
      </c>
      <c r="B30" s="34">
        <v>165009.1</v>
      </c>
      <c r="C30" s="34">
        <v>390000</v>
      </c>
      <c r="D30" s="32">
        <f>Таблица4936997167333146617691106121136151166196211196226241256[[#This Row],[Профит]]/Таблица4936997167333146617691106121136151166196211196226241256[[#This Row],[План]]</f>
        <v>0.42310025641025645</v>
      </c>
    </row>
    <row r="31" spans="1:5" outlineLevel="1" x14ac:dyDescent="0.2">
      <c r="A31" s="30" t="s">
        <v>33</v>
      </c>
      <c r="B31" s="34">
        <v>76597.86</v>
      </c>
      <c r="C31" s="34">
        <v>300000</v>
      </c>
      <c r="D31" s="32">
        <f>Таблица4936997167333146617691106121136151166196211196226241256[[#This Row],[Профит]]/Таблица4936997167333146617691106121136151166196211196226241256[[#This Row],[План]]</f>
        <v>0.2553262</v>
      </c>
    </row>
    <row r="32" spans="1:5" outlineLevel="1" x14ac:dyDescent="0.2">
      <c r="A32" s="30" t="s">
        <v>34</v>
      </c>
      <c r="B32" s="34">
        <v>380912</v>
      </c>
      <c r="C32" s="34">
        <v>330000</v>
      </c>
      <c r="D32" s="32">
        <f>Таблица4936997167333146617691106121136151166196211196226241256[[#This Row],[Профит]]/Таблица4936997167333146617691106121136151166196211196226241256[[#This Row],[План]]</f>
        <v>1.1542787878787879</v>
      </c>
    </row>
    <row r="33" spans="1:8" outlineLevel="1" x14ac:dyDescent="0.2">
      <c r="A33" s="33" t="s">
        <v>35</v>
      </c>
      <c r="B33" s="34">
        <v>173735.13</v>
      </c>
      <c r="C33" s="34">
        <v>360000</v>
      </c>
      <c r="D33" s="32">
        <f>Таблица4936997167333146617691106121136151166196211196226241256[[#This Row],[Профит]]/Таблица4936997167333146617691106121136151166196211196226241256[[#This Row],[План]]</f>
        <v>0.48259758333333336</v>
      </c>
      <c r="H33" s="35"/>
    </row>
    <row r="34" spans="1:8" ht="15" outlineLevel="1" x14ac:dyDescent="0.25">
      <c r="A34" s="36" t="s">
        <v>36</v>
      </c>
      <c r="B34" s="37">
        <f>SUM(B22:B33)</f>
        <v>1761240.6300000004</v>
      </c>
      <c r="C34" s="38">
        <f>SUM(C22:C33)</f>
        <v>3290000</v>
      </c>
      <c r="D34" s="39"/>
    </row>
    <row r="35" spans="1:8" outlineLevel="1" x14ac:dyDescent="0.2">
      <c r="A35" s="41" t="s">
        <v>37</v>
      </c>
      <c r="B35" s="42">
        <f>AVERAGE(B22:B33)</f>
        <v>146770.05250000002</v>
      </c>
      <c r="C35" s="42">
        <f>AVERAGE(C22:C33)</f>
        <v>274166.66666666669</v>
      </c>
      <c r="D35" s="43" t="e">
        <f>B35/C345</f>
        <v>#DIV/0!</v>
      </c>
    </row>
    <row r="38" spans="1:8" ht="15" x14ac:dyDescent="0.25">
      <c r="A38" s="386" t="s">
        <v>38</v>
      </c>
      <c r="B38" s="386"/>
      <c r="C38" s="386"/>
      <c r="D38" s="386"/>
    </row>
    <row r="39" spans="1:8" s="45" customFormat="1" outlineLevel="1" x14ac:dyDescent="0.2">
      <c r="A39" s="44" t="s">
        <v>39</v>
      </c>
      <c r="B39" s="44" t="s">
        <v>40</v>
      </c>
      <c r="C39" s="44" t="s">
        <v>41</v>
      </c>
      <c r="D39" s="44" t="s">
        <v>42</v>
      </c>
      <c r="E39" s="44" t="s">
        <v>43</v>
      </c>
      <c r="F39" s="2"/>
    </row>
    <row r="40" spans="1:8" ht="15" outlineLevel="1" x14ac:dyDescent="0.25">
      <c r="A40" s="8">
        <f>B33</f>
        <v>173735.13</v>
      </c>
      <c r="B40" s="46">
        <f>50000</f>
        <v>50000</v>
      </c>
      <c r="C40" s="136">
        <f>A40*0.07*1.1</f>
        <v>13377.605010000003</v>
      </c>
      <c r="D40" s="361">
        <f>SUM(G159:G161)</f>
        <v>0</v>
      </c>
      <c r="E40" s="48">
        <v>0</v>
      </c>
    </row>
    <row r="41" spans="1:8" outlineLevel="1" x14ac:dyDescent="0.2">
      <c r="A41" s="49" t="s">
        <v>44</v>
      </c>
      <c r="B41" s="137">
        <f>Таблица294459759110712313915517118730466278941101261421585565725886026166306466626786947117282843587388103118133148163193208193223238253[Оклад]+Таблица294459759110712313915517118730466278941101261421585565725886026166306466626786947117282843587388103118133148163193208193223238253[Премия]+Таблица294459759110712313915517118730466278941101261421585565725886026166306466626786947117282843587388103118133148163193208193223238253[Штрафы]+Таблица294459759110712313915517118730466278941101261421585565725886026166306466626786947117282843587388103118133148163193208193223238253[Доплата за Задачи]</f>
        <v>63377.605009999999</v>
      </c>
      <c r="C41" s="50"/>
    </row>
    <row r="42" spans="1:8" x14ac:dyDescent="0.2">
      <c r="A42" s="40"/>
      <c r="B42" s="40"/>
    </row>
    <row r="43" spans="1:8" x14ac:dyDescent="0.2">
      <c r="A43" s="51"/>
      <c r="B43" s="51"/>
      <c r="C43" s="51"/>
      <c r="D43" s="52"/>
      <c r="E43" s="53"/>
      <c r="F43" s="53"/>
      <c r="H43" s="22"/>
    </row>
    <row r="44" spans="1:8" ht="15" x14ac:dyDescent="0.25">
      <c r="A44" s="386" t="s">
        <v>45</v>
      </c>
      <c r="B44" s="386"/>
      <c r="C44" s="386"/>
      <c r="D44" s="386"/>
      <c r="E44" s="53"/>
      <c r="F44" s="53"/>
      <c r="H44" s="22"/>
    </row>
    <row r="45" spans="1:8" outlineLevel="1" x14ac:dyDescent="0.2">
      <c r="A45" s="5" t="s">
        <v>46</v>
      </c>
      <c r="B45" s="5" t="s">
        <v>47</v>
      </c>
      <c r="C45" s="5" t="s">
        <v>48</v>
      </c>
      <c r="D45" s="54" t="s">
        <v>49</v>
      </c>
      <c r="G45" s="40"/>
    </row>
    <row r="46" spans="1:8" ht="24.75" customHeight="1" outlineLevel="1" x14ac:dyDescent="0.2">
      <c r="A46" s="74"/>
      <c r="B46" s="363">
        <v>111905.2</v>
      </c>
      <c r="C46" s="363">
        <v>114585</v>
      </c>
      <c r="D46" s="94">
        <f>Таблица546243318323946536067742532394653606774818895102112437506478921061101291411531651851733496581971131291451611772036526884100116132148547563579593607621637653669685702719193449647994109124139154184199184214229244[[#This Row],[Сумма просроченного долга]]/Таблица546243318323946536067742532394653606774818895102112437506478921061101291411531651851733496581971131291451611772036526884100116132148547563579593607621637653669685702719193449647994109124139154184199184214229244[[#This Row],[Общая сумма долга]]</f>
        <v>0.97661299472007679</v>
      </c>
      <c r="G46" s="40"/>
    </row>
    <row r="47" spans="1:8" ht="24.75" customHeight="1" outlineLevel="1" x14ac:dyDescent="0.2">
      <c r="A47" s="74"/>
      <c r="B47" s="363">
        <v>49200</v>
      </c>
      <c r="C47" s="363">
        <v>49200</v>
      </c>
      <c r="D47" s="94">
        <f>Таблица546243318323946536067742532394653606774818895102112437506478921061101291411531651851733496581971131291451611772036526884100116132148547563579593607621637653669685702719193449647994109124139154184199184214229244[[#This Row],[Сумма просроченного долга]]/Таблица546243318323946536067742532394653606774818895102112437506478921061101291411531651851733496581971131291451611772036526884100116132148547563579593607621637653669685702719193449647994109124139154184199184214229244[[#This Row],[Общая сумма долга]]</f>
        <v>1</v>
      </c>
      <c r="G47" s="40"/>
    </row>
    <row r="48" spans="1:8" ht="24.75" customHeight="1" outlineLevel="1" x14ac:dyDescent="0.2">
      <c r="A48" s="74"/>
      <c r="B48" s="363">
        <v>19000</v>
      </c>
      <c r="C48" s="363">
        <v>36600</v>
      </c>
      <c r="D48" s="94">
        <f>Таблица546243318323946536067742532394653606774818895102112437506478921061101291411531651851733496581971131291451611772036526884100116132148547563579593607621637653669685702719193449647994109124139154184199184214229244[[#This Row],[Сумма просроченного долга]]/Таблица546243318323946536067742532394653606774818895102112437506478921061101291411531651851733496581971131291451611772036526884100116132148547563579593607621637653669685702719193449647994109124139154184199184214229244[[#This Row],[Общая сумма долга]]</f>
        <v>0.51912568306010931</v>
      </c>
      <c r="G48" s="40"/>
    </row>
    <row r="49" spans="1:8" ht="24.95" customHeight="1" outlineLevel="1" x14ac:dyDescent="0.2">
      <c r="A49" s="55"/>
      <c r="B49" s="362">
        <v>0</v>
      </c>
      <c r="C49" s="362">
        <v>1370750</v>
      </c>
      <c r="D49" s="94">
        <f>Таблица546243318323946536067742532394653606774818895102112437506478921061101291411531651851733496581971131291451611772036526884100116132148547563579593607621637653669685702719193449647994109124139154184199184214229244[[#This Row],[Сумма просроченного долга]]/Таблица546243318323946536067742532394653606774818895102112437506478921061101291411531651851733496581971131291451611772036526884100116132148547563579593607621637653669685702719193449647994109124139154184199184214229244[[#This Row],[Общая сумма долга]]</f>
        <v>0</v>
      </c>
      <c r="G49" s="62"/>
      <c r="H49" s="6"/>
    </row>
    <row r="50" spans="1:8" outlineLevel="1" x14ac:dyDescent="0.2">
      <c r="A50" s="63"/>
      <c r="B50" s="64" t="s">
        <v>50</v>
      </c>
      <c r="C50" s="65">
        <f>SUM(Таблица546243318323946536067742532394653606774818895102112437506478921061101291411531651851733496581971131291451611772036526884100116132148547563579593607621637653669685702719193449647994109124139154184199184214229244[Общая сумма долга])</f>
        <v>1571135</v>
      </c>
      <c r="D50" s="66">
        <v>8.1100000000000005E-2</v>
      </c>
      <c r="E50" s="67" t="s">
        <v>51</v>
      </c>
      <c r="F50" s="51"/>
      <c r="G50" s="51"/>
      <c r="H50" s="51"/>
    </row>
    <row r="51" spans="1:8" outlineLevel="1" x14ac:dyDescent="0.2">
      <c r="A51" s="63"/>
      <c r="B51" s="64"/>
      <c r="C51" s="65"/>
      <c r="D51" s="51"/>
      <c r="E51" s="51"/>
      <c r="F51" s="51"/>
      <c r="G51" s="51"/>
      <c r="H51" s="51"/>
    </row>
    <row r="52" spans="1:8" x14ac:dyDescent="0.2">
      <c r="A52" s="63"/>
      <c r="B52" s="51"/>
      <c r="C52" s="51"/>
      <c r="D52" s="52"/>
      <c r="E52" s="51"/>
      <c r="F52" s="53"/>
      <c r="G52" s="51"/>
      <c r="H52" s="68"/>
    </row>
    <row r="53" spans="1:8" x14ac:dyDescent="0.2">
      <c r="A53" s="63"/>
      <c r="B53" s="51"/>
      <c r="C53" s="51"/>
      <c r="D53" s="52"/>
      <c r="E53" s="51"/>
      <c r="F53" s="53"/>
      <c r="G53" s="51"/>
      <c r="H53" s="68"/>
    </row>
    <row r="54" spans="1:8" ht="15" x14ac:dyDescent="0.25">
      <c r="A54" s="387" t="s">
        <v>52</v>
      </c>
      <c r="B54" s="387"/>
      <c r="C54" s="387"/>
      <c r="D54" s="387"/>
      <c r="E54" s="53"/>
      <c r="F54" s="53"/>
      <c r="G54" s="51"/>
    </row>
    <row r="55" spans="1:8" s="6" customFormat="1" outlineLevel="1" x14ac:dyDescent="0.2">
      <c r="A55" s="18" t="s">
        <v>53</v>
      </c>
      <c r="B55" s="19" t="s">
        <v>54</v>
      </c>
      <c r="C55" s="19" t="s">
        <v>55</v>
      </c>
      <c r="D55" s="69" t="s">
        <v>56</v>
      </c>
      <c r="E55" s="69" t="s">
        <v>4</v>
      </c>
      <c r="F55" s="70" t="s">
        <v>57</v>
      </c>
      <c r="G55" s="277"/>
    </row>
    <row r="56" spans="1:8" s="6" customFormat="1" ht="26.25" customHeight="1" outlineLevel="1" x14ac:dyDescent="0.2">
      <c r="A56" s="173" t="s">
        <v>2148</v>
      </c>
      <c r="B56" s="246">
        <v>1358108</v>
      </c>
      <c r="C56" s="131">
        <v>82350.039999999994</v>
      </c>
      <c r="D56" s="249">
        <v>6.5000000000000002E-2</v>
      </c>
      <c r="E56" s="177" t="s">
        <v>94</v>
      </c>
      <c r="F56" s="250"/>
    </row>
    <row r="57" spans="1:8" s="6" customFormat="1" ht="26.25" customHeight="1" outlineLevel="1" x14ac:dyDescent="0.2">
      <c r="A57" s="173" t="s">
        <v>1254</v>
      </c>
      <c r="B57" s="246">
        <v>180996</v>
      </c>
      <c r="C57" s="131">
        <v>3532.57</v>
      </c>
      <c r="D57" s="249">
        <v>0.02</v>
      </c>
      <c r="E57" s="177" t="s">
        <v>94</v>
      </c>
      <c r="F57" s="250"/>
    </row>
    <row r="58" spans="1:8" s="6" customFormat="1" ht="26.25" customHeight="1" outlineLevel="1" x14ac:dyDescent="0.2">
      <c r="A58" s="173" t="s">
        <v>2175</v>
      </c>
      <c r="B58" s="246">
        <v>134265.19</v>
      </c>
      <c r="C58" s="131">
        <v>9502.9</v>
      </c>
      <c r="D58" s="249">
        <v>7.5999999999999998E-2</v>
      </c>
      <c r="E58" s="177" t="s">
        <v>94</v>
      </c>
      <c r="F58" s="250"/>
    </row>
    <row r="59" spans="1:8" s="6" customFormat="1" ht="26.25" customHeight="1" outlineLevel="1" x14ac:dyDescent="0.2">
      <c r="A59" s="173" t="s">
        <v>2029</v>
      </c>
      <c r="B59" s="246">
        <v>69700</v>
      </c>
      <c r="C59" s="131">
        <v>4590.91</v>
      </c>
      <c r="D59" s="249">
        <v>7.0999999999999994E-2</v>
      </c>
      <c r="E59" s="177" t="s">
        <v>94</v>
      </c>
      <c r="F59" s="250"/>
    </row>
    <row r="60" spans="1:8" s="6" customFormat="1" ht="26.25" customHeight="1" outlineLevel="1" x14ac:dyDescent="0.2">
      <c r="A60" s="173" t="s">
        <v>2169</v>
      </c>
      <c r="B60" s="246">
        <v>73963.929999999993</v>
      </c>
      <c r="C60" s="131">
        <v>24499.93</v>
      </c>
      <c r="D60" s="249">
        <v>0.495</v>
      </c>
      <c r="E60" s="177" t="s">
        <v>94</v>
      </c>
      <c r="F60" s="250"/>
    </row>
    <row r="61" spans="1:8" s="6" customFormat="1" ht="26.25" customHeight="1" outlineLevel="1" x14ac:dyDescent="0.2">
      <c r="A61" s="173" t="s">
        <v>2218</v>
      </c>
      <c r="B61" s="246">
        <v>48470</v>
      </c>
      <c r="C61" s="131">
        <v>5769.24</v>
      </c>
      <c r="D61" s="249">
        <v>0.13500000000000001</v>
      </c>
      <c r="E61" s="177" t="s">
        <v>94</v>
      </c>
      <c r="F61" s="250"/>
    </row>
    <row r="62" spans="1:8" s="6" customFormat="1" ht="26.25" customHeight="1" outlineLevel="1" x14ac:dyDescent="0.2">
      <c r="A62" s="173" t="s">
        <v>1154</v>
      </c>
      <c r="B62" s="246">
        <v>39832</v>
      </c>
      <c r="C62" s="131">
        <v>39832</v>
      </c>
      <c r="D62" s="249">
        <v>1</v>
      </c>
      <c r="E62" s="177" t="s">
        <v>94</v>
      </c>
      <c r="F62" s="250"/>
    </row>
    <row r="63" spans="1:8" s="6" customFormat="1" ht="26.25" customHeight="1" outlineLevel="1" x14ac:dyDescent="0.2">
      <c r="A63" s="173" t="s">
        <v>1729</v>
      </c>
      <c r="B63" s="246">
        <v>17280</v>
      </c>
      <c r="C63" s="131">
        <v>1667.76</v>
      </c>
      <c r="D63" s="249">
        <v>0.107</v>
      </c>
      <c r="E63" s="177" t="s">
        <v>94</v>
      </c>
      <c r="F63" s="250"/>
    </row>
    <row r="64" spans="1:8" s="6" customFormat="1" ht="26.25" customHeight="1" outlineLevel="1" x14ac:dyDescent="0.2">
      <c r="A64" s="173" t="s">
        <v>1730</v>
      </c>
      <c r="B64" s="246">
        <v>8000</v>
      </c>
      <c r="C64" s="131">
        <v>1133</v>
      </c>
      <c r="D64" s="249">
        <v>0.16500000000000001</v>
      </c>
      <c r="E64" s="177" t="s">
        <v>94</v>
      </c>
      <c r="F64" s="250"/>
    </row>
    <row r="65" spans="1:10" s="6" customFormat="1" ht="26.25" customHeight="1" outlineLevel="1" x14ac:dyDescent="0.2">
      <c r="A65" s="173" t="s">
        <v>2314</v>
      </c>
      <c r="B65" s="246">
        <v>8550</v>
      </c>
      <c r="C65" s="131">
        <v>2250</v>
      </c>
      <c r="D65" s="249">
        <v>0.35699999999999998</v>
      </c>
      <c r="E65" s="177" t="s">
        <v>94</v>
      </c>
      <c r="F65" s="250"/>
    </row>
    <row r="66" spans="1:10" s="6" customFormat="1" ht="26.25" customHeight="1" outlineLevel="1" x14ac:dyDescent="0.2">
      <c r="A66" s="173" t="s">
        <v>1838</v>
      </c>
      <c r="B66" s="246">
        <v>0</v>
      </c>
      <c r="C66" s="131">
        <v>-3587</v>
      </c>
      <c r="D66" s="249">
        <v>-1</v>
      </c>
      <c r="E66" s="177" t="s">
        <v>94</v>
      </c>
      <c r="F66" s="250"/>
    </row>
    <row r="67" spans="1:10" s="6" customFormat="1" ht="24.75" customHeight="1" outlineLevel="1" x14ac:dyDescent="0.2">
      <c r="A67" s="173" t="s">
        <v>2250</v>
      </c>
      <c r="B67" s="246">
        <v>3600</v>
      </c>
      <c r="C67" s="131">
        <v>391.83</v>
      </c>
      <c r="D67" s="249">
        <v>0.122</v>
      </c>
      <c r="E67" s="177" t="s">
        <v>94</v>
      </c>
      <c r="F67" s="250"/>
    </row>
    <row r="68" spans="1:10" s="6" customFormat="1" ht="24" customHeight="1" outlineLevel="1" x14ac:dyDescent="0.2">
      <c r="A68" s="173" t="s">
        <v>104</v>
      </c>
      <c r="B68" s="246">
        <v>1801.95</v>
      </c>
      <c r="C68" s="131">
        <v>1801.95</v>
      </c>
      <c r="D68" s="249">
        <v>1</v>
      </c>
      <c r="E68" s="177" t="s">
        <v>94</v>
      </c>
      <c r="F68" s="250"/>
    </row>
    <row r="69" spans="1:10" x14ac:dyDescent="0.2">
      <c r="A69" s="51"/>
      <c r="B69" s="51"/>
      <c r="C69" s="51"/>
      <c r="D69" s="52"/>
      <c r="E69" s="51"/>
      <c r="F69" s="53"/>
      <c r="G69" s="51"/>
    </row>
    <row r="70" spans="1:10" ht="15" x14ac:dyDescent="0.25">
      <c r="A70" s="386" t="s">
        <v>58</v>
      </c>
      <c r="B70" s="386"/>
      <c r="C70" s="386"/>
      <c r="D70" s="386"/>
      <c r="E70" s="79"/>
      <c r="F70" s="79"/>
    </row>
    <row r="71" spans="1:10" ht="15" customHeight="1" outlineLevel="1" x14ac:dyDescent="0.2">
      <c r="A71" s="80">
        <v>46023</v>
      </c>
      <c r="B71" s="81" t="s">
        <v>21</v>
      </c>
      <c r="C71" s="81" t="s">
        <v>59</v>
      </c>
      <c r="D71" s="81" t="s">
        <v>60</v>
      </c>
      <c r="E71" s="81" t="s">
        <v>61</v>
      </c>
      <c r="F71" s="81" t="s">
        <v>62</v>
      </c>
      <c r="G71" s="81" t="s">
        <v>63</v>
      </c>
      <c r="H71" s="81" t="s">
        <v>64</v>
      </c>
    </row>
    <row r="72" spans="1:10" outlineLevel="1" x14ac:dyDescent="0.2">
      <c r="A72" s="82"/>
      <c r="B72" s="282">
        <v>330000</v>
      </c>
      <c r="C72" s="283"/>
      <c r="D72" s="282">
        <v>39000</v>
      </c>
      <c r="E72" s="282">
        <v>118000</v>
      </c>
      <c r="F72" s="282">
        <v>871000</v>
      </c>
      <c r="G72" s="282">
        <f>C72+D72+E72*0.5+F72*0.05</f>
        <v>141550</v>
      </c>
      <c r="H72" s="284">
        <f>Таблица9132738193340475461687582899682891101171241311381451521591661731801871945121926334047546168758289961031101171241311381451521591661741821902052131241361481601721922440627894110126142158174190334965819711312914516155957559160361763164766367969571254[[#This Row],[Столбец6]]/Таблица9132738193340475461687582899682891101171241311381451521591661731801871945121926334047546168758289961031101171241311381451521591661741821902052131241361481601721922440627894110126142158174190334965819711312914516155957559160361763164766367969571254[[#This Row],[Столбец1]]</f>
        <v>0.42893939393939395</v>
      </c>
    </row>
    <row r="73" spans="1:10" outlineLevel="1" x14ac:dyDescent="0.2">
      <c r="A73" s="40"/>
      <c r="B73" s="40"/>
      <c r="C73" s="40"/>
      <c r="D73" s="40"/>
      <c r="E73" s="40"/>
      <c r="F73" s="40"/>
      <c r="G73" s="40"/>
      <c r="H73" s="86"/>
    </row>
    <row r="74" spans="1:10" outlineLevel="1" x14ac:dyDescent="0.2">
      <c r="A74" s="80">
        <v>46054</v>
      </c>
      <c r="B74" s="81" t="s">
        <v>21</v>
      </c>
      <c r="C74" s="81" t="s">
        <v>59</v>
      </c>
      <c r="D74" s="81" t="s">
        <v>60</v>
      </c>
      <c r="E74" s="81" t="s">
        <v>61</v>
      </c>
      <c r="F74" s="81" t="s">
        <v>62</v>
      </c>
      <c r="G74" s="81" t="s">
        <v>63</v>
      </c>
      <c r="H74" s="81" t="s">
        <v>64</v>
      </c>
    </row>
    <row r="75" spans="1:10" ht="15" customHeight="1" outlineLevel="1" x14ac:dyDescent="0.2">
      <c r="A75" s="87"/>
      <c r="B75" s="282">
        <v>360000</v>
      </c>
      <c r="C75" s="283">
        <v>0</v>
      </c>
      <c r="D75" s="285">
        <v>0</v>
      </c>
      <c r="E75" s="283">
        <v>39000</v>
      </c>
      <c r="F75" s="286">
        <v>132000</v>
      </c>
      <c r="G75" s="282">
        <f>C75+D75+E75*0.5+F75*0.05</f>
        <v>26100</v>
      </c>
      <c r="H75" s="284">
        <f>Таблица9132738193340475461687582899682891101171241311381451521591661731801871945121926334047546168758289961031101171241311381451521591661741821902052131191251371491611731932541567288104120136152168184274359759110712313915555356958559961362764365967569250[[#This Row],[Столбец6]]/Таблица9132738193340475461687582899682891101171241311381451521591661731801871945121926334047546168758289961031101171241311381451521591661741821902052131191251371491611731932541567288104120136152168184274359759110712313915555356958559961362764365967569250[[#This Row],[Столбец1]]</f>
        <v>7.2499999999999995E-2</v>
      </c>
    </row>
    <row r="76" spans="1:10" x14ac:dyDescent="0.2">
      <c r="A76" s="63"/>
      <c r="B76" s="51"/>
      <c r="C76" s="51"/>
      <c r="D76" s="52"/>
      <c r="E76" s="51"/>
    </row>
    <row r="77" spans="1:10" x14ac:dyDescent="0.2">
      <c r="A77" s="51"/>
      <c r="B77" s="51"/>
      <c r="C77" s="51"/>
      <c r="D77" s="52"/>
      <c r="E77" s="51"/>
    </row>
    <row r="78" spans="1:10" ht="15.75" x14ac:dyDescent="0.25">
      <c r="A78" s="88" t="s">
        <v>65</v>
      </c>
      <c r="B78" s="89"/>
    </row>
    <row r="79" spans="1:10" ht="15" x14ac:dyDescent="0.25">
      <c r="A79" s="387" t="s">
        <v>66</v>
      </c>
      <c r="B79" s="387"/>
      <c r="C79" s="387"/>
      <c r="D79" s="387"/>
      <c r="E79" s="90"/>
      <c r="F79" s="90"/>
      <c r="G79" s="235">
        <f>SUM(Таблица4211720344148556269768390978390111118125132139146153160167174181188195613202734414855626976839097104111118125132139146153160167175183198206214123135147159171191233955718710311913515116718326425874901061221381545525685845986126266426586746907077249[Сумма, тыс. руб.])*1000</f>
        <v>0</v>
      </c>
      <c r="H79" s="276"/>
    </row>
    <row r="80" spans="1:10" outlineLevel="1" x14ac:dyDescent="0.2">
      <c r="A80" s="91" t="s">
        <v>67</v>
      </c>
      <c r="B80" s="91" t="s">
        <v>53</v>
      </c>
      <c r="C80" s="91" t="s">
        <v>4</v>
      </c>
      <c r="D80" s="91" t="s">
        <v>68</v>
      </c>
      <c r="E80" s="91" t="s">
        <v>69</v>
      </c>
      <c r="F80" s="91" t="s">
        <v>70</v>
      </c>
      <c r="G80" s="91" t="s">
        <v>71</v>
      </c>
      <c r="H80" s="91" t="s">
        <v>72</v>
      </c>
      <c r="I80" s="276"/>
      <c r="J80" s="276"/>
    </row>
    <row r="81" spans="1:9" s="258" customFormat="1" ht="24.95" customHeight="1" outlineLevel="1" x14ac:dyDescent="0.2">
      <c r="A81" s="230"/>
      <c r="B81" s="230"/>
      <c r="C81" s="177"/>
      <c r="D81" s="173"/>
      <c r="E81" s="230"/>
      <c r="F81" s="218"/>
      <c r="G81" s="131"/>
      <c r="H81" s="173"/>
    </row>
    <row r="82" spans="1:9" s="258" customFormat="1" ht="24.95" customHeight="1" outlineLevel="1" x14ac:dyDescent="0.2">
      <c r="A82" s="190"/>
      <c r="B82" s="176"/>
      <c r="C82" s="177"/>
      <c r="D82" s="173"/>
      <c r="E82" s="178"/>
      <c r="F82" s="218"/>
      <c r="G82" s="131"/>
      <c r="H82" s="173"/>
    </row>
    <row r="83" spans="1:9" s="258" customFormat="1" ht="24.95" customHeight="1" outlineLevel="1" x14ac:dyDescent="0.2">
      <c r="A83" s="190"/>
      <c r="B83" s="176"/>
      <c r="C83" s="177"/>
      <c r="D83" s="173"/>
      <c r="E83" s="178"/>
      <c r="F83" s="218"/>
      <c r="G83" s="131"/>
      <c r="H83" s="173"/>
    </row>
    <row r="84" spans="1:9" s="258" customFormat="1" ht="24.95" customHeight="1" outlineLevel="1" x14ac:dyDescent="0.2">
      <c r="A84" s="190"/>
      <c r="B84" s="176"/>
      <c r="C84" s="177"/>
      <c r="D84" s="173"/>
      <c r="E84" s="178"/>
      <c r="F84" s="218"/>
      <c r="G84" s="131"/>
      <c r="H84" s="173"/>
    </row>
    <row r="85" spans="1:9" s="258" customFormat="1" ht="24.95" customHeight="1" outlineLevel="1" x14ac:dyDescent="0.2">
      <c r="A85" s="190"/>
      <c r="B85" s="176"/>
      <c r="C85" s="177"/>
      <c r="D85" s="173"/>
      <c r="E85" s="178"/>
      <c r="F85" s="218"/>
      <c r="G85" s="131"/>
      <c r="H85" s="173"/>
    </row>
    <row r="86" spans="1:9" s="258" customFormat="1" ht="24.95" customHeight="1" outlineLevel="1" x14ac:dyDescent="0.2">
      <c r="A86" s="190"/>
      <c r="B86" s="176"/>
      <c r="C86" s="177"/>
      <c r="D86" s="173"/>
      <c r="E86" s="178"/>
      <c r="F86" s="218"/>
      <c r="G86" s="131"/>
      <c r="H86" s="173"/>
    </row>
    <row r="87" spans="1:9" s="258" customFormat="1" ht="24.95" customHeight="1" outlineLevel="1" x14ac:dyDescent="0.2">
      <c r="A87" s="190"/>
      <c r="B87" s="176"/>
      <c r="C87" s="177"/>
      <c r="D87" s="173"/>
      <c r="E87" s="178"/>
      <c r="F87" s="218"/>
      <c r="G87" s="131"/>
      <c r="H87" s="173"/>
    </row>
    <row r="88" spans="1:9" s="258" customFormat="1" ht="24.95" customHeight="1" outlineLevel="1" x14ac:dyDescent="0.2">
      <c r="A88" s="190"/>
      <c r="B88" s="176"/>
      <c r="C88" s="177"/>
      <c r="D88" s="173"/>
      <c r="E88" s="178"/>
      <c r="F88" s="218"/>
      <c r="G88" s="131"/>
      <c r="H88" s="173"/>
    </row>
    <row r="89" spans="1:9" ht="24.95" customHeight="1" outlineLevel="1" x14ac:dyDescent="0.2">
      <c r="A89" s="74"/>
      <c r="B89" s="74"/>
      <c r="C89" s="177"/>
      <c r="D89" s="94"/>
      <c r="E89" s="94"/>
      <c r="F89" s="218"/>
      <c r="G89" s="72"/>
      <c r="H89" s="94"/>
      <c r="I89" s="236"/>
    </row>
    <row r="90" spans="1:9" ht="24.95" customHeight="1" outlineLevel="1" x14ac:dyDescent="0.2">
      <c r="A90" s="190"/>
      <c r="B90" s="176"/>
      <c r="C90" s="177"/>
      <c r="D90" s="177"/>
      <c r="E90" s="178"/>
      <c r="F90" s="218"/>
      <c r="G90" s="131"/>
      <c r="H90" s="173"/>
      <c r="I90" s="236"/>
    </row>
    <row r="91" spans="1:9" ht="24.95" customHeight="1" outlineLevel="1" x14ac:dyDescent="0.2">
      <c r="A91" s="190"/>
      <c r="B91" s="176"/>
      <c r="C91" s="177"/>
      <c r="D91" s="177"/>
      <c r="E91" s="178"/>
      <c r="F91" s="218"/>
      <c r="G91" s="131"/>
      <c r="H91" s="173"/>
      <c r="I91" s="236"/>
    </row>
    <row r="92" spans="1:9" ht="24.95" customHeight="1" outlineLevel="1" x14ac:dyDescent="0.2">
      <c r="A92" s="190"/>
      <c r="B92" s="176"/>
      <c r="C92" s="177"/>
      <c r="D92" s="177"/>
      <c r="E92" s="178"/>
      <c r="F92" s="218"/>
      <c r="G92" s="131"/>
      <c r="H92" s="173"/>
      <c r="I92" s="236"/>
    </row>
    <row r="93" spans="1:9" ht="24.95" customHeight="1" outlineLevel="1" x14ac:dyDescent="0.2">
      <c r="A93" s="190"/>
      <c r="B93" s="176"/>
      <c r="C93" s="177"/>
      <c r="D93" s="177"/>
      <c r="E93" s="178"/>
      <c r="F93" s="218"/>
      <c r="G93" s="131"/>
      <c r="H93" s="173"/>
      <c r="I93" s="236"/>
    </row>
    <row r="94" spans="1:9" ht="24.95" customHeight="1" outlineLevel="1" x14ac:dyDescent="0.2">
      <c r="A94" s="190"/>
      <c r="B94" s="176"/>
      <c r="C94" s="177"/>
      <c r="D94" s="177"/>
      <c r="E94" s="178"/>
      <c r="F94" s="218"/>
      <c r="G94" s="131"/>
      <c r="H94" s="173"/>
      <c r="I94" s="236"/>
    </row>
    <row r="95" spans="1:9" ht="24.95" customHeight="1" outlineLevel="1" x14ac:dyDescent="0.2">
      <c r="A95" s="190"/>
      <c r="B95" s="176"/>
      <c r="C95" s="177"/>
      <c r="D95" s="177"/>
      <c r="E95" s="178"/>
      <c r="F95" s="218"/>
      <c r="G95" s="131"/>
      <c r="H95" s="173"/>
      <c r="I95" s="236"/>
    </row>
    <row r="96" spans="1:9" x14ac:dyDescent="0.2">
      <c r="A96" s="223"/>
      <c r="B96" s="104"/>
      <c r="C96" s="105"/>
      <c r="D96" s="106"/>
      <c r="E96" s="106"/>
      <c r="F96" s="107"/>
      <c r="G96" s="108"/>
      <c r="H96" s="106"/>
    </row>
    <row r="97" spans="1:8" x14ac:dyDescent="0.2">
      <c r="A97" s="104"/>
      <c r="B97" s="104"/>
      <c r="C97" s="105"/>
      <c r="D97" s="106"/>
      <c r="E97" s="106"/>
      <c r="F97" s="107"/>
      <c r="G97" s="108"/>
      <c r="H97" s="106"/>
    </row>
    <row r="98" spans="1:8" ht="15" x14ac:dyDescent="0.25">
      <c r="A98" s="387" t="s">
        <v>74</v>
      </c>
      <c r="B98" s="387"/>
      <c r="C98" s="387"/>
      <c r="D98" s="387"/>
      <c r="G98" s="235">
        <f>SUM(Таблица125138150162174194264257738910512113715316918528446076921081241401565545705866006146286446606766927097262641567186101116131146161191206191221236251[Сумма])*1000</f>
        <v>0</v>
      </c>
      <c r="H98" s="276"/>
    </row>
    <row r="99" spans="1:8" outlineLevel="1" x14ac:dyDescent="0.2">
      <c r="A99" s="91" t="s">
        <v>67</v>
      </c>
      <c r="B99" s="91" t="s">
        <v>53</v>
      </c>
      <c r="C99" s="91" t="s">
        <v>4</v>
      </c>
      <c r="D99" s="91" t="s">
        <v>68</v>
      </c>
      <c r="E99" s="91" t="s">
        <v>69</v>
      </c>
      <c r="F99" s="91" t="s">
        <v>70</v>
      </c>
      <c r="G99" s="91" t="s">
        <v>75</v>
      </c>
      <c r="H99" s="91" t="s">
        <v>72</v>
      </c>
    </row>
    <row r="100" spans="1:8" ht="24.95" customHeight="1" outlineLevel="1" x14ac:dyDescent="0.2">
      <c r="A100" s="74"/>
      <c r="B100" s="74"/>
      <c r="C100" s="177"/>
      <c r="D100" s="94"/>
      <c r="E100" s="74"/>
      <c r="F100" s="218"/>
      <c r="G100" s="72"/>
      <c r="H100" s="94"/>
    </row>
    <row r="101" spans="1:8" ht="24.95" customHeight="1" outlineLevel="1" x14ac:dyDescent="0.2">
      <c r="A101" s="74"/>
      <c r="B101" s="74"/>
      <c r="C101" s="177"/>
      <c r="D101" s="94"/>
      <c r="E101" s="74"/>
      <c r="F101" s="218"/>
      <c r="G101" s="72"/>
      <c r="H101" s="94"/>
    </row>
    <row r="102" spans="1:8" ht="24.95" customHeight="1" outlineLevel="1" x14ac:dyDescent="0.2">
      <c r="A102" s="74"/>
      <c r="B102" s="74"/>
      <c r="C102" s="177"/>
      <c r="D102" s="94"/>
      <c r="E102" s="74"/>
      <c r="F102" s="218"/>
      <c r="G102" s="72"/>
      <c r="H102" s="94"/>
    </row>
    <row r="103" spans="1:8" ht="24.95" customHeight="1" outlineLevel="1" x14ac:dyDescent="0.2">
      <c r="A103" s="74"/>
      <c r="B103" s="74"/>
      <c r="C103" s="177"/>
      <c r="D103" s="94"/>
      <c r="E103" s="74"/>
      <c r="F103" s="218"/>
      <c r="G103" s="72"/>
      <c r="H103" s="94"/>
    </row>
    <row r="104" spans="1:8" ht="24.95" customHeight="1" outlineLevel="1" x14ac:dyDescent="0.2">
      <c r="A104" s="74"/>
      <c r="B104" s="74"/>
      <c r="C104" s="177"/>
      <c r="D104" s="94"/>
      <c r="E104" s="74"/>
      <c r="F104" s="218"/>
      <c r="G104" s="72"/>
      <c r="H104" s="94"/>
    </row>
    <row r="105" spans="1:8" ht="24.95" customHeight="1" outlineLevel="1" x14ac:dyDescent="0.2">
      <c r="A105" s="74"/>
      <c r="B105" s="74"/>
      <c r="C105" s="177"/>
      <c r="D105" s="94"/>
      <c r="E105" s="74"/>
      <c r="F105" s="218"/>
      <c r="G105" s="72"/>
      <c r="H105" s="94"/>
    </row>
    <row r="106" spans="1:8" ht="24.95" customHeight="1" outlineLevel="1" x14ac:dyDescent="0.2">
      <c r="A106" s="74"/>
      <c r="B106" s="74"/>
      <c r="C106" s="177"/>
      <c r="D106" s="94"/>
      <c r="E106" s="74"/>
      <c r="F106" s="218"/>
      <c r="G106" s="72"/>
      <c r="H106" s="94"/>
    </row>
    <row r="107" spans="1:8" ht="24.95" customHeight="1" outlineLevel="1" x14ac:dyDescent="0.2">
      <c r="A107" s="74"/>
      <c r="B107" s="74"/>
      <c r="C107" s="177"/>
      <c r="D107" s="94"/>
      <c r="E107" s="74"/>
      <c r="F107" s="218"/>
      <c r="G107" s="72"/>
      <c r="H107" s="94"/>
    </row>
    <row r="108" spans="1:8" ht="24.95" customHeight="1" outlineLevel="1" x14ac:dyDescent="0.2">
      <c r="A108" s="74"/>
      <c r="B108" s="74"/>
      <c r="C108" s="177"/>
      <c r="D108" s="94"/>
      <c r="E108" s="74"/>
      <c r="F108" s="218"/>
      <c r="G108" s="72"/>
      <c r="H108" s="94"/>
    </row>
    <row r="109" spans="1:8" ht="24.95" customHeight="1" outlineLevel="1" x14ac:dyDescent="0.2">
      <c r="A109" s="74"/>
      <c r="B109" s="74"/>
      <c r="C109" s="177"/>
      <c r="D109" s="94"/>
      <c r="E109" s="74"/>
      <c r="F109" s="218"/>
      <c r="G109" s="72"/>
      <c r="H109" s="94"/>
    </row>
    <row r="110" spans="1:8" ht="24.95" customHeight="1" outlineLevel="1" x14ac:dyDescent="0.2">
      <c r="A110" s="74"/>
      <c r="B110" s="74"/>
      <c r="C110" s="177"/>
      <c r="D110" s="94"/>
      <c r="E110" s="74"/>
      <c r="F110" s="218"/>
      <c r="G110" s="72"/>
      <c r="H110" s="94"/>
    </row>
    <row r="111" spans="1:8" ht="24.95" customHeight="1" outlineLevel="1" x14ac:dyDescent="0.2">
      <c r="A111" s="244"/>
      <c r="B111" s="220"/>
      <c r="C111" s="177"/>
      <c r="D111" s="93"/>
      <c r="E111" s="221"/>
      <c r="F111" s="218"/>
      <c r="G111" s="72"/>
      <c r="H111" s="94"/>
    </row>
    <row r="112" spans="1:8" ht="24.95" customHeight="1" outlineLevel="1" x14ac:dyDescent="0.2">
      <c r="A112" s="190"/>
      <c r="B112" s="176"/>
      <c r="C112" s="177"/>
      <c r="D112" s="177"/>
      <c r="E112" s="178"/>
      <c r="F112" s="179"/>
      <c r="G112" s="131"/>
      <c r="H112" s="173"/>
    </row>
    <row r="113" spans="1:8" ht="24.95" customHeight="1" outlineLevel="1" x14ac:dyDescent="0.2">
      <c r="A113" s="74"/>
      <c r="B113" s="74"/>
      <c r="C113" s="177"/>
      <c r="D113" s="94"/>
      <c r="E113" s="74"/>
      <c r="F113" s="218"/>
      <c r="G113" s="72"/>
      <c r="H113" s="94"/>
    </row>
    <row r="114" spans="1:8" ht="24.95" customHeight="1" outlineLevel="1" x14ac:dyDescent="0.2">
      <c r="A114" s="74"/>
      <c r="B114" s="74"/>
      <c r="C114" s="177"/>
      <c r="D114" s="94"/>
      <c r="E114" s="74"/>
      <c r="F114" s="218"/>
      <c r="G114" s="72"/>
      <c r="H114" s="94"/>
    </row>
    <row r="115" spans="1:8" ht="24.95" customHeight="1" outlineLevel="1" x14ac:dyDescent="0.2">
      <c r="A115" s="74"/>
      <c r="B115" s="74"/>
      <c r="C115" s="177"/>
      <c r="D115" s="94"/>
      <c r="E115" s="74"/>
      <c r="F115" s="218"/>
      <c r="G115" s="72"/>
      <c r="H115" s="94"/>
    </row>
    <row r="116" spans="1:8" ht="24.95" customHeight="1" outlineLevel="1" x14ac:dyDescent="0.2">
      <c r="A116" s="74"/>
      <c r="B116" s="74"/>
      <c r="C116" s="177"/>
      <c r="D116" s="94"/>
      <c r="E116" s="74"/>
      <c r="F116" s="218"/>
      <c r="G116" s="72"/>
      <c r="H116" s="94"/>
    </row>
    <row r="117" spans="1:8" ht="24.95" customHeight="1" outlineLevel="1" x14ac:dyDescent="0.2">
      <c r="A117" s="74"/>
      <c r="B117" s="74"/>
      <c r="C117" s="177"/>
      <c r="D117" s="94"/>
      <c r="E117" s="74"/>
      <c r="F117" s="218"/>
      <c r="G117" s="72"/>
      <c r="H117" s="94"/>
    </row>
    <row r="118" spans="1:8" ht="24.95" customHeight="1" outlineLevel="1" x14ac:dyDescent="0.2">
      <c r="A118" s="74"/>
      <c r="B118" s="74"/>
      <c r="C118" s="177"/>
      <c r="D118" s="94"/>
      <c r="E118" s="74"/>
      <c r="F118" s="218"/>
      <c r="G118" s="72"/>
      <c r="H118" s="94"/>
    </row>
    <row r="119" spans="1:8" ht="24.95" customHeight="1" outlineLevel="1" x14ac:dyDescent="0.2">
      <c r="A119" s="74"/>
      <c r="B119" s="74"/>
      <c r="C119" s="177"/>
      <c r="D119" s="94"/>
      <c r="E119" s="74"/>
      <c r="F119" s="218"/>
      <c r="G119" s="72"/>
      <c r="H119" s="94"/>
    </row>
    <row r="120" spans="1:8" ht="24.95" customHeight="1" outlineLevel="1" x14ac:dyDescent="0.2">
      <c r="A120" s="74"/>
      <c r="B120" s="74"/>
      <c r="C120" s="177"/>
      <c r="D120" s="94"/>
      <c r="E120" s="74"/>
      <c r="F120" s="218"/>
      <c r="G120" s="72"/>
      <c r="H120" s="94"/>
    </row>
    <row r="121" spans="1:8" ht="24.95" customHeight="1" outlineLevel="1" x14ac:dyDescent="0.2">
      <c r="A121" s="74"/>
      <c r="B121" s="74"/>
      <c r="C121" s="177"/>
      <c r="D121" s="94"/>
      <c r="E121" s="74"/>
      <c r="F121" s="218"/>
      <c r="G121" s="72"/>
      <c r="H121" s="94"/>
    </row>
    <row r="122" spans="1:8" ht="24.95" customHeight="1" outlineLevel="1" x14ac:dyDescent="0.2">
      <c r="A122" s="74"/>
      <c r="B122" s="74"/>
      <c r="C122" s="177"/>
      <c r="D122" s="94"/>
      <c r="E122" s="74"/>
      <c r="F122" s="218"/>
      <c r="G122" s="72"/>
      <c r="H122" s="94"/>
    </row>
    <row r="123" spans="1:8" ht="24.95" customHeight="1" outlineLevel="1" x14ac:dyDescent="0.2">
      <c r="A123" s="74"/>
      <c r="B123" s="74"/>
      <c r="C123" s="177"/>
      <c r="D123" s="94"/>
      <c r="E123" s="74"/>
      <c r="F123" s="218"/>
      <c r="G123" s="72"/>
      <c r="H123" s="94"/>
    </row>
    <row r="124" spans="1:8" ht="24.95" customHeight="1" outlineLevel="1" x14ac:dyDescent="0.2">
      <c r="A124" s="74"/>
      <c r="B124" s="74"/>
      <c r="C124" s="177"/>
      <c r="D124" s="94"/>
      <c r="E124" s="74"/>
      <c r="F124" s="218"/>
      <c r="G124" s="72"/>
      <c r="H124" s="94"/>
    </row>
    <row r="125" spans="1:8" ht="24.95" customHeight="1" outlineLevel="1" x14ac:dyDescent="0.2">
      <c r="A125" s="74"/>
      <c r="B125" s="74"/>
      <c r="C125" s="177"/>
      <c r="D125" s="94"/>
      <c r="E125" s="74"/>
      <c r="F125" s="218"/>
      <c r="G125" s="72"/>
      <c r="H125" s="94"/>
    </row>
    <row r="126" spans="1:8" ht="24.95" customHeight="1" outlineLevel="1" x14ac:dyDescent="0.2">
      <c r="A126" s="74"/>
      <c r="B126" s="74"/>
      <c r="C126" s="177"/>
      <c r="D126" s="94"/>
      <c r="E126" s="74"/>
      <c r="F126" s="218"/>
      <c r="G126" s="72"/>
      <c r="H126" s="94"/>
    </row>
    <row r="127" spans="1:8" ht="24.95" customHeight="1" outlineLevel="1" x14ac:dyDescent="0.2">
      <c r="A127" s="74"/>
      <c r="B127" s="74"/>
      <c r="C127" s="177"/>
      <c r="D127" s="94"/>
      <c r="E127" s="74"/>
      <c r="F127" s="218"/>
      <c r="G127" s="72"/>
      <c r="H127" s="94"/>
    </row>
    <row r="128" spans="1:8" ht="24.95" customHeight="1" outlineLevel="1" x14ac:dyDescent="0.2">
      <c r="A128" s="74"/>
      <c r="B128" s="74"/>
      <c r="C128" s="177"/>
      <c r="D128" s="94"/>
      <c r="E128" s="74"/>
      <c r="F128" s="218"/>
      <c r="G128" s="72"/>
      <c r="H128" s="94"/>
    </row>
    <row r="129" spans="1:8" ht="24.95" customHeight="1" outlineLevel="1" x14ac:dyDescent="0.2">
      <c r="A129" s="74"/>
      <c r="B129" s="74"/>
      <c r="C129" s="177"/>
      <c r="D129" s="94"/>
      <c r="E129" s="74"/>
      <c r="F129" s="218"/>
      <c r="G129" s="72"/>
      <c r="H129" s="94"/>
    </row>
    <row r="130" spans="1:8" ht="24.95" customHeight="1" outlineLevel="1" x14ac:dyDescent="0.2">
      <c r="A130" s="74"/>
      <c r="B130" s="74"/>
      <c r="C130" s="177"/>
      <c r="D130" s="94"/>
      <c r="E130" s="74"/>
      <c r="F130" s="218"/>
      <c r="G130" s="72"/>
      <c r="H130" s="94"/>
    </row>
    <row r="131" spans="1:8" ht="24.95" customHeight="1" outlineLevel="1" x14ac:dyDescent="0.2">
      <c r="A131" s="74"/>
      <c r="B131" s="74"/>
      <c r="C131" s="177"/>
      <c r="D131" s="94"/>
      <c r="E131" s="74"/>
      <c r="F131" s="218"/>
      <c r="G131" s="72"/>
      <c r="H131" s="94"/>
    </row>
    <row r="132" spans="1:8" ht="24.95" customHeight="1" outlineLevel="1" x14ac:dyDescent="0.2">
      <c r="A132" s="74"/>
      <c r="B132" s="74"/>
      <c r="C132" s="177"/>
      <c r="D132" s="94"/>
      <c r="E132" s="74"/>
      <c r="F132" s="218"/>
      <c r="G132" s="72"/>
      <c r="H132" s="94"/>
    </row>
    <row r="133" spans="1:8" ht="24.95" customHeight="1" outlineLevel="1" x14ac:dyDescent="0.2">
      <c r="A133" s="74"/>
      <c r="B133" s="74"/>
      <c r="C133" s="177"/>
      <c r="D133" s="94"/>
      <c r="E133" s="74"/>
      <c r="F133" s="218"/>
      <c r="G133" s="72"/>
      <c r="H133" s="94"/>
    </row>
    <row r="134" spans="1:8" ht="24.95" customHeight="1" outlineLevel="1" x14ac:dyDescent="0.2">
      <c r="A134" s="74"/>
      <c r="B134" s="74"/>
      <c r="C134" s="177"/>
      <c r="D134" s="94"/>
      <c r="E134" s="74"/>
      <c r="F134" s="218"/>
      <c r="G134" s="72"/>
      <c r="H134" s="94"/>
    </row>
    <row r="135" spans="1:8" ht="24.95" customHeight="1" outlineLevel="1" x14ac:dyDescent="0.2">
      <c r="A135" s="74"/>
      <c r="B135" s="74"/>
      <c r="C135" s="177"/>
      <c r="D135" s="94"/>
      <c r="E135" s="74"/>
      <c r="F135" s="218"/>
      <c r="G135" s="72"/>
      <c r="H135" s="94"/>
    </row>
    <row r="136" spans="1:8" ht="24.95" customHeight="1" outlineLevel="1" x14ac:dyDescent="0.2">
      <c r="A136" s="74"/>
      <c r="B136" s="74"/>
      <c r="C136" s="177"/>
      <c r="D136" s="94"/>
      <c r="E136" s="74"/>
      <c r="F136" s="218"/>
      <c r="G136" s="72"/>
      <c r="H136" s="94"/>
    </row>
    <row r="137" spans="1:8" ht="24.95" customHeight="1" outlineLevel="1" x14ac:dyDescent="0.2">
      <c r="A137" s="74"/>
      <c r="B137" s="74"/>
      <c r="C137" s="177"/>
      <c r="D137" s="94"/>
      <c r="E137" s="74"/>
      <c r="F137" s="218"/>
      <c r="G137" s="72"/>
      <c r="H137" s="94"/>
    </row>
    <row r="138" spans="1:8" ht="24.95" customHeight="1" outlineLevel="1" x14ac:dyDescent="0.2">
      <c r="A138" s="74"/>
      <c r="B138" s="74"/>
      <c r="C138" s="177"/>
      <c r="D138" s="94"/>
      <c r="E138" s="74"/>
      <c r="F138" s="218"/>
      <c r="G138" s="72"/>
      <c r="H138" s="94"/>
    </row>
    <row r="139" spans="1:8" ht="24.95" customHeight="1" outlineLevel="1" x14ac:dyDescent="0.2">
      <c r="A139" s="74"/>
      <c r="B139" s="74"/>
      <c r="C139" s="177"/>
      <c r="D139" s="94"/>
      <c r="E139" s="74"/>
      <c r="F139" s="218"/>
      <c r="G139" s="72"/>
      <c r="H139" s="94"/>
    </row>
    <row r="140" spans="1:8" ht="24.95" customHeight="1" outlineLevel="1" x14ac:dyDescent="0.2">
      <c r="A140" s="74"/>
      <c r="B140" s="74"/>
      <c r="C140" s="177"/>
      <c r="D140" s="94"/>
      <c r="E140" s="74"/>
      <c r="F140" s="218"/>
      <c r="G140" s="72"/>
      <c r="H140" s="94"/>
    </row>
    <row r="141" spans="1:8" ht="24.95" customHeight="1" outlineLevel="1" x14ac:dyDescent="0.2">
      <c r="A141" s="74"/>
      <c r="B141" s="74"/>
      <c r="C141" s="177"/>
      <c r="D141" s="94"/>
      <c r="E141" s="74"/>
      <c r="F141" s="218"/>
      <c r="G141" s="72"/>
      <c r="H141" s="94"/>
    </row>
    <row r="142" spans="1:8" ht="24.95" customHeight="1" outlineLevel="1" x14ac:dyDescent="0.2">
      <c r="A142" s="74"/>
      <c r="B142" s="74"/>
      <c r="C142" s="177"/>
      <c r="D142" s="94"/>
      <c r="E142" s="74"/>
      <c r="F142" s="218"/>
      <c r="G142" s="72"/>
      <c r="H142" s="94"/>
    </row>
    <row r="143" spans="1:8" ht="15" customHeight="1" x14ac:dyDescent="0.2"/>
    <row r="144" spans="1:8" ht="15" customHeight="1" x14ac:dyDescent="0.2"/>
    <row r="145" spans="1:7" ht="15.75" x14ac:dyDescent="0.25">
      <c r="A145" s="1" t="s">
        <v>76</v>
      </c>
    </row>
    <row r="146" spans="1:7" s="7" customFormat="1" ht="15" x14ac:dyDescent="0.25">
      <c r="A146" s="389" t="s">
        <v>77</v>
      </c>
      <c r="B146" s="389"/>
      <c r="C146" s="389"/>
      <c r="D146" s="389"/>
      <c r="E146" s="351"/>
      <c r="F146" s="352"/>
    </row>
    <row r="147" spans="1:7" s="104" customFormat="1" outlineLevel="1" x14ac:dyDescent="0.25">
      <c r="A147" s="112" t="s">
        <v>78</v>
      </c>
      <c r="B147" s="112" t="s">
        <v>53</v>
      </c>
      <c r="C147" s="91" t="s">
        <v>4</v>
      </c>
      <c r="D147" s="112" t="s">
        <v>79</v>
      </c>
      <c r="E147" s="91" t="s">
        <v>80</v>
      </c>
      <c r="F147" s="112" t="s">
        <v>81</v>
      </c>
      <c r="G147" s="112" t="s">
        <v>82</v>
      </c>
    </row>
    <row r="148" spans="1:7" s="104" customFormat="1" ht="23.25" customHeight="1" outlineLevel="1" x14ac:dyDescent="0.25">
      <c r="A148" s="350"/>
      <c r="B148" s="287"/>
      <c r="C148" s="287"/>
      <c r="D148" s="287"/>
      <c r="E148" s="287"/>
      <c r="F148" s="287"/>
      <c r="G148" s="287"/>
    </row>
    <row r="149" spans="1:7" s="104" customFormat="1" ht="12" customHeight="1" outlineLevel="1" x14ac:dyDescent="0.2">
      <c r="A149" s="2"/>
      <c r="B149" s="118"/>
      <c r="C149" s="2"/>
      <c r="D149" s="2"/>
      <c r="E149" s="2"/>
      <c r="F149" s="2"/>
      <c r="G149" s="2"/>
    </row>
    <row r="150" spans="1:7" ht="24" customHeight="1" outlineLevel="1" x14ac:dyDescent="0.2">
      <c r="A150" s="118"/>
      <c r="B150" s="118"/>
    </row>
    <row r="151" spans="1:7" s="7" customFormat="1" ht="24" customHeight="1" outlineLevel="1" x14ac:dyDescent="0.25">
      <c r="A151" s="390" t="s">
        <v>83</v>
      </c>
      <c r="B151" s="390"/>
      <c r="C151" s="390"/>
      <c r="D151" s="390"/>
      <c r="E151" s="353"/>
    </row>
    <row r="152" spans="1:7" ht="24" customHeight="1" outlineLevel="1" x14ac:dyDescent="0.2">
      <c r="A152" s="112" t="s">
        <v>78</v>
      </c>
      <c r="B152" s="112" t="s">
        <v>53</v>
      </c>
      <c r="C152" s="91" t="s">
        <v>4</v>
      </c>
      <c r="D152" s="112" t="s">
        <v>79</v>
      </c>
      <c r="E152" s="91" t="s">
        <v>80</v>
      </c>
      <c r="F152" s="112" t="s">
        <v>81</v>
      </c>
      <c r="G152" s="112" t="s">
        <v>82</v>
      </c>
    </row>
    <row r="153" spans="1:7" ht="24" customHeight="1" outlineLevel="1" x14ac:dyDescent="0.2">
      <c r="A153" s="287"/>
      <c r="B153" s="287"/>
      <c r="C153" s="287"/>
      <c r="D153" s="287"/>
      <c r="E153" s="287"/>
      <c r="F153" s="287"/>
      <c r="G153" s="287"/>
    </row>
    <row r="155" spans="1:7" s="17" customFormat="1" outlineLevel="1" x14ac:dyDescent="0.2">
      <c r="A155" s="2"/>
      <c r="B155" s="2"/>
      <c r="C155" s="2"/>
      <c r="D155" s="2"/>
      <c r="E155" s="2"/>
      <c r="F155" s="2"/>
      <c r="G155" s="2"/>
    </row>
    <row r="156" spans="1:7" ht="60" customHeight="1" outlineLevel="1" x14ac:dyDescent="0.25">
      <c r="A156" s="1" t="s">
        <v>84</v>
      </c>
    </row>
    <row r="157" spans="1:7" ht="12.6" customHeight="1" outlineLevel="1" x14ac:dyDescent="0.25">
      <c r="A157" s="386" t="s">
        <v>85</v>
      </c>
      <c r="B157" s="386"/>
      <c r="C157" s="386"/>
      <c r="D157" s="386"/>
    </row>
    <row r="158" spans="1:7" ht="33" customHeight="1" outlineLevel="1" x14ac:dyDescent="0.2">
      <c r="A158" s="120" t="s">
        <v>81</v>
      </c>
      <c r="B158" s="120" t="s">
        <v>86</v>
      </c>
      <c r="C158" s="120" t="s">
        <v>87</v>
      </c>
      <c r="D158" s="120" t="s">
        <v>88</v>
      </c>
      <c r="E158" s="120" t="s">
        <v>89</v>
      </c>
      <c r="F158" s="120" t="s">
        <v>4</v>
      </c>
      <c r="G158" s="120" t="s">
        <v>90</v>
      </c>
    </row>
    <row r="159" spans="1:7" ht="287.25" customHeight="1" outlineLevel="1" x14ac:dyDescent="0.2">
      <c r="A159" s="94"/>
      <c r="B159" s="219" t="s">
        <v>2307</v>
      </c>
      <c r="C159" s="238" t="s">
        <v>1280</v>
      </c>
      <c r="D159" s="225" t="s">
        <v>2317</v>
      </c>
      <c r="E159" s="132" t="s">
        <v>2168</v>
      </c>
      <c r="F159" s="74" t="s">
        <v>94</v>
      </c>
      <c r="G159" s="72">
        <v>0</v>
      </c>
    </row>
    <row r="160" spans="1:7" ht="117.75" customHeight="1" x14ac:dyDescent="0.2">
      <c r="A160" s="94"/>
      <c r="B160" s="219" t="s">
        <v>2308</v>
      </c>
      <c r="C160" s="238" t="s">
        <v>1280</v>
      </c>
      <c r="D160" s="225" t="s">
        <v>2312</v>
      </c>
      <c r="E160" s="132" t="s">
        <v>1742</v>
      </c>
      <c r="F160" s="74" t="s">
        <v>94</v>
      </c>
      <c r="G160" s="72">
        <v>0</v>
      </c>
    </row>
    <row r="161" spans="1:15" ht="148.5" customHeight="1" x14ac:dyDescent="0.2">
      <c r="A161" s="94"/>
      <c r="B161" s="219" t="s">
        <v>2309</v>
      </c>
      <c r="C161" s="238" t="s">
        <v>1280</v>
      </c>
      <c r="D161" s="225" t="s">
        <v>2313</v>
      </c>
      <c r="E161" s="132" t="s">
        <v>2310</v>
      </c>
      <c r="F161" s="74" t="s">
        <v>94</v>
      </c>
      <c r="G161" s="72">
        <v>0</v>
      </c>
    </row>
    <row r="162" spans="1:15" s="124" customFormat="1" ht="12.75" customHeight="1" outlineLevel="1" x14ac:dyDescent="0.2">
      <c r="A162" s="2"/>
      <c r="B162" s="122"/>
      <c r="C162" s="123"/>
      <c r="D162" s="2"/>
      <c r="E162" s="2"/>
      <c r="F162" s="122"/>
      <c r="G162" s="2"/>
      <c r="H162" s="2"/>
      <c r="I162" s="2"/>
      <c r="J162" s="2"/>
      <c r="K162" s="2"/>
      <c r="L162" s="2"/>
      <c r="M162" s="2"/>
      <c r="N162" s="2"/>
      <c r="O162" s="2"/>
    </row>
    <row r="163" spans="1:15" ht="60" customHeight="1" outlineLevel="1" x14ac:dyDescent="0.2">
      <c r="A163" s="122"/>
      <c r="B163" s="122"/>
      <c r="C163" s="123"/>
      <c r="F163" s="122"/>
    </row>
    <row r="164" spans="1:15" ht="60" customHeight="1" outlineLevel="1" x14ac:dyDescent="0.25">
      <c r="A164" s="386" t="s">
        <v>92</v>
      </c>
      <c r="B164" s="386"/>
      <c r="C164" s="386"/>
      <c r="D164" s="386"/>
    </row>
    <row r="165" spans="1:15" x14ac:dyDescent="0.2">
      <c r="A165" s="120" t="s">
        <v>81</v>
      </c>
      <c r="B165" s="120" t="s">
        <v>86</v>
      </c>
      <c r="C165" s="120" t="s">
        <v>87</v>
      </c>
      <c r="D165" s="120" t="s">
        <v>88</v>
      </c>
      <c r="E165" s="120" t="s">
        <v>89</v>
      </c>
      <c r="F165" s="120" t="s">
        <v>4</v>
      </c>
      <c r="G165" s="120" t="s">
        <v>90</v>
      </c>
    </row>
    <row r="166" spans="1:15" ht="153" x14ac:dyDescent="0.2">
      <c r="A166" s="230" t="s">
        <v>109</v>
      </c>
      <c r="B166" s="219" t="s">
        <v>1744</v>
      </c>
      <c r="C166" s="292"/>
      <c r="D166" s="292"/>
      <c r="E166" s="132" t="s">
        <v>1743</v>
      </c>
      <c r="F166" s="74" t="s">
        <v>94</v>
      </c>
      <c r="G166" s="292"/>
    </row>
    <row r="167" spans="1:15" ht="76.5" x14ac:dyDescent="0.25">
      <c r="A167" s="230" t="s">
        <v>109</v>
      </c>
      <c r="B167" s="148" t="s">
        <v>1741</v>
      </c>
      <c r="C167" s="125"/>
      <c r="D167"/>
      <c r="E167" s="132" t="s">
        <v>1695</v>
      </c>
      <c r="F167" s="74" t="s">
        <v>94</v>
      </c>
      <c r="G167" s="126"/>
    </row>
    <row r="168" spans="1:15" ht="38.25" x14ac:dyDescent="0.25">
      <c r="A168" s="230" t="s">
        <v>109</v>
      </c>
      <c r="B168" s="148" t="s">
        <v>1745</v>
      </c>
      <c r="C168" s="125"/>
      <c r="D168"/>
      <c r="E168" s="132" t="s">
        <v>1516</v>
      </c>
      <c r="F168" s="74" t="s">
        <v>94</v>
      </c>
      <c r="G168" s="126"/>
    </row>
    <row r="169" spans="1:15" ht="76.5" x14ac:dyDescent="0.25">
      <c r="A169" s="230" t="s">
        <v>109</v>
      </c>
      <c r="B169" s="148" t="s">
        <v>1410</v>
      </c>
      <c r="C169" s="125"/>
      <c r="D169"/>
      <c r="E169" s="132" t="s">
        <v>1742</v>
      </c>
      <c r="F169" s="74" t="s">
        <v>94</v>
      </c>
      <c r="G169" s="9"/>
    </row>
  </sheetData>
  <mergeCells count="14">
    <mergeCell ref="A44:D44"/>
    <mergeCell ref="A5:D5"/>
    <mergeCell ref="A10:D10"/>
    <mergeCell ref="A15:D15"/>
    <mergeCell ref="A20:D20"/>
    <mergeCell ref="A38:D38"/>
    <mergeCell ref="A157:D157"/>
    <mergeCell ref="A164:D164"/>
    <mergeCell ref="A54:D54"/>
    <mergeCell ref="A70:D70"/>
    <mergeCell ref="A79:D79"/>
    <mergeCell ref="A98:D98"/>
    <mergeCell ref="A146:D146"/>
    <mergeCell ref="A151:D151"/>
  </mergeCells>
  <conditionalFormatting sqref="G159:G161 C159:C161">
    <cfRule type="cellIs" dxfId="218" priority="17" operator="equal">
      <formula>"ДА"</formula>
    </cfRule>
    <cfRule type="cellIs" dxfId="217" priority="18" operator="equal">
      <formula>"НЕТ"</formula>
    </cfRule>
    <cfRule type="cellIs" dxfId="216" priority="19" operator="equal">
      <formula>"Нет"</formula>
    </cfRule>
    <cfRule type="cellIs" dxfId="215" priority="20" operator="equal">
      <formula>"нет"</formula>
    </cfRule>
    <cfRule type="cellIs" dxfId="214" priority="21" operator="equal">
      <formula>"ДА"</formula>
    </cfRule>
    <cfRule type="containsText" dxfId="213" priority="22" operator="containsText" text="Да">
      <formula>NOT(ISERROR(SEARCH("Да",C159)))</formula>
    </cfRule>
  </conditionalFormatting>
  <conditionalFormatting sqref="E7 E12">
    <cfRule type="cellIs" dxfId="212" priority="29" operator="lessThan">
      <formula>0</formula>
    </cfRule>
    <cfRule type="cellIs" dxfId="211" priority="30" operator="greaterThan">
      <formula>0</formula>
    </cfRule>
  </conditionalFormatting>
  <conditionalFormatting sqref="D7 D12 E17">
    <cfRule type="cellIs" dxfId="210" priority="27" operator="lessThan">
      <formula>0</formula>
    </cfRule>
    <cfRule type="cellIs" dxfId="209" priority="28" operator="greaterThan">
      <formula>0</formula>
    </cfRule>
  </conditionalFormatting>
  <conditionalFormatting sqref="H72">
    <cfRule type="cellIs" dxfId="208" priority="25" operator="lessThan">
      <formula>1</formula>
    </cfRule>
    <cfRule type="cellIs" dxfId="207" priority="26" operator="greaterThan">
      <formula>1</formula>
    </cfRule>
  </conditionalFormatting>
  <conditionalFormatting sqref="H75">
    <cfRule type="cellIs" dxfId="206" priority="23" operator="lessThan">
      <formula>1</formula>
    </cfRule>
    <cfRule type="cellIs" dxfId="205" priority="24" operator="greaterThan">
      <formula>1</formula>
    </cfRule>
  </conditionalFormatting>
  <conditionalFormatting sqref="G169">
    <cfRule type="cellIs" dxfId="204" priority="7" operator="equal">
      <formula>"ДА"</formula>
    </cfRule>
    <cfRule type="cellIs" dxfId="203" priority="8" operator="equal">
      <formula>"НЕТ"</formula>
    </cfRule>
    <cfRule type="cellIs" dxfId="202" priority="9" operator="equal">
      <formula>"Нет"</formula>
    </cfRule>
    <cfRule type="cellIs" dxfId="201" priority="10" operator="equal">
      <formula>"нет"</formula>
    </cfRule>
    <cfRule type="cellIs" dxfId="200" priority="11" operator="equal">
      <formula>"ДА"</formula>
    </cfRule>
    <cfRule type="containsText" dxfId="199" priority="12" operator="containsText" text="Да">
      <formula>NOT(ISERROR(SEARCH("Да",G169)))</formula>
    </cfRule>
  </conditionalFormatting>
  <conditionalFormatting sqref="G167:G168">
    <cfRule type="cellIs" dxfId="198" priority="1" operator="equal">
      <formula>"ДА"</formula>
    </cfRule>
    <cfRule type="cellIs" dxfId="197" priority="2" operator="equal">
      <formula>"НЕТ"</formula>
    </cfRule>
    <cfRule type="cellIs" dxfId="196" priority="3" operator="equal">
      <formula>"Нет"</formula>
    </cfRule>
    <cfRule type="cellIs" dxfId="195" priority="4" operator="equal">
      <formula>"нет"</formula>
    </cfRule>
    <cfRule type="cellIs" dxfId="194" priority="5" operator="equal">
      <formula>"ДА"</formula>
    </cfRule>
  </conditionalFormatting>
  <pageMargins left="0.7" right="0.7" top="0.75" bottom="0.75" header="0.3" footer="0.3"/>
  <pageSetup paperSize="9" orientation="portrait" r:id="rId1"/>
  <legacy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extLst>
    <ext xmlns:x14="http://schemas.microsoft.com/office/spreadsheetml/2009/9/main" uri="{78C0D931-6437-407d-A8EE-F0AAD7539E65}">
      <x14:conditionalFormattings>
        <x14:conditionalFormatting xmlns:xm="http://schemas.microsoft.com/office/excel/2006/main">
          <x14:cfRule type="containsText" priority="6" operator="containsText" text="Да" id="{471CEF68-A819-4BDC-A20F-8777CBE9B786}">
            <xm:f>NOT(ISERROR(SEARCH("Да",'Август. 25'!G256)))</xm:f>
            <x14:dxf>
              <font>
                <color rgb="FF006100"/>
              </font>
              <fill>
                <patternFill>
                  <bgColor rgb="FFC6EFCE"/>
                </patternFill>
              </fill>
            </x14:dxf>
          </x14:cfRule>
          <xm:sqref>G167:G168</xm:sqref>
        </x14:conditionalFormatting>
      </x14:conditionalFormatting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E4BB-904F-46A2-8391-9ECB526A072B}">
  <dimension ref="A1:O146"/>
  <sheetViews>
    <sheetView topLeftCell="B43" zoomScale="85" zoomScaleNormal="85" workbookViewId="0">
      <selection activeCell="D136" sqref="D136"/>
    </sheetView>
  </sheetViews>
  <sheetFormatPr defaultColWidth="9.140625" defaultRowHeight="12.75" outlineLevelRow="1" x14ac:dyDescent="0.2"/>
  <cols>
    <col min="1" max="1" width="30.28515625" style="2" customWidth="1"/>
    <col min="2" max="2" width="35.7109375" style="2" customWidth="1"/>
    <col min="3" max="3" width="31.5703125" style="2" bestFit="1" customWidth="1"/>
    <col min="4" max="4" width="74" style="2" customWidth="1"/>
    <col min="5" max="5" width="34.85546875" style="2" customWidth="1"/>
    <col min="6" max="6" width="27.140625" style="2" customWidth="1"/>
    <col min="7" max="7" width="27.42578125" style="2" customWidth="1"/>
    <col min="8" max="8" width="36" style="2" customWidth="1"/>
    <col min="9" max="16384" width="9.140625" style="2"/>
  </cols>
  <sheetData>
    <row r="1" spans="1:7" ht="24.75" customHeight="1" x14ac:dyDescent="0.25">
      <c r="A1" s="134" t="s">
        <v>94</v>
      </c>
    </row>
    <row r="2" spans="1:7" ht="15.75" x14ac:dyDescent="0.25">
      <c r="A2" s="134" t="s">
        <v>2332</v>
      </c>
    </row>
    <row r="3" spans="1:7" x14ac:dyDescent="0.2">
      <c r="A3" s="3"/>
    </row>
    <row r="4" spans="1:7" ht="15.75" x14ac:dyDescent="0.25">
      <c r="A4" s="1" t="s">
        <v>0</v>
      </c>
      <c r="B4" s="2" t="s">
        <v>1</v>
      </c>
      <c r="C4" s="2" t="s">
        <v>2</v>
      </c>
    </row>
    <row r="5" spans="1:7" ht="15" x14ac:dyDescent="0.25">
      <c r="A5" s="386" t="s">
        <v>3</v>
      </c>
      <c r="B5" s="386"/>
      <c r="C5" s="386"/>
      <c r="D5" s="386"/>
      <c r="F5" s="4"/>
    </row>
    <row r="6" spans="1:7" s="6" customFormat="1" outlineLevel="1" x14ac:dyDescent="0.2">
      <c r="A6" s="5" t="s">
        <v>4</v>
      </c>
      <c r="B6" s="5" t="s">
        <v>5</v>
      </c>
      <c r="C6" s="5" t="s">
        <v>6</v>
      </c>
      <c r="D6" s="5" t="s">
        <v>7</v>
      </c>
      <c r="E6" s="5" t="s">
        <v>8</v>
      </c>
      <c r="F6" s="5" t="s">
        <v>10</v>
      </c>
      <c r="G6" s="186"/>
    </row>
    <row r="7" spans="1:7" outlineLevel="1" x14ac:dyDescent="0.2">
      <c r="A7" s="7" t="s">
        <v>94</v>
      </c>
      <c r="B7" s="8">
        <f>C22</f>
        <v>450000</v>
      </c>
      <c r="C7" s="9">
        <f>B22</f>
        <v>105780.6</v>
      </c>
      <c r="D7" s="10">
        <f>Таблица11029163037445158657223303744515865727986931009223548627690104107127139151163183152947637995111127143159175183450668298114130146545561577589605619635651667683700717163247627792107122137152182197182212227242257[Факт, руб.]/Таблица11029163037445158657223303744515865727986931009223548627690104107127139151163183152947637995111127143159175183450668298114130146545561577589605619635651667683700717163247627792107122137152182197182212227242257[План, руб.]-100%</f>
        <v>-0.76493199999999995</v>
      </c>
      <c r="E7" s="11">
        <f>Таблица11029163037445158657223303744515865727986931009223548627690104107127139151163183152947637995111127143159175183450668298114130146545561577589605619635651667683700717163247627792107122137152182197182212227242257[Факт, руб.]-Таблица11029163037445158657223303744515865727986931009223548627690104107127139151163183152947637995111127143159175183450668298114130146545561577589605619635651667683700717163247627792107122137152182197182212227242257[План, руб.]</f>
        <v>-344219.4</v>
      </c>
      <c r="F7" s="9">
        <v>173735.13</v>
      </c>
      <c r="G7" s="185"/>
    </row>
    <row r="8" spans="1:7" x14ac:dyDescent="0.2">
      <c r="A8" s="12"/>
      <c r="B8" s="13"/>
      <c r="C8" s="13"/>
      <c r="D8" s="14"/>
      <c r="F8" s="15"/>
      <c r="G8" s="16"/>
    </row>
    <row r="9" spans="1:7" ht="15" customHeight="1" x14ac:dyDescent="0.2">
      <c r="A9" s="12"/>
      <c r="B9" s="13"/>
      <c r="C9" s="13"/>
      <c r="D9" s="14"/>
      <c r="F9" s="17"/>
    </row>
    <row r="10" spans="1:7" ht="15" x14ac:dyDescent="0.25">
      <c r="A10" s="386" t="s">
        <v>11</v>
      </c>
      <c r="B10" s="386"/>
      <c r="C10" s="386"/>
      <c r="D10" s="386"/>
      <c r="F10" s="17"/>
    </row>
    <row r="11" spans="1:7" s="6" customFormat="1" outlineLevel="1" x14ac:dyDescent="0.2">
      <c r="A11" s="18" t="s">
        <v>4</v>
      </c>
      <c r="B11" s="19" t="s">
        <v>12</v>
      </c>
      <c r="C11" s="19" t="s">
        <v>13</v>
      </c>
      <c r="D11" s="19" t="s">
        <v>7</v>
      </c>
      <c r="E11" s="19" t="s">
        <v>8</v>
      </c>
      <c r="F11" s="20"/>
    </row>
    <row r="12" spans="1:7" outlineLevel="1" x14ac:dyDescent="0.2">
      <c r="A12" s="7" t="s">
        <v>94</v>
      </c>
      <c r="B12" s="8">
        <f>SUM(C22)</f>
        <v>450000</v>
      </c>
      <c r="C12" s="8">
        <f>B34</f>
        <v>105780.6</v>
      </c>
      <c r="D12" s="21">
        <f>C12/B12-100%</f>
        <v>-0.76493199999999995</v>
      </c>
      <c r="E12" s="8">
        <f>C12-B12</f>
        <v>-344219.4</v>
      </c>
      <c r="F12" s="17"/>
      <c r="G12" s="22"/>
    </row>
    <row r="13" spans="1:7" x14ac:dyDescent="0.2">
      <c r="A13" s="12"/>
      <c r="B13" s="368"/>
      <c r="C13" s="13"/>
      <c r="D13" s="14"/>
      <c r="F13" s="17"/>
    </row>
    <row r="14" spans="1:7" x14ac:dyDescent="0.2">
      <c r="A14" s="13"/>
      <c r="B14" s="13"/>
      <c r="C14" s="13"/>
      <c r="D14" s="14"/>
      <c r="F14" s="17"/>
      <c r="G14" s="22"/>
    </row>
    <row r="15" spans="1:7" ht="15" x14ac:dyDescent="0.25">
      <c r="A15" s="386" t="s">
        <v>2384</v>
      </c>
      <c r="B15" s="386"/>
      <c r="C15" s="386"/>
      <c r="D15" s="386"/>
      <c r="F15" s="17"/>
    </row>
    <row r="16" spans="1:7" s="6" customFormat="1" outlineLevel="1" x14ac:dyDescent="0.2">
      <c r="A16" s="5" t="s">
        <v>4</v>
      </c>
      <c r="B16" s="5" t="s">
        <v>93</v>
      </c>
      <c r="C16" s="5" t="s">
        <v>1037</v>
      </c>
      <c r="D16" s="5" t="s">
        <v>2334</v>
      </c>
      <c r="E16" s="5" t="s">
        <v>17</v>
      </c>
      <c r="F16" s="23"/>
    </row>
    <row r="17" spans="1:5" outlineLevel="1" x14ac:dyDescent="0.2">
      <c r="A17" s="7" t="s">
        <v>94</v>
      </c>
      <c r="B17" s="8">
        <v>0</v>
      </c>
      <c r="C17" s="8">
        <v>255961</v>
      </c>
      <c r="D17" s="8">
        <f>B34</f>
        <v>105780.6</v>
      </c>
      <c r="E17" s="21">
        <f>Таблица211301731384552596673243138455259667380879410110233649637791105109128140152164184163248648096112128144160176193551678399115131147546562578590606620636652668684701718173348637893108123138153183198183213228243258[Профит ФГ 26-27]/Таблица211301731384552596673243138455259667380879410110233649637791105109128140152164184163248648096112128144160176193551678399115131147546562578590606620636652668684701718173348637893108123138153183198183213228243258[Профит ФГ 25-26]</f>
        <v>0.41326842761201904</v>
      </c>
    </row>
    <row r="20" spans="1:5" ht="15" x14ac:dyDescent="0.25">
      <c r="A20" s="386" t="s">
        <v>18</v>
      </c>
      <c r="B20" s="386"/>
      <c r="C20" s="386"/>
      <c r="D20" s="386"/>
    </row>
    <row r="21" spans="1:5" outlineLevel="1" x14ac:dyDescent="0.2">
      <c r="A21" s="25" t="s">
        <v>19</v>
      </c>
      <c r="B21" s="26" t="s">
        <v>20</v>
      </c>
      <c r="C21" s="26" t="s">
        <v>21</v>
      </c>
      <c r="D21" s="25" t="s">
        <v>22</v>
      </c>
    </row>
    <row r="22" spans="1:5" outlineLevel="1" x14ac:dyDescent="0.2">
      <c r="A22" s="30" t="s">
        <v>23</v>
      </c>
      <c r="B22" s="31">
        <v>105780.6</v>
      </c>
      <c r="C22" s="31">
        <v>450000</v>
      </c>
      <c r="D22" s="32">
        <f>Таблица4936997167333146617691106121136151166196211196226241256271[[#This Row],[Профит]]/Таблица4936997167333146617691106121136151166196211196226241256271[[#This Row],[План]]</f>
        <v>0.235068</v>
      </c>
    </row>
    <row r="23" spans="1:5" outlineLevel="1" x14ac:dyDescent="0.2">
      <c r="A23" s="30" t="s">
        <v>25</v>
      </c>
      <c r="B23" s="135"/>
      <c r="C23" s="31">
        <v>450000</v>
      </c>
      <c r="D23" s="32">
        <f>Таблица4936997167333146617691106121136151166196211196226241256271[[#This Row],[Профит]]/Таблица4936997167333146617691106121136151166196211196226241256271[[#This Row],[План]]</f>
        <v>0</v>
      </c>
    </row>
    <row r="24" spans="1:5" outlineLevel="1" x14ac:dyDescent="0.2">
      <c r="A24" s="30" t="s">
        <v>26</v>
      </c>
      <c r="B24" s="135"/>
      <c r="C24" s="31">
        <v>505000</v>
      </c>
      <c r="D24" s="32">
        <f>Таблица4936997167333146617691106121136151166196211196226241256271[[#This Row],[Профит]]/Таблица4936997167333146617691106121136151166196211196226241256271[[#This Row],[План]]</f>
        <v>0</v>
      </c>
    </row>
    <row r="25" spans="1:5" outlineLevel="1" x14ac:dyDescent="0.2">
      <c r="A25" s="30" t="s">
        <v>27</v>
      </c>
      <c r="B25" s="135"/>
      <c r="C25" s="31">
        <v>505000</v>
      </c>
      <c r="D25" s="32">
        <f>Таблица4936997167333146617691106121136151166196211196226241256271[[#This Row],[Профит]]/Таблица4936997167333146617691106121136151166196211196226241256271[[#This Row],[План]]</f>
        <v>0</v>
      </c>
    </row>
    <row r="26" spans="1:5" outlineLevel="1" x14ac:dyDescent="0.2">
      <c r="A26" s="30" t="s">
        <v>28</v>
      </c>
      <c r="B26" s="135"/>
      <c r="C26" s="31">
        <v>560000</v>
      </c>
      <c r="D26" s="32">
        <f>Таблица4936997167333146617691106121136151166196211196226241256271[[#This Row],[Профит]]/Таблица4936997167333146617691106121136151166196211196226241256271[[#This Row],[План]]</f>
        <v>0</v>
      </c>
    </row>
    <row r="27" spans="1:5" outlineLevel="1" x14ac:dyDescent="0.2">
      <c r="A27" s="30" t="s">
        <v>29</v>
      </c>
      <c r="B27" s="135"/>
      <c r="C27" s="31">
        <v>560000</v>
      </c>
      <c r="D27" s="32">
        <f>Таблица4936997167333146617691106121136151166196211196226241256271[[#This Row],[Профит]]/Таблица4936997167333146617691106121136151166196211196226241256271[[#This Row],[План]]</f>
        <v>0</v>
      </c>
    </row>
    <row r="28" spans="1:5" outlineLevel="1" x14ac:dyDescent="0.2">
      <c r="A28" s="30" t="s">
        <v>30</v>
      </c>
      <c r="B28" s="135"/>
      <c r="C28" s="31">
        <v>620000</v>
      </c>
      <c r="D28" s="32">
        <f>Таблица4936997167333146617691106121136151166196211196226241256271[[#This Row],[Профит]]/Таблица4936997167333146617691106121136151166196211196226241256271[[#This Row],[План]]</f>
        <v>0</v>
      </c>
    </row>
    <row r="29" spans="1:5" outlineLevel="1" x14ac:dyDescent="0.2">
      <c r="A29" s="30" t="s">
        <v>31</v>
      </c>
      <c r="B29" s="31"/>
      <c r="C29" s="31">
        <v>675000</v>
      </c>
      <c r="D29" s="32">
        <f>Таблица4936997167333146617691106121136151166196211196226241256271[[#This Row],[Профит]]/Таблица4936997167333146617691106121136151166196211196226241256271[[#This Row],[План]]</f>
        <v>0</v>
      </c>
    </row>
    <row r="30" spans="1:5" outlineLevel="1" x14ac:dyDescent="0.2">
      <c r="A30" s="30" t="s">
        <v>32</v>
      </c>
      <c r="B30" s="34"/>
      <c r="C30" s="34">
        <v>785000</v>
      </c>
      <c r="D30" s="32">
        <f>Таблица4936997167333146617691106121136151166196211196226241256271[[#This Row],[Профит]]/Таблица4936997167333146617691106121136151166196211196226241256271[[#This Row],[План]]</f>
        <v>0</v>
      </c>
    </row>
    <row r="31" spans="1:5" outlineLevel="1" x14ac:dyDescent="0.2">
      <c r="A31" s="30" t="s">
        <v>33</v>
      </c>
      <c r="B31" s="34"/>
      <c r="C31" s="34">
        <v>505000</v>
      </c>
      <c r="D31" s="32">
        <f>Таблица4936997167333146617691106121136151166196211196226241256271[[#This Row],[Профит]]/Таблица4936997167333146617691106121136151166196211196226241256271[[#This Row],[План]]</f>
        <v>0</v>
      </c>
    </row>
    <row r="32" spans="1:5" outlineLevel="1" x14ac:dyDescent="0.2">
      <c r="A32" s="30" t="s">
        <v>34</v>
      </c>
      <c r="B32" s="34"/>
      <c r="C32" s="34">
        <v>560000</v>
      </c>
      <c r="D32" s="32">
        <f>Таблица4936997167333146617691106121136151166196211196226241256271[[#This Row],[Профит]]/Таблица4936997167333146617691106121136151166196211196226241256271[[#This Row],[План]]</f>
        <v>0</v>
      </c>
    </row>
    <row r="33" spans="1:8" outlineLevel="1" x14ac:dyDescent="0.2">
      <c r="A33" s="33" t="s">
        <v>35</v>
      </c>
      <c r="B33" s="34"/>
      <c r="C33" s="34">
        <v>560000</v>
      </c>
      <c r="D33" s="32">
        <f>Таблица4936997167333146617691106121136151166196211196226241256271[[#This Row],[Профит]]/Таблица4936997167333146617691106121136151166196211196226241256271[[#This Row],[План]]</f>
        <v>0</v>
      </c>
      <c r="H33" s="35"/>
    </row>
    <row r="34" spans="1:8" ht="15" outlineLevel="1" x14ac:dyDescent="0.25">
      <c r="A34" s="36" t="s">
        <v>36</v>
      </c>
      <c r="B34" s="37">
        <f>SUM(B22:B33)</f>
        <v>105780.6</v>
      </c>
      <c r="C34" s="38">
        <f>SUM(C22:C33)</f>
        <v>6735000</v>
      </c>
      <c r="D34" s="39"/>
    </row>
    <row r="35" spans="1:8" outlineLevel="1" x14ac:dyDescent="0.2">
      <c r="A35" s="41" t="s">
        <v>37</v>
      </c>
      <c r="B35" s="42">
        <f>AVERAGE(B22:B33)</f>
        <v>105780.6</v>
      </c>
      <c r="C35" s="42">
        <f>AVERAGE(C22:C33)</f>
        <v>561250</v>
      </c>
      <c r="D35" s="367">
        <f>B35/C35</f>
        <v>0.18847322939866371</v>
      </c>
    </row>
    <row r="38" spans="1:8" ht="15" x14ac:dyDescent="0.25">
      <c r="A38" s="386" t="s">
        <v>38</v>
      </c>
      <c r="B38" s="386"/>
      <c r="C38" s="386"/>
      <c r="D38" s="386"/>
    </row>
    <row r="39" spans="1:8" s="45" customFormat="1" outlineLevel="1" x14ac:dyDescent="0.2">
      <c r="A39" s="44" t="s">
        <v>39</v>
      </c>
      <c r="B39" s="44" t="s">
        <v>40</v>
      </c>
      <c r="C39" s="44" t="s">
        <v>41</v>
      </c>
      <c r="D39" s="44" t="s">
        <v>42</v>
      </c>
      <c r="E39" s="44" t="s">
        <v>43</v>
      </c>
      <c r="F39" s="2"/>
    </row>
    <row r="40" spans="1:8" ht="15" outlineLevel="1" x14ac:dyDescent="0.25">
      <c r="A40" s="8">
        <f>B22</f>
        <v>105780.6</v>
      </c>
      <c r="B40" s="46">
        <f>50000</f>
        <v>50000</v>
      </c>
      <c r="C40" s="136">
        <f>A40*0.07*1.1</f>
        <v>8145.1062000000011</v>
      </c>
      <c r="D40" s="361">
        <f>SUM(G136:G138)</f>
        <v>13560</v>
      </c>
      <c r="E40" s="48">
        <v>0</v>
      </c>
    </row>
    <row r="41" spans="1:8" outlineLevel="1" x14ac:dyDescent="0.2">
      <c r="A41" s="49" t="s">
        <v>44</v>
      </c>
      <c r="B41" s="137">
        <f>Таблица294459759110712313915517118730466278941101261421585565725886026166306466626786947117282843587388103118133148163193208193223238253268[Оклад]+Таблица294459759110712313915517118730466278941101261421585565725886026166306466626786947117282843587388103118133148163193208193223238253268[Премия]+Таблица294459759110712313915517118730466278941101261421585565725886026166306466626786947117282843587388103118133148163193208193223238253268[Штрафы]+Таблица294459759110712313915517118730466278941101261421585565725886026166306466626786947117282843587388103118133148163193208193223238253268[Доплата за Задачи]</f>
        <v>71705.106200000009</v>
      </c>
      <c r="C41" s="50"/>
    </row>
    <row r="42" spans="1:8" x14ac:dyDescent="0.2">
      <c r="A42" s="40"/>
      <c r="B42" s="40"/>
    </row>
    <row r="43" spans="1:8" x14ac:dyDescent="0.2">
      <c r="A43" s="51"/>
      <c r="B43" s="51"/>
      <c r="C43" s="51"/>
      <c r="D43" s="52"/>
      <c r="E43" s="53"/>
      <c r="F43" s="53"/>
      <c r="H43" s="22"/>
    </row>
    <row r="44" spans="1:8" ht="15" x14ac:dyDescent="0.25">
      <c r="A44" s="386" t="s">
        <v>45</v>
      </c>
      <c r="B44" s="386"/>
      <c r="C44" s="386"/>
      <c r="D44" s="386"/>
      <c r="E44" s="53"/>
      <c r="F44" s="53"/>
      <c r="H44" s="22"/>
    </row>
    <row r="45" spans="1:8" outlineLevel="1" x14ac:dyDescent="0.2">
      <c r="A45" s="5" t="s">
        <v>46</v>
      </c>
      <c r="B45" s="5" t="s">
        <v>47</v>
      </c>
      <c r="C45" s="5" t="s">
        <v>48</v>
      </c>
      <c r="D45" s="54" t="s">
        <v>49</v>
      </c>
      <c r="G45" s="40"/>
    </row>
    <row r="46" spans="1:8" ht="24.95" customHeight="1" outlineLevel="1" x14ac:dyDescent="0.2">
      <c r="A46" s="74" t="s">
        <v>1041</v>
      </c>
      <c r="B46" s="364">
        <v>590250</v>
      </c>
      <c r="C46" s="364">
        <v>590250</v>
      </c>
      <c r="D46" s="92">
        <f>Таблица546243318323946536067742532394653606774818895102112437506478921061101291411531651851733496581971131291451611772036526884100116132148547563579593607621637653669685702719193449647994109124139154184199184214229244259[[#This Row],[Сумма просроченного долга]]/Таблица546243318323946536067742532394653606774818895102112437506478921061101291411531651851733496581971131291451611772036526884100116132148547563579593607621637653669685702719193449647994109124139154184199184214229244259[[#This Row],[Общая сумма долга]]</f>
        <v>1</v>
      </c>
      <c r="G46" s="40"/>
    </row>
    <row r="47" spans="1:8" ht="24.95" customHeight="1" outlineLevel="1" x14ac:dyDescent="0.2">
      <c r="A47" s="74" t="s">
        <v>2170</v>
      </c>
      <c r="B47" s="364">
        <v>36600</v>
      </c>
      <c r="C47" s="364">
        <v>36600</v>
      </c>
      <c r="D47" s="92">
        <f>Таблица546243318323946536067742532394653606774818895102112437506478921061101291411531651851733496581971131291451611772036526884100116132148547563579593607621637653669685702719193449647994109124139154184199184214229244259[[#This Row],[Сумма просроченного долга]]/Таблица546243318323946536067742532394653606774818895102112437506478921061101291411531651851733496581971131291451611772036526884100116132148547563579593607621637653669685702719193449647994109124139154184199184214229244259[[#This Row],[Общая сумма долга]]</f>
        <v>1</v>
      </c>
      <c r="G47" s="40"/>
    </row>
    <row r="48" spans="1:8" ht="24.95" customHeight="1" outlineLevel="1" x14ac:dyDescent="0.2">
      <c r="A48" s="74" t="s">
        <v>2314</v>
      </c>
      <c r="B48" s="364">
        <v>0</v>
      </c>
      <c r="C48" s="364">
        <v>50500</v>
      </c>
      <c r="D48" s="92">
        <f>Таблица546243318323946536067742532394653606774818895102112437506478921061101291411531651851733496581971131291451611772036526884100116132148547563579593607621637653669685702719193449647994109124139154184199184214229244259[[#This Row],[Сумма просроченного долга]]/Таблица546243318323946536067742532394653606774818895102112437506478921061101291411531651851733496581971131291451611772036526884100116132148547563579593607621637653669685702719193449647994109124139154184199184214229244259[[#This Row],[Общая сумма долга]]</f>
        <v>0</v>
      </c>
      <c r="G48" s="40"/>
    </row>
    <row r="49" spans="1:8" ht="24.95" customHeight="1" outlineLevel="1" x14ac:dyDescent="0.2">
      <c r="A49" s="55" t="s">
        <v>1729</v>
      </c>
      <c r="B49" s="365">
        <v>0</v>
      </c>
      <c r="C49" s="365">
        <v>202000</v>
      </c>
      <c r="D49" s="366">
        <f>Таблица546243318323946536067742532394653606774818895102112437506478921061101291411531651851733496581971131291451611772036526884100116132148547563579593607621637653669685702719193449647994109124139154184199184214229244259[[#This Row],[Сумма просроченного долга]]/Таблица546243318323946536067742532394653606774818895102112437506478921061101291411531651851733496581971131291451611772036526884100116132148547563579593607621637653669685702719193449647994109124139154184199184214229244259[[#This Row],[Общая сумма долга]]</f>
        <v>0</v>
      </c>
      <c r="G49" s="62"/>
      <c r="H49" s="6"/>
    </row>
    <row r="50" spans="1:8" outlineLevel="1" x14ac:dyDescent="0.2">
      <c r="A50" s="63"/>
      <c r="B50" s="64" t="s">
        <v>50</v>
      </c>
      <c r="C50" s="65">
        <f>SUM(Таблица546243318323946536067742532394653606774818895102112437506478921061101291411531651851733496581971131291451611772036526884100116132148547563579593607621637653669685702719193449647994109124139154184199184214229244259[Общая сумма долга])</f>
        <v>879350</v>
      </c>
      <c r="D50" s="66" t="s">
        <v>2333</v>
      </c>
      <c r="E50" s="67" t="s">
        <v>51</v>
      </c>
      <c r="F50" s="51"/>
      <c r="G50" s="51"/>
      <c r="H50" s="51"/>
    </row>
    <row r="51" spans="1:8" outlineLevel="1" x14ac:dyDescent="0.2">
      <c r="A51" s="63"/>
      <c r="B51" s="64"/>
      <c r="C51" s="65"/>
      <c r="D51" s="51"/>
      <c r="E51" s="51"/>
      <c r="F51" s="51"/>
      <c r="G51" s="51"/>
      <c r="H51" s="51"/>
    </row>
    <row r="52" spans="1:8" x14ac:dyDescent="0.2">
      <c r="A52" s="63"/>
      <c r="B52" s="51"/>
      <c r="C52" s="51"/>
      <c r="D52" s="52"/>
      <c r="E52" s="51"/>
      <c r="F52" s="53"/>
      <c r="G52" s="51"/>
      <c r="H52" s="68"/>
    </row>
    <row r="53" spans="1:8" x14ac:dyDescent="0.2">
      <c r="A53" s="63"/>
      <c r="B53" s="51"/>
      <c r="C53" s="51"/>
      <c r="D53" s="52"/>
      <c r="E53" s="51"/>
      <c r="F53" s="53"/>
      <c r="G53" s="51"/>
      <c r="H53" s="68"/>
    </row>
    <row r="54" spans="1:8" ht="15" x14ac:dyDescent="0.25">
      <c r="A54" s="387" t="s">
        <v>52</v>
      </c>
      <c r="B54" s="387"/>
      <c r="C54" s="387"/>
      <c r="D54" s="387"/>
      <c r="E54" s="53"/>
      <c r="F54" s="53"/>
      <c r="G54" s="51"/>
    </row>
    <row r="55" spans="1:8" s="6" customFormat="1" outlineLevel="1" x14ac:dyDescent="0.2">
      <c r="A55" s="18" t="s">
        <v>53</v>
      </c>
      <c r="B55" s="19" t="s">
        <v>54</v>
      </c>
      <c r="C55" s="19" t="s">
        <v>55</v>
      </c>
      <c r="D55" s="69" t="s">
        <v>56</v>
      </c>
      <c r="E55" s="69" t="s">
        <v>4</v>
      </c>
      <c r="F55" s="70" t="s">
        <v>57</v>
      </c>
      <c r="G55" s="277"/>
    </row>
    <row r="56" spans="1:8" s="6" customFormat="1" ht="26.25" customHeight="1" outlineLevel="1" x14ac:dyDescent="0.2">
      <c r="A56" s="173" t="s">
        <v>1729</v>
      </c>
      <c r="B56" s="246">
        <v>1395970</v>
      </c>
      <c r="C56" s="131">
        <v>58603.26</v>
      </c>
      <c r="D56" s="249">
        <v>4.3999999999999997E-2</v>
      </c>
      <c r="E56" s="177" t="s">
        <v>94</v>
      </c>
      <c r="F56" s="250" t="s">
        <v>2385</v>
      </c>
    </row>
    <row r="57" spans="1:8" s="6" customFormat="1" ht="26.25" customHeight="1" outlineLevel="1" x14ac:dyDescent="0.2">
      <c r="A57" s="173" t="s">
        <v>1154</v>
      </c>
      <c r="B57" s="246">
        <v>39832.79</v>
      </c>
      <c r="C57" s="131">
        <v>39832.79</v>
      </c>
      <c r="D57" s="249">
        <v>1</v>
      </c>
      <c r="E57" s="177" t="s">
        <v>94</v>
      </c>
      <c r="F57" s="250" t="s">
        <v>2000</v>
      </c>
    </row>
    <row r="58" spans="1:8" s="6" customFormat="1" ht="26.25" customHeight="1" outlineLevel="1" x14ac:dyDescent="0.2">
      <c r="A58" s="173" t="s">
        <v>2250</v>
      </c>
      <c r="B58" s="246">
        <v>138918</v>
      </c>
      <c r="C58" s="131">
        <v>6837</v>
      </c>
      <c r="D58" s="249">
        <v>5.1999999999999998E-2</v>
      </c>
      <c r="E58" s="177" t="s">
        <v>94</v>
      </c>
      <c r="F58" s="250" t="s">
        <v>73</v>
      </c>
    </row>
    <row r="59" spans="1:8" s="6" customFormat="1" ht="26.25" customHeight="1" outlineLevel="1" x14ac:dyDescent="0.2">
      <c r="A59" s="173" t="s">
        <v>2029</v>
      </c>
      <c r="B59" s="246">
        <v>55210</v>
      </c>
      <c r="C59" s="131">
        <v>4324.21</v>
      </c>
      <c r="D59" s="249">
        <v>8.5000000000000006E-2</v>
      </c>
      <c r="E59" s="177" t="s">
        <v>94</v>
      </c>
      <c r="F59" s="250" t="s">
        <v>2386</v>
      </c>
    </row>
    <row r="60" spans="1:8" s="6" customFormat="1" ht="26.25" customHeight="1" outlineLevel="1" x14ac:dyDescent="0.2">
      <c r="A60" s="173" t="s">
        <v>2169</v>
      </c>
      <c r="B60" s="246">
        <v>20900</v>
      </c>
      <c r="C60" s="131">
        <v>3650</v>
      </c>
      <c r="D60" s="249">
        <v>0.21199999999999999</v>
      </c>
      <c r="E60" s="177" t="s">
        <v>94</v>
      </c>
      <c r="F60" s="250" t="s">
        <v>1248</v>
      </c>
    </row>
    <row r="61" spans="1:8" s="6" customFormat="1" ht="26.25" customHeight="1" outlineLevel="1" x14ac:dyDescent="0.2">
      <c r="A61" s="173" t="s">
        <v>2314</v>
      </c>
      <c r="B61" s="246">
        <v>50500</v>
      </c>
      <c r="C61" s="131">
        <v>1987.87</v>
      </c>
      <c r="D61" s="249">
        <v>4.1000000000000002E-2</v>
      </c>
      <c r="E61" s="177" t="s">
        <v>94</v>
      </c>
      <c r="F61" s="250" t="s">
        <v>282</v>
      </c>
    </row>
    <row r="62" spans="1:8" s="6" customFormat="1" ht="26.25" customHeight="1" outlineLevel="1" x14ac:dyDescent="0.2">
      <c r="A62" s="173" t="s">
        <v>1825</v>
      </c>
      <c r="B62" s="246">
        <v>10600</v>
      </c>
      <c r="C62" s="131">
        <v>1005.39</v>
      </c>
      <c r="D62" s="249">
        <v>0.105</v>
      </c>
      <c r="E62" s="177" t="s">
        <v>94</v>
      </c>
      <c r="F62" s="250" t="s">
        <v>1829</v>
      </c>
    </row>
    <row r="63" spans="1:8" s="6" customFormat="1" ht="26.25" customHeight="1" outlineLevel="1" x14ac:dyDescent="0.2">
      <c r="A63" s="173" t="s">
        <v>2175</v>
      </c>
      <c r="B63" s="246">
        <v>8900</v>
      </c>
      <c r="C63" s="131">
        <v>744.3</v>
      </c>
      <c r="D63" s="249">
        <v>9.0999999999999998E-2</v>
      </c>
      <c r="E63" s="177" t="s">
        <v>94</v>
      </c>
      <c r="F63" s="250" t="s">
        <v>1248</v>
      </c>
    </row>
    <row r="64" spans="1:8" s="6" customFormat="1" ht="26.25" customHeight="1" outlineLevel="1" x14ac:dyDescent="0.2">
      <c r="A64" s="173" t="s">
        <v>1822</v>
      </c>
      <c r="B64" s="246">
        <v>12854</v>
      </c>
      <c r="C64" s="131">
        <v>342.94</v>
      </c>
      <c r="D64" s="249">
        <v>2.7E-2</v>
      </c>
      <c r="E64" s="177" t="s">
        <v>94</v>
      </c>
      <c r="F64" s="250" t="s">
        <v>1248</v>
      </c>
    </row>
    <row r="65" spans="1:10" s="6" customFormat="1" ht="26.25" customHeight="1" outlineLevel="1" x14ac:dyDescent="0.2">
      <c r="A65" s="173" t="s">
        <v>1730</v>
      </c>
      <c r="B65" s="246">
        <v>3453.45</v>
      </c>
      <c r="C65" s="131">
        <v>254.45</v>
      </c>
      <c r="D65" s="249">
        <v>0.08</v>
      </c>
      <c r="E65" s="177" t="s">
        <v>94</v>
      </c>
      <c r="F65" s="250" t="s">
        <v>1829</v>
      </c>
    </row>
    <row r="66" spans="1:10" s="6" customFormat="1" ht="26.25" customHeight="1" outlineLevel="1" x14ac:dyDescent="0.2">
      <c r="A66" s="173" t="s">
        <v>1838</v>
      </c>
      <c r="B66" s="246">
        <v>0</v>
      </c>
      <c r="C66" s="131">
        <v>-11801.57</v>
      </c>
      <c r="D66" s="249">
        <v>-1</v>
      </c>
      <c r="E66" s="177" t="s">
        <v>94</v>
      </c>
      <c r="F66" s="250" t="s">
        <v>2387</v>
      </c>
    </row>
    <row r="67" spans="1:10" x14ac:dyDescent="0.2">
      <c r="A67" s="51"/>
      <c r="B67" s="51"/>
      <c r="C67" s="51"/>
      <c r="D67" s="52"/>
      <c r="E67" s="51"/>
      <c r="F67" s="53"/>
      <c r="G67" s="51"/>
    </row>
    <row r="68" spans="1:10" ht="15" x14ac:dyDescent="0.25">
      <c r="A68" s="386" t="s">
        <v>58</v>
      </c>
      <c r="B68" s="386"/>
      <c r="C68" s="386"/>
      <c r="D68" s="386"/>
      <c r="E68" s="79"/>
      <c r="F68" s="79"/>
    </row>
    <row r="69" spans="1:10" ht="15" customHeight="1" outlineLevel="1" x14ac:dyDescent="0.2">
      <c r="A69" s="80">
        <v>46143</v>
      </c>
      <c r="B69" s="81" t="s">
        <v>21</v>
      </c>
      <c r="C69" s="81" t="s">
        <v>59</v>
      </c>
      <c r="D69" s="81" t="s">
        <v>60</v>
      </c>
      <c r="E69" s="81" t="s">
        <v>61</v>
      </c>
      <c r="F69" s="81" t="s">
        <v>62</v>
      </c>
      <c r="G69" s="81" t="s">
        <v>63</v>
      </c>
      <c r="H69" s="81" t="s">
        <v>64</v>
      </c>
    </row>
    <row r="70" spans="1:10" outlineLevel="1" x14ac:dyDescent="0.2">
      <c r="A70" s="82"/>
      <c r="B70" s="282">
        <v>450000</v>
      </c>
      <c r="C70" s="283">
        <v>35000</v>
      </c>
      <c r="D70" s="282">
        <v>439000</v>
      </c>
      <c r="E70" s="282">
        <v>132000</v>
      </c>
      <c r="F70" s="282">
        <v>158000</v>
      </c>
      <c r="G70" s="282">
        <f>C70+D70+E70*0.5+F70*0.05</f>
        <v>547900</v>
      </c>
      <c r="H70" s="284">
        <f>Таблица9132738193340475461687582899682891101171241311381451521591661731801871945121926334047546168758289961031101171241311381451521591661741821902052131241361481601721922440627894110126142158174190334965819711312914516155957559160361763164766367969571269[[#This Row],[Столбец6]]/Таблица9132738193340475461687582899682891101171241311381451521591661731801871945121926334047546168758289961031101171241311381451521591661741821902052131241361481601721922440627894110126142158174190334965819711312914516155957559160361763164766367969571269[[#This Row],[Столбец1]]</f>
        <v>1.2175555555555555</v>
      </c>
    </row>
    <row r="71" spans="1:10" outlineLevel="1" x14ac:dyDescent="0.2">
      <c r="A71" s="40"/>
      <c r="B71" s="40"/>
      <c r="C71" s="369"/>
      <c r="D71" s="40"/>
      <c r="E71" s="40"/>
      <c r="F71" s="40"/>
      <c r="G71" s="40"/>
      <c r="H71" s="86"/>
    </row>
    <row r="72" spans="1:10" outlineLevel="1" x14ac:dyDescent="0.2">
      <c r="A72" s="80">
        <v>46174</v>
      </c>
      <c r="B72" s="81" t="s">
        <v>21</v>
      </c>
      <c r="C72" s="81" t="s">
        <v>59</v>
      </c>
      <c r="D72" s="81" t="s">
        <v>60</v>
      </c>
      <c r="E72" s="81" t="s">
        <v>61</v>
      </c>
      <c r="F72" s="81" t="s">
        <v>62</v>
      </c>
      <c r="G72" s="81" t="s">
        <v>63</v>
      </c>
      <c r="H72" s="81" t="s">
        <v>64</v>
      </c>
    </row>
    <row r="73" spans="1:10" ht="15" customHeight="1" outlineLevel="1" x14ac:dyDescent="0.2">
      <c r="A73" s="87"/>
      <c r="B73" s="282">
        <v>505000</v>
      </c>
      <c r="C73" s="283">
        <v>0</v>
      </c>
      <c r="D73" s="285"/>
      <c r="E73" s="283">
        <v>657000</v>
      </c>
      <c r="F73" s="286">
        <v>1025000</v>
      </c>
      <c r="G73" s="282">
        <f>C73+D73+E73*0.5+F73*0.05</f>
        <v>379750</v>
      </c>
      <c r="H73" s="284">
        <f>Таблица9132738193340475461687582899682891101171241311381451521591661731801871945121926334047546168758289961031101171241311381451521591661741821902052131191251371491611731932541567288104120136152168184274359759110712313915555356958559961362764365967569265[[#This Row],[Столбец6]]/Таблица9132738193340475461687582899682891101171241311381451521591661731801871945121926334047546168758289961031101171241311381451521591661741821902052131191251371491611731932541567288104120136152168184274359759110712313915555356958559961362764365967569265[[#This Row],[Столбец1]]</f>
        <v>0.75198019801980198</v>
      </c>
    </row>
    <row r="74" spans="1:10" x14ac:dyDescent="0.2">
      <c r="A74" s="63"/>
      <c r="B74" s="51"/>
      <c r="C74" s="51"/>
      <c r="D74" s="52"/>
      <c r="E74" s="51"/>
    </row>
    <row r="75" spans="1:10" x14ac:dyDescent="0.2">
      <c r="A75" s="51"/>
      <c r="B75" s="51"/>
      <c r="C75" s="51"/>
      <c r="D75" s="52"/>
      <c r="E75" s="51"/>
    </row>
    <row r="76" spans="1:10" ht="15.75" x14ac:dyDescent="0.25">
      <c r="A76" s="88" t="s">
        <v>65</v>
      </c>
      <c r="B76" s="89"/>
    </row>
    <row r="77" spans="1:10" ht="15" x14ac:dyDescent="0.25">
      <c r="A77" s="387" t="s">
        <v>66</v>
      </c>
      <c r="B77" s="387"/>
      <c r="C77" s="387"/>
      <c r="D77" s="387"/>
      <c r="E77" s="90"/>
      <c r="F77" s="90"/>
      <c r="G77" s="235">
        <f>SUM(Таблица4211720344148556269768390978390111118125132139146153160167174181188195613202734414855626976839097104111118125132139146153160167175183198206214123135147159171191233955718710311913515116718326425874901061221381545525685845986126266426586746907077264[Сумма, тыс. руб.])*1000</f>
        <v>32790000</v>
      </c>
      <c r="H77" s="276"/>
    </row>
    <row r="78" spans="1:10" outlineLevel="1" x14ac:dyDescent="0.2">
      <c r="A78" s="91" t="s">
        <v>67</v>
      </c>
      <c r="B78" s="91" t="s">
        <v>53</v>
      </c>
      <c r="C78" s="91" t="s">
        <v>4</v>
      </c>
      <c r="D78" s="91" t="s">
        <v>68</v>
      </c>
      <c r="E78" s="91" t="s">
        <v>69</v>
      </c>
      <c r="F78" s="91" t="s">
        <v>70</v>
      </c>
      <c r="G78" s="91" t="s">
        <v>71</v>
      </c>
      <c r="H78" s="91" t="s">
        <v>72</v>
      </c>
      <c r="I78" s="276"/>
      <c r="J78" s="276"/>
    </row>
    <row r="79" spans="1:10" s="258" customFormat="1" ht="24.95" customHeight="1" outlineLevel="1" x14ac:dyDescent="0.2">
      <c r="A79" s="230" t="s">
        <v>2335</v>
      </c>
      <c r="B79" s="230" t="s">
        <v>2351</v>
      </c>
      <c r="C79" s="177" t="s">
        <v>94</v>
      </c>
      <c r="D79" s="173" t="s">
        <v>73</v>
      </c>
      <c r="E79" s="230" t="s">
        <v>2356</v>
      </c>
      <c r="F79" s="218" t="s">
        <v>2156</v>
      </c>
      <c r="G79" s="131">
        <v>17667</v>
      </c>
      <c r="H79" s="173" t="s">
        <v>168</v>
      </c>
    </row>
    <row r="80" spans="1:10" s="258" customFormat="1" ht="24.95" customHeight="1" outlineLevel="1" x14ac:dyDescent="0.2">
      <c r="A80" s="190" t="s">
        <v>2337</v>
      </c>
      <c r="B80" s="176" t="s">
        <v>2215</v>
      </c>
      <c r="C80" s="177" t="s">
        <v>94</v>
      </c>
      <c r="D80" s="173" t="s">
        <v>73</v>
      </c>
      <c r="E80" s="178" t="s">
        <v>2358</v>
      </c>
      <c r="F80" s="218" t="s">
        <v>2156</v>
      </c>
      <c r="G80" s="131">
        <v>6032</v>
      </c>
      <c r="H80" s="173" t="s">
        <v>168</v>
      </c>
    </row>
    <row r="81" spans="1:9" s="258" customFormat="1" ht="24.95" customHeight="1" outlineLevel="1" x14ac:dyDescent="0.2">
      <c r="A81" s="190" t="s">
        <v>2338</v>
      </c>
      <c r="B81" s="176" t="s">
        <v>2353</v>
      </c>
      <c r="C81" s="177" t="s">
        <v>94</v>
      </c>
      <c r="D81" s="173" t="s">
        <v>73</v>
      </c>
      <c r="E81" s="178" t="s">
        <v>2359</v>
      </c>
      <c r="F81" s="218" t="s">
        <v>2156</v>
      </c>
      <c r="G81" s="131">
        <v>2980</v>
      </c>
      <c r="H81" s="173" t="s">
        <v>168</v>
      </c>
    </row>
    <row r="82" spans="1:9" s="258" customFormat="1" ht="24.95" customHeight="1" outlineLevel="1" x14ac:dyDescent="0.2">
      <c r="A82" s="190" t="s">
        <v>2342</v>
      </c>
      <c r="B82" s="176" t="s">
        <v>2354</v>
      </c>
      <c r="C82" s="177" t="s">
        <v>94</v>
      </c>
      <c r="D82" s="173" t="s">
        <v>73</v>
      </c>
      <c r="E82" s="178" t="s">
        <v>2362</v>
      </c>
      <c r="F82" s="218" t="s">
        <v>2156</v>
      </c>
      <c r="G82" s="131">
        <v>1937</v>
      </c>
      <c r="H82" s="173" t="s">
        <v>996</v>
      </c>
    </row>
    <row r="83" spans="1:9" s="258" customFormat="1" ht="24.95" customHeight="1" outlineLevel="1" x14ac:dyDescent="0.2">
      <c r="A83" s="190" t="s">
        <v>2371</v>
      </c>
      <c r="B83" s="176" t="s">
        <v>2353</v>
      </c>
      <c r="C83" s="177" t="s">
        <v>94</v>
      </c>
      <c r="D83" s="177" t="s">
        <v>73</v>
      </c>
      <c r="E83" s="178" t="s">
        <v>2372</v>
      </c>
      <c r="F83" s="179" t="s">
        <v>2244</v>
      </c>
      <c r="G83" s="131">
        <v>1229</v>
      </c>
      <c r="H83" s="173" t="s">
        <v>168</v>
      </c>
    </row>
    <row r="84" spans="1:9" s="258" customFormat="1" ht="24.95" customHeight="1" outlineLevel="1" x14ac:dyDescent="0.2">
      <c r="A84" s="190" t="s">
        <v>1765</v>
      </c>
      <c r="B84" s="176" t="s">
        <v>1766</v>
      </c>
      <c r="C84" s="177" t="s">
        <v>94</v>
      </c>
      <c r="D84" s="177" t="s">
        <v>73</v>
      </c>
      <c r="E84" s="178" t="s">
        <v>1783</v>
      </c>
      <c r="F84" s="179" t="s">
        <v>2244</v>
      </c>
      <c r="G84" s="131">
        <v>1000</v>
      </c>
      <c r="H84" s="173" t="s">
        <v>280</v>
      </c>
    </row>
    <row r="85" spans="1:9" s="258" customFormat="1" ht="24.95" customHeight="1" outlineLevel="1" x14ac:dyDescent="0.2">
      <c r="A85" s="190" t="s">
        <v>2192</v>
      </c>
      <c r="B85" s="176" t="s">
        <v>2216</v>
      </c>
      <c r="C85" s="177" t="s">
        <v>94</v>
      </c>
      <c r="D85" s="173" t="s">
        <v>73</v>
      </c>
      <c r="E85" s="178" t="s">
        <v>2225</v>
      </c>
      <c r="F85" s="218" t="s">
        <v>2156</v>
      </c>
      <c r="G85" s="131">
        <v>605</v>
      </c>
      <c r="H85" s="173" t="s">
        <v>280</v>
      </c>
    </row>
    <row r="86" spans="1:9" s="258" customFormat="1" ht="24.95" customHeight="1" outlineLevel="1" x14ac:dyDescent="0.2">
      <c r="A86" s="190" t="s">
        <v>2344</v>
      </c>
      <c r="B86" s="176" t="s">
        <v>2355</v>
      </c>
      <c r="C86" s="177" t="s">
        <v>94</v>
      </c>
      <c r="D86" s="173" t="s">
        <v>73</v>
      </c>
      <c r="E86" s="178" t="s">
        <v>2364</v>
      </c>
      <c r="F86" s="218" t="s">
        <v>2156</v>
      </c>
      <c r="G86" s="131">
        <v>544</v>
      </c>
      <c r="H86" s="173" t="s">
        <v>168</v>
      </c>
    </row>
    <row r="87" spans="1:9" s="258" customFormat="1" ht="24.95" customHeight="1" outlineLevel="1" x14ac:dyDescent="0.2">
      <c r="A87" s="190" t="s">
        <v>2345</v>
      </c>
      <c r="B87" s="176" t="s">
        <v>1838</v>
      </c>
      <c r="C87" s="177" t="s">
        <v>94</v>
      </c>
      <c r="D87" s="173" t="s">
        <v>73</v>
      </c>
      <c r="E87" s="178" t="s">
        <v>2365</v>
      </c>
      <c r="F87" s="218" t="s">
        <v>2156</v>
      </c>
      <c r="G87" s="131">
        <v>503</v>
      </c>
      <c r="H87" s="173" t="s">
        <v>390</v>
      </c>
    </row>
    <row r="88" spans="1:9" ht="24.95" customHeight="1" outlineLevel="1" x14ac:dyDescent="0.2">
      <c r="A88" s="74" t="s">
        <v>2374</v>
      </c>
      <c r="B88" s="74" t="s">
        <v>2218</v>
      </c>
      <c r="C88" s="177" t="s">
        <v>94</v>
      </c>
      <c r="D88" s="94" t="s">
        <v>73</v>
      </c>
      <c r="E88" s="94" t="s">
        <v>1248</v>
      </c>
      <c r="F88" s="218" t="s">
        <v>2156</v>
      </c>
      <c r="G88" s="72">
        <v>88</v>
      </c>
      <c r="H88" s="94" t="s">
        <v>168</v>
      </c>
      <c r="I88" s="236"/>
    </row>
    <row r="89" spans="1:9" ht="24.95" customHeight="1" outlineLevel="1" x14ac:dyDescent="0.2">
      <c r="A89" s="190" t="s">
        <v>1600</v>
      </c>
      <c r="B89" s="176" t="s">
        <v>104</v>
      </c>
      <c r="C89" s="177" t="s">
        <v>94</v>
      </c>
      <c r="D89" s="177" t="s">
        <v>73</v>
      </c>
      <c r="E89" s="178" t="s">
        <v>1640</v>
      </c>
      <c r="F89" s="218" t="s">
        <v>2156</v>
      </c>
      <c r="G89" s="131">
        <v>72</v>
      </c>
      <c r="H89" s="173" t="s">
        <v>280</v>
      </c>
      <c r="I89" s="236"/>
    </row>
    <row r="90" spans="1:9" ht="24.95" customHeight="1" outlineLevel="1" x14ac:dyDescent="0.2">
      <c r="A90" s="190" t="s">
        <v>2375</v>
      </c>
      <c r="B90" s="176" t="s">
        <v>2218</v>
      </c>
      <c r="C90" s="177" t="s">
        <v>94</v>
      </c>
      <c r="D90" s="177" t="s">
        <v>73</v>
      </c>
      <c r="E90" s="178" t="s">
        <v>2378</v>
      </c>
      <c r="F90" s="218" t="s">
        <v>2156</v>
      </c>
      <c r="G90" s="131">
        <v>71</v>
      </c>
      <c r="H90" s="173" t="s">
        <v>168</v>
      </c>
      <c r="I90" s="236"/>
    </row>
    <row r="91" spans="1:9" ht="24.95" customHeight="1" outlineLevel="1" x14ac:dyDescent="0.2">
      <c r="A91" s="190" t="s">
        <v>2376</v>
      </c>
      <c r="B91" s="176" t="s">
        <v>1574</v>
      </c>
      <c r="C91" s="177" t="s">
        <v>94</v>
      </c>
      <c r="D91" s="177" t="s">
        <v>73</v>
      </c>
      <c r="E91" s="178" t="s">
        <v>282</v>
      </c>
      <c r="F91" s="218" t="s">
        <v>2156</v>
      </c>
      <c r="G91" s="131">
        <v>62</v>
      </c>
      <c r="H91" s="173" t="s">
        <v>168</v>
      </c>
      <c r="I91" s="236"/>
    </row>
    <row r="92" spans="1:9" x14ac:dyDescent="0.2">
      <c r="A92" s="104"/>
      <c r="B92" s="104"/>
      <c r="C92" s="105"/>
      <c r="D92" s="106"/>
      <c r="E92" s="106"/>
      <c r="F92" s="107"/>
      <c r="G92" s="108"/>
      <c r="H92" s="106"/>
    </row>
    <row r="93" spans="1:9" ht="15" x14ac:dyDescent="0.25">
      <c r="A93" s="387" t="s">
        <v>74</v>
      </c>
      <c r="B93" s="387"/>
      <c r="C93" s="387"/>
      <c r="D93" s="387"/>
      <c r="G93" s="235">
        <f>SUM(Таблица125138150162174194264257738910512113715316918528446076921081241401565545705866006146286446606766927097262641567186101116131146161191206191221236251266[Сумма])*1000</f>
        <v>92509000</v>
      </c>
      <c r="H93" s="276"/>
    </row>
    <row r="94" spans="1:9" outlineLevel="1" x14ac:dyDescent="0.2">
      <c r="A94" s="91" t="s">
        <v>67</v>
      </c>
      <c r="B94" s="91" t="s">
        <v>53</v>
      </c>
      <c r="C94" s="91" t="s">
        <v>4</v>
      </c>
      <c r="D94" s="91" t="s">
        <v>68</v>
      </c>
      <c r="E94" s="91" t="s">
        <v>69</v>
      </c>
      <c r="F94" s="91" t="s">
        <v>70</v>
      </c>
      <c r="G94" s="91" t="s">
        <v>75</v>
      </c>
      <c r="H94" s="91" t="s">
        <v>72</v>
      </c>
    </row>
    <row r="95" spans="1:9" ht="24.95" customHeight="1" outlineLevel="1" x14ac:dyDescent="0.2">
      <c r="A95" s="74" t="s">
        <v>2336</v>
      </c>
      <c r="B95" s="74" t="s">
        <v>2352</v>
      </c>
      <c r="C95" s="177" t="s">
        <v>94</v>
      </c>
      <c r="D95" s="94" t="s">
        <v>73</v>
      </c>
      <c r="E95" s="74" t="s">
        <v>2357</v>
      </c>
      <c r="F95" s="218" t="s">
        <v>2248</v>
      </c>
      <c r="G95" s="72">
        <v>53486</v>
      </c>
      <c r="H95" s="94" t="s">
        <v>1019</v>
      </c>
    </row>
    <row r="96" spans="1:9" ht="24.95" customHeight="1" outlineLevel="1" x14ac:dyDescent="0.2">
      <c r="A96" s="74" t="s">
        <v>2335</v>
      </c>
      <c r="B96" s="74" t="s">
        <v>2351</v>
      </c>
      <c r="C96" s="177" t="s">
        <v>94</v>
      </c>
      <c r="D96" s="94" t="s">
        <v>73</v>
      </c>
      <c r="E96" s="74" t="s">
        <v>2356</v>
      </c>
      <c r="F96" s="218" t="s">
        <v>2156</v>
      </c>
      <c r="G96" s="72">
        <v>17667</v>
      </c>
      <c r="H96" s="94" t="s">
        <v>168</v>
      </c>
    </row>
    <row r="97" spans="1:8" ht="24.95" customHeight="1" outlineLevel="1" x14ac:dyDescent="0.2">
      <c r="A97" s="74" t="s">
        <v>2337</v>
      </c>
      <c r="B97" s="74" t="s">
        <v>2215</v>
      </c>
      <c r="C97" s="177" t="s">
        <v>94</v>
      </c>
      <c r="D97" s="94" t="s">
        <v>73</v>
      </c>
      <c r="E97" s="74" t="s">
        <v>2358</v>
      </c>
      <c r="F97" s="218" t="s">
        <v>2156</v>
      </c>
      <c r="G97" s="72">
        <v>6032</v>
      </c>
      <c r="H97" s="94" t="s">
        <v>168</v>
      </c>
    </row>
    <row r="98" spans="1:8" ht="24.95" customHeight="1" outlineLevel="1" x14ac:dyDescent="0.2">
      <c r="A98" s="74" t="s">
        <v>2338</v>
      </c>
      <c r="B98" s="74" t="s">
        <v>2353</v>
      </c>
      <c r="C98" s="177" t="s">
        <v>94</v>
      </c>
      <c r="D98" s="94" t="s">
        <v>73</v>
      </c>
      <c r="E98" s="74" t="s">
        <v>2359</v>
      </c>
      <c r="F98" s="218" t="s">
        <v>2156</v>
      </c>
      <c r="G98" s="72">
        <v>2980</v>
      </c>
      <c r="H98" s="94" t="s">
        <v>168</v>
      </c>
    </row>
    <row r="99" spans="1:8" ht="24.95" customHeight="1" outlineLevel="1" x14ac:dyDescent="0.2">
      <c r="A99" s="74" t="s">
        <v>2339</v>
      </c>
      <c r="B99" s="74" t="s">
        <v>2222</v>
      </c>
      <c r="C99" s="177" t="s">
        <v>94</v>
      </c>
      <c r="D99" s="94" t="s">
        <v>73</v>
      </c>
      <c r="E99" s="74" t="s">
        <v>1844</v>
      </c>
      <c r="F99" s="218" t="s">
        <v>2247</v>
      </c>
      <c r="G99" s="72">
        <v>2973</v>
      </c>
      <c r="H99" s="94" t="s">
        <v>168</v>
      </c>
    </row>
    <row r="100" spans="1:8" ht="24.95" customHeight="1" outlineLevel="1" x14ac:dyDescent="0.2">
      <c r="A100" s="74" t="s">
        <v>2340</v>
      </c>
      <c r="B100" s="74" t="s">
        <v>2134</v>
      </c>
      <c r="C100" s="177" t="s">
        <v>94</v>
      </c>
      <c r="D100" s="94" t="s">
        <v>73</v>
      </c>
      <c r="E100" s="74" t="s">
        <v>2360</v>
      </c>
      <c r="F100" s="218" t="s">
        <v>2370</v>
      </c>
      <c r="G100" s="72">
        <v>2618</v>
      </c>
      <c r="H100" s="94" t="s">
        <v>252</v>
      </c>
    </row>
    <row r="101" spans="1:8" ht="24.95" customHeight="1" outlineLevel="1" x14ac:dyDescent="0.2">
      <c r="A101" s="74" t="s">
        <v>2341</v>
      </c>
      <c r="B101" s="74" t="s">
        <v>2222</v>
      </c>
      <c r="C101" s="177" t="s">
        <v>94</v>
      </c>
      <c r="D101" s="94" t="s">
        <v>73</v>
      </c>
      <c r="E101" s="74" t="s">
        <v>2361</v>
      </c>
      <c r="F101" s="218" t="s">
        <v>2247</v>
      </c>
      <c r="G101" s="72">
        <v>1962</v>
      </c>
      <c r="H101" s="94" t="s">
        <v>168</v>
      </c>
    </row>
    <row r="102" spans="1:8" ht="24.95" customHeight="1" outlineLevel="1" x14ac:dyDescent="0.2">
      <c r="A102" s="74" t="s">
        <v>2342</v>
      </c>
      <c r="B102" s="74" t="s">
        <v>2354</v>
      </c>
      <c r="C102" s="177" t="s">
        <v>94</v>
      </c>
      <c r="D102" s="94" t="s">
        <v>73</v>
      </c>
      <c r="E102" s="74" t="s">
        <v>2362</v>
      </c>
      <c r="F102" s="218" t="s">
        <v>2156</v>
      </c>
      <c r="G102" s="72">
        <v>1937</v>
      </c>
      <c r="H102" s="94" t="s">
        <v>996</v>
      </c>
    </row>
    <row r="103" spans="1:8" ht="24.95" customHeight="1" outlineLevel="1" x14ac:dyDescent="0.2">
      <c r="A103" s="74" t="s">
        <v>2343</v>
      </c>
      <c r="B103" s="74" t="s">
        <v>2222</v>
      </c>
      <c r="C103" s="177" t="s">
        <v>94</v>
      </c>
      <c r="D103" s="94" t="s">
        <v>73</v>
      </c>
      <c r="E103" s="74" t="s">
        <v>2363</v>
      </c>
      <c r="F103" s="218" t="s">
        <v>2247</v>
      </c>
      <c r="G103" s="72">
        <v>960</v>
      </c>
      <c r="H103" s="94" t="s">
        <v>168</v>
      </c>
    </row>
    <row r="104" spans="1:8" ht="24.95" customHeight="1" outlineLevel="1" x14ac:dyDescent="0.2">
      <c r="A104" s="74" t="s">
        <v>2344</v>
      </c>
      <c r="B104" s="74" t="s">
        <v>2355</v>
      </c>
      <c r="C104" s="177" t="s">
        <v>94</v>
      </c>
      <c r="D104" s="94" t="s">
        <v>73</v>
      </c>
      <c r="E104" s="74" t="s">
        <v>2364</v>
      </c>
      <c r="F104" s="218" t="s">
        <v>2156</v>
      </c>
      <c r="G104" s="72">
        <v>544</v>
      </c>
      <c r="H104" s="94" t="s">
        <v>168</v>
      </c>
    </row>
    <row r="105" spans="1:8" ht="24.95" customHeight="1" outlineLevel="1" x14ac:dyDescent="0.2">
      <c r="A105" s="74" t="s">
        <v>2345</v>
      </c>
      <c r="B105" s="74" t="s">
        <v>1838</v>
      </c>
      <c r="C105" s="177" t="s">
        <v>94</v>
      </c>
      <c r="D105" s="94" t="s">
        <v>73</v>
      </c>
      <c r="E105" s="74" t="s">
        <v>2365</v>
      </c>
      <c r="F105" s="218" t="s">
        <v>2156</v>
      </c>
      <c r="G105" s="72">
        <v>503</v>
      </c>
      <c r="H105" s="94" t="s">
        <v>390</v>
      </c>
    </row>
    <row r="106" spans="1:8" ht="24.95" customHeight="1" outlineLevel="1" x14ac:dyDescent="0.2">
      <c r="A106" s="244" t="s">
        <v>2373</v>
      </c>
      <c r="B106" s="220" t="s">
        <v>2222</v>
      </c>
      <c r="C106" s="177" t="s">
        <v>94</v>
      </c>
      <c r="D106" s="93" t="s">
        <v>73</v>
      </c>
      <c r="E106" s="221" t="s">
        <v>2377</v>
      </c>
      <c r="F106" s="218" t="s">
        <v>2245</v>
      </c>
      <c r="G106" s="72">
        <v>375</v>
      </c>
      <c r="H106" s="94" t="s">
        <v>168</v>
      </c>
    </row>
    <row r="107" spans="1:8" ht="24.95" customHeight="1" outlineLevel="1" x14ac:dyDescent="0.2">
      <c r="A107" s="244" t="s">
        <v>2379</v>
      </c>
      <c r="B107" s="220" t="s">
        <v>2171</v>
      </c>
      <c r="C107" s="177" t="s">
        <v>94</v>
      </c>
      <c r="D107" s="93" t="s">
        <v>73</v>
      </c>
      <c r="E107" s="221" t="s">
        <v>2382</v>
      </c>
      <c r="F107" s="218" t="s">
        <v>2370</v>
      </c>
      <c r="G107" s="72">
        <v>144</v>
      </c>
      <c r="H107" s="94" t="s">
        <v>107</v>
      </c>
    </row>
    <row r="108" spans="1:8" ht="24.95" customHeight="1" outlineLevel="1" x14ac:dyDescent="0.2">
      <c r="A108" s="244" t="s">
        <v>2374</v>
      </c>
      <c r="B108" s="220" t="s">
        <v>2218</v>
      </c>
      <c r="C108" s="177" t="s">
        <v>94</v>
      </c>
      <c r="D108" s="93" t="s">
        <v>73</v>
      </c>
      <c r="E108" s="221" t="s">
        <v>1248</v>
      </c>
      <c r="F108" s="218" t="s">
        <v>2156</v>
      </c>
      <c r="G108" s="72">
        <v>88</v>
      </c>
      <c r="H108" s="94" t="s">
        <v>168</v>
      </c>
    </row>
    <row r="109" spans="1:8" ht="24.95" customHeight="1" outlineLevel="1" x14ac:dyDescent="0.2">
      <c r="A109" s="244" t="s">
        <v>2375</v>
      </c>
      <c r="B109" s="220" t="s">
        <v>2218</v>
      </c>
      <c r="C109" s="177" t="s">
        <v>94</v>
      </c>
      <c r="D109" s="93" t="s">
        <v>73</v>
      </c>
      <c r="E109" s="221" t="s">
        <v>2378</v>
      </c>
      <c r="F109" s="218" t="s">
        <v>2156</v>
      </c>
      <c r="G109" s="72">
        <v>71</v>
      </c>
      <c r="H109" s="94" t="s">
        <v>168</v>
      </c>
    </row>
    <row r="110" spans="1:8" ht="24.95" customHeight="1" outlineLevel="1" x14ac:dyDescent="0.2">
      <c r="A110" s="244" t="s">
        <v>2376</v>
      </c>
      <c r="B110" s="220" t="s">
        <v>1574</v>
      </c>
      <c r="C110" s="177" t="s">
        <v>94</v>
      </c>
      <c r="D110" s="93" t="s">
        <v>73</v>
      </c>
      <c r="E110" s="221" t="s">
        <v>282</v>
      </c>
      <c r="F110" s="218" t="s">
        <v>2156</v>
      </c>
      <c r="G110" s="72">
        <v>62</v>
      </c>
      <c r="H110" s="94" t="s">
        <v>168</v>
      </c>
    </row>
    <row r="111" spans="1:8" ht="24.95" customHeight="1" outlineLevel="1" x14ac:dyDescent="0.2">
      <c r="A111" s="244" t="s">
        <v>2380</v>
      </c>
      <c r="B111" s="220" t="s">
        <v>2029</v>
      </c>
      <c r="C111" s="177" t="s">
        <v>94</v>
      </c>
      <c r="D111" s="93" t="s">
        <v>73</v>
      </c>
      <c r="E111" s="221" t="s">
        <v>2383</v>
      </c>
      <c r="F111" s="218" t="s">
        <v>2370</v>
      </c>
      <c r="G111" s="72">
        <v>56</v>
      </c>
      <c r="H111" s="94" t="s">
        <v>107</v>
      </c>
    </row>
    <row r="112" spans="1:8" ht="24.95" customHeight="1" outlineLevel="1" x14ac:dyDescent="0.2">
      <c r="A112" s="244" t="s">
        <v>2381</v>
      </c>
      <c r="B112" s="220" t="s">
        <v>2314</v>
      </c>
      <c r="C112" s="177" t="s">
        <v>94</v>
      </c>
      <c r="D112" s="93" t="s">
        <v>73</v>
      </c>
      <c r="E112" s="221" t="s">
        <v>282</v>
      </c>
      <c r="F112" s="218" t="s">
        <v>2370</v>
      </c>
      <c r="G112" s="72">
        <v>51</v>
      </c>
      <c r="H112" s="94" t="s">
        <v>107</v>
      </c>
    </row>
    <row r="113" spans="1:8" ht="24.95" customHeight="1" outlineLevel="1" x14ac:dyDescent="0.2">
      <c r="A113" s="244" t="s">
        <v>2349</v>
      </c>
      <c r="B113" s="220" t="s">
        <v>1726</v>
      </c>
      <c r="C113" s="177" t="s">
        <v>94</v>
      </c>
      <c r="D113" s="93" t="s">
        <v>73</v>
      </c>
      <c r="E113" s="221" t="s">
        <v>2368</v>
      </c>
      <c r="F113" s="218" t="s">
        <v>2245</v>
      </c>
      <c r="G113" s="72">
        <v>0</v>
      </c>
      <c r="H113" s="94" t="s">
        <v>996</v>
      </c>
    </row>
    <row r="114" spans="1:8" ht="24.95" customHeight="1" outlineLevel="1" x14ac:dyDescent="0.2">
      <c r="A114" s="244" t="s">
        <v>2350</v>
      </c>
      <c r="B114" s="220" t="s">
        <v>1726</v>
      </c>
      <c r="C114" s="177" t="s">
        <v>94</v>
      </c>
      <c r="D114" s="93" t="s">
        <v>73</v>
      </c>
      <c r="E114" s="221" t="s">
        <v>2369</v>
      </c>
      <c r="F114" s="218" t="s">
        <v>2156</v>
      </c>
      <c r="G114" s="72">
        <v>0</v>
      </c>
      <c r="H114" s="94" t="s">
        <v>996</v>
      </c>
    </row>
    <row r="115" spans="1:8" ht="24.95" customHeight="1" outlineLevel="1" x14ac:dyDescent="0.2">
      <c r="A115" s="244" t="s">
        <v>2348</v>
      </c>
      <c r="B115" s="220" t="s">
        <v>2325</v>
      </c>
      <c r="C115" s="177" t="s">
        <v>94</v>
      </c>
      <c r="D115" s="93" t="s">
        <v>73</v>
      </c>
      <c r="E115" s="221" t="s">
        <v>2367</v>
      </c>
      <c r="F115" s="218" t="s">
        <v>2156</v>
      </c>
      <c r="G115" s="72">
        <v>0</v>
      </c>
      <c r="H115" s="94" t="s">
        <v>1019</v>
      </c>
    </row>
    <row r="116" spans="1:8" ht="24.95" customHeight="1" outlineLevel="1" x14ac:dyDescent="0.2">
      <c r="A116" s="244" t="s">
        <v>2347</v>
      </c>
      <c r="B116" s="220" t="s">
        <v>2325</v>
      </c>
      <c r="C116" s="177" t="s">
        <v>94</v>
      </c>
      <c r="D116" s="93" t="s">
        <v>1257</v>
      </c>
      <c r="E116" s="221" t="s">
        <v>2388</v>
      </c>
      <c r="F116" s="218" t="s">
        <v>2246</v>
      </c>
      <c r="G116" s="72">
        <v>0</v>
      </c>
      <c r="H116" s="94" t="s">
        <v>280</v>
      </c>
    </row>
    <row r="117" spans="1:8" ht="24.95" customHeight="1" outlineLevel="1" x14ac:dyDescent="0.2">
      <c r="A117" s="244" t="s">
        <v>2346</v>
      </c>
      <c r="B117" s="220" t="s">
        <v>1981</v>
      </c>
      <c r="C117" s="177" t="s">
        <v>94</v>
      </c>
      <c r="D117" s="93" t="s">
        <v>73</v>
      </c>
      <c r="E117" s="221" t="s">
        <v>2366</v>
      </c>
      <c r="F117" s="218" t="s">
        <v>2156</v>
      </c>
      <c r="G117" s="72">
        <v>0</v>
      </c>
      <c r="H117" s="94" t="s">
        <v>1019</v>
      </c>
    </row>
    <row r="118" spans="1:8" ht="15" customHeight="1" x14ac:dyDescent="0.2"/>
    <row r="119" spans="1:8" ht="15" customHeight="1" x14ac:dyDescent="0.2"/>
    <row r="120" spans="1:8" ht="15.75" x14ac:dyDescent="0.25">
      <c r="A120" s="1" t="s">
        <v>76</v>
      </c>
    </row>
    <row r="121" spans="1:8" s="7" customFormat="1" ht="15" x14ac:dyDescent="0.25">
      <c r="A121" s="389" t="s">
        <v>77</v>
      </c>
      <c r="B121" s="389"/>
      <c r="C121" s="389"/>
      <c r="D121" s="389"/>
      <c r="E121" s="351"/>
      <c r="F121" s="352"/>
    </row>
    <row r="122" spans="1:8" s="104" customFormat="1" outlineLevel="1" x14ac:dyDescent="0.25">
      <c r="A122" s="112" t="s">
        <v>78</v>
      </c>
      <c r="B122" s="112" t="s">
        <v>53</v>
      </c>
      <c r="C122" s="91" t="s">
        <v>4</v>
      </c>
      <c r="D122" s="112" t="s">
        <v>79</v>
      </c>
      <c r="E122" s="91" t="s">
        <v>80</v>
      </c>
      <c r="F122" s="112" t="s">
        <v>81</v>
      </c>
      <c r="G122" s="112" t="s">
        <v>82</v>
      </c>
    </row>
    <row r="123" spans="1:8" s="104" customFormat="1" ht="24.95" customHeight="1" outlineLevel="1" x14ac:dyDescent="0.25">
      <c r="A123" s="171">
        <v>46128</v>
      </c>
      <c r="B123" s="173" t="s">
        <v>2222</v>
      </c>
      <c r="C123" s="177" t="s">
        <v>94</v>
      </c>
      <c r="D123" s="173" t="s">
        <v>2327</v>
      </c>
      <c r="E123" s="173" t="s">
        <v>2323</v>
      </c>
      <c r="F123" s="173" t="s">
        <v>2264</v>
      </c>
      <c r="G123" s="173" t="s">
        <v>2329</v>
      </c>
    </row>
    <row r="124" spans="1:8" s="104" customFormat="1" ht="24.95" customHeight="1" outlineLevel="1" x14ac:dyDescent="0.25">
      <c r="A124" s="171">
        <v>46128</v>
      </c>
      <c r="B124" s="173" t="s">
        <v>2325</v>
      </c>
      <c r="C124" s="177" t="s">
        <v>94</v>
      </c>
      <c r="D124" s="173" t="s">
        <v>2321</v>
      </c>
      <c r="E124" s="173" t="s">
        <v>2331</v>
      </c>
      <c r="F124" s="173" t="s">
        <v>1671</v>
      </c>
      <c r="G124" s="173" t="s">
        <v>2328</v>
      </c>
    </row>
    <row r="125" spans="1:8" s="104" customFormat="1" ht="24.95" customHeight="1" outlineLevel="1" x14ac:dyDescent="0.25">
      <c r="A125" s="171">
        <v>46141</v>
      </c>
      <c r="B125" s="173" t="s">
        <v>2326</v>
      </c>
      <c r="C125" s="177" t="s">
        <v>94</v>
      </c>
      <c r="D125" s="173" t="s">
        <v>2322</v>
      </c>
      <c r="E125" s="173" t="s">
        <v>2324</v>
      </c>
      <c r="F125" s="173" t="s">
        <v>2015</v>
      </c>
      <c r="G125" s="173" t="s">
        <v>2330</v>
      </c>
    </row>
    <row r="126" spans="1:8" s="104" customFormat="1" ht="12" customHeight="1" outlineLevel="1" x14ac:dyDescent="0.2">
      <c r="A126" s="2"/>
      <c r="B126" s="118"/>
      <c r="C126" s="2"/>
      <c r="D126" s="2"/>
      <c r="E126" s="2"/>
      <c r="F126" s="2"/>
      <c r="G126" s="2"/>
    </row>
    <row r="127" spans="1:8" ht="24" customHeight="1" outlineLevel="1" x14ac:dyDescent="0.2">
      <c r="A127" s="118"/>
      <c r="B127" s="118"/>
    </row>
    <row r="128" spans="1:8" s="7" customFormat="1" ht="24" customHeight="1" outlineLevel="1" x14ac:dyDescent="0.25">
      <c r="A128" s="390" t="s">
        <v>83</v>
      </c>
      <c r="B128" s="390"/>
      <c r="C128" s="390"/>
      <c r="D128" s="390"/>
      <c r="E128" s="353"/>
    </row>
    <row r="129" spans="1:15" ht="24" customHeight="1" outlineLevel="1" x14ac:dyDescent="0.2">
      <c r="A129" s="112" t="s">
        <v>78</v>
      </c>
      <c r="B129" s="112" t="s">
        <v>53</v>
      </c>
      <c r="C129" s="91" t="s">
        <v>4</v>
      </c>
      <c r="D129" s="112" t="s">
        <v>79</v>
      </c>
      <c r="E129" s="91" t="s">
        <v>80</v>
      </c>
      <c r="F129" s="112" t="s">
        <v>81</v>
      </c>
      <c r="G129" s="112" t="s">
        <v>82</v>
      </c>
    </row>
    <row r="130" spans="1:15" ht="24" customHeight="1" outlineLevel="1" x14ac:dyDescent="0.2">
      <c r="A130" s="91"/>
      <c r="B130" s="91"/>
      <c r="C130" s="278"/>
      <c r="D130" s="280"/>
      <c r="E130" s="91"/>
      <c r="F130" s="91"/>
      <c r="G130" s="91"/>
    </row>
    <row r="132" spans="1:15" s="17" customFormat="1" outlineLevel="1" x14ac:dyDescent="0.2">
      <c r="A132" s="2"/>
      <c r="B132" s="2"/>
      <c r="C132" s="2"/>
      <c r="D132" s="2"/>
      <c r="E132" s="2"/>
      <c r="F132" s="2"/>
      <c r="G132" s="2"/>
    </row>
    <row r="133" spans="1:15" ht="60" customHeight="1" outlineLevel="1" x14ac:dyDescent="0.25">
      <c r="A133" s="1" t="s">
        <v>84</v>
      </c>
    </row>
    <row r="134" spans="1:15" ht="12.6" customHeight="1" outlineLevel="1" x14ac:dyDescent="0.25">
      <c r="A134" s="386" t="s">
        <v>85</v>
      </c>
      <c r="B134" s="386"/>
      <c r="C134" s="386"/>
      <c r="D134" s="386"/>
    </row>
    <row r="135" spans="1:15" ht="33" customHeight="1" outlineLevel="1" x14ac:dyDescent="0.2">
      <c r="A135" s="120" t="s">
        <v>81</v>
      </c>
      <c r="B135" s="120" t="s">
        <v>86</v>
      </c>
      <c r="C135" s="120" t="s">
        <v>87</v>
      </c>
      <c r="D135" s="120" t="s">
        <v>88</v>
      </c>
      <c r="E135" s="120" t="s">
        <v>89</v>
      </c>
      <c r="F135" s="120" t="s">
        <v>4</v>
      </c>
      <c r="G135" s="120" t="s">
        <v>90</v>
      </c>
    </row>
    <row r="136" spans="1:15" ht="287.25" customHeight="1" outlineLevel="1" x14ac:dyDescent="0.2">
      <c r="A136" s="94"/>
      <c r="B136" s="219" t="s">
        <v>2316</v>
      </c>
      <c r="C136" s="238" t="s">
        <v>1280</v>
      </c>
      <c r="D136" s="225" t="s">
        <v>2319</v>
      </c>
      <c r="E136" s="132" t="s">
        <v>2168</v>
      </c>
      <c r="F136" s="74" t="s">
        <v>94</v>
      </c>
      <c r="G136" s="72">
        <v>7560</v>
      </c>
    </row>
    <row r="137" spans="1:15" ht="248.25" customHeight="1" x14ac:dyDescent="0.2">
      <c r="A137" s="94"/>
      <c r="B137" s="219" t="s">
        <v>2315</v>
      </c>
      <c r="C137" s="238" t="s">
        <v>1280</v>
      </c>
      <c r="D137" s="225" t="s">
        <v>2320</v>
      </c>
      <c r="E137" s="132" t="s">
        <v>1742</v>
      </c>
      <c r="F137" s="74" t="s">
        <v>94</v>
      </c>
      <c r="G137" s="72">
        <v>0</v>
      </c>
    </row>
    <row r="138" spans="1:15" ht="148.5" customHeight="1" x14ac:dyDescent="0.2">
      <c r="A138" s="94"/>
      <c r="B138" s="219" t="s">
        <v>2309</v>
      </c>
      <c r="C138" s="238" t="s">
        <v>1280</v>
      </c>
      <c r="D138" s="225" t="s">
        <v>2318</v>
      </c>
      <c r="E138" s="132" t="s">
        <v>2310</v>
      </c>
      <c r="F138" s="74" t="s">
        <v>94</v>
      </c>
      <c r="G138" s="72">
        <v>6000</v>
      </c>
    </row>
    <row r="139" spans="1:15" s="124" customFormat="1" ht="12.75" customHeight="1" outlineLevel="1" x14ac:dyDescent="0.2">
      <c r="A139" s="2"/>
      <c r="B139" s="122"/>
      <c r="C139" s="123"/>
      <c r="D139" s="2"/>
      <c r="E139" s="2"/>
      <c r="F139" s="122"/>
      <c r="G139" s="2"/>
      <c r="H139" s="2"/>
      <c r="I139" s="2"/>
      <c r="J139" s="2"/>
      <c r="K139" s="2"/>
      <c r="L139" s="2"/>
      <c r="M139" s="2"/>
      <c r="N139" s="2"/>
      <c r="O139" s="2"/>
    </row>
    <row r="140" spans="1:15" ht="60" customHeight="1" outlineLevel="1" x14ac:dyDescent="0.2">
      <c r="A140" s="122"/>
      <c r="B140" s="122"/>
      <c r="C140" s="123"/>
      <c r="F140" s="122"/>
    </row>
    <row r="141" spans="1:15" ht="60" customHeight="1" outlineLevel="1" x14ac:dyDescent="0.25">
      <c r="A141" s="386" t="s">
        <v>92</v>
      </c>
      <c r="B141" s="386"/>
      <c r="C141" s="386"/>
      <c r="D141" s="386"/>
    </row>
    <row r="142" spans="1:15" x14ac:dyDescent="0.2">
      <c r="A142" s="120" t="s">
        <v>81</v>
      </c>
      <c r="B142" s="120" t="s">
        <v>86</v>
      </c>
      <c r="C142" s="120" t="s">
        <v>87</v>
      </c>
      <c r="D142" s="120" t="s">
        <v>88</v>
      </c>
      <c r="E142" s="120" t="s">
        <v>89</v>
      </c>
      <c r="F142" s="120" t="s">
        <v>4</v>
      </c>
      <c r="G142" s="120" t="s">
        <v>90</v>
      </c>
    </row>
    <row r="143" spans="1:15" ht="153" x14ac:dyDescent="0.2">
      <c r="A143" s="230" t="s">
        <v>109</v>
      </c>
      <c r="B143" s="219" t="s">
        <v>1744</v>
      </c>
      <c r="C143" s="292"/>
      <c r="D143" s="292"/>
      <c r="E143" s="132" t="s">
        <v>1743</v>
      </c>
      <c r="F143" s="74" t="s">
        <v>94</v>
      </c>
      <c r="G143" s="292"/>
    </row>
    <row r="144" spans="1:15" ht="76.5" x14ac:dyDescent="0.25">
      <c r="A144" s="230" t="s">
        <v>109</v>
      </c>
      <c r="B144" s="148" t="s">
        <v>1741</v>
      </c>
      <c r="C144" s="125"/>
      <c r="D144"/>
      <c r="E144" s="132" t="s">
        <v>1695</v>
      </c>
      <c r="F144" s="74" t="s">
        <v>94</v>
      </c>
      <c r="G144" s="126"/>
    </row>
    <row r="145" spans="1:7" ht="38.25" x14ac:dyDescent="0.25">
      <c r="A145" s="230" t="s">
        <v>109</v>
      </c>
      <c r="B145" s="148" t="s">
        <v>1745</v>
      </c>
      <c r="C145" s="125"/>
      <c r="D145"/>
      <c r="E145" s="132" t="s">
        <v>1516</v>
      </c>
      <c r="F145" s="74" t="s">
        <v>94</v>
      </c>
      <c r="G145" s="126"/>
    </row>
    <row r="146" spans="1:7" ht="76.5" x14ac:dyDescent="0.25">
      <c r="A146" s="230" t="s">
        <v>109</v>
      </c>
      <c r="B146" s="148" t="s">
        <v>1410</v>
      </c>
      <c r="C146" s="125"/>
      <c r="D146"/>
      <c r="E146" s="132" t="s">
        <v>1742</v>
      </c>
      <c r="F146" s="74" t="s">
        <v>94</v>
      </c>
      <c r="G146" s="9"/>
    </row>
  </sheetData>
  <mergeCells count="14">
    <mergeCell ref="A134:D134"/>
    <mergeCell ref="A141:D141"/>
    <mergeCell ref="A54:D54"/>
    <mergeCell ref="A68:D68"/>
    <mergeCell ref="A77:D77"/>
    <mergeCell ref="A93:D93"/>
    <mergeCell ref="A121:D121"/>
    <mergeCell ref="A128:D128"/>
    <mergeCell ref="A44:D44"/>
    <mergeCell ref="A5:D5"/>
    <mergeCell ref="A10:D10"/>
    <mergeCell ref="A15:D15"/>
    <mergeCell ref="A20:D20"/>
    <mergeCell ref="A38:D38"/>
  </mergeCells>
  <conditionalFormatting sqref="G136:G138 C136:C138">
    <cfRule type="cellIs" dxfId="192" priority="17" operator="equal">
      <formula>"ДА"</formula>
    </cfRule>
    <cfRule type="cellIs" dxfId="191" priority="18" operator="equal">
      <formula>"НЕТ"</formula>
    </cfRule>
    <cfRule type="cellIs" dxfId="190" priority="19" operator="equal">
      <formula>"Нет"</formula>
    </cfRule>
    <cfRule type="cellIs" dxfId="189" priority="20" operator="equal">
      <formula>"нет"</formula>
    </cfRule>
    <cfRule type="cellIs" dxfId="188" priority="21" operator="equal">
      <formula>"ДА"</formula>
    </cfRule>
    <cfRule type="containsText" dxfId="187" priority="22" operator="containsText" text="Да">
      <formula>NOT(ISERROR(SEARCH("Да",C136)))</formula>
    </cfRule>
  </conditionalFormatting>
  <conditionalFormatting sqref="E7 E12">
    <cfRule type="cellIs" dxfId="186" priority="29" operator="lessThan">
      <formula>0</formula>
    </cfRule>
    <cfRule type="cellIs" dxfId="185" priority="30" operator="greaterThan">
      <formula>0</formula>
    </cfRule>
  </conditionalFormatting>
  <conditionalFormatting sqref="D7 D12 E17">
    <cfRule type="cellIs" dxfId="184" priority="27" operator="lessThan">
      <formula>0</formula>
    </cfRule>
    <cfRule type="cellIs" dxfId="183" priority="28" operator="greaterThan">
      <formula>0</formula>
    </cfRule>
  </conditionalFormatting>
  <conditionalFormatting sqref="H70">
    <cfRule type="cellIs" dxfId="182" priority="25" operator="lessThan">
      <formula>1</formula>
    </cfRule>
    <cfRule type="cellIs" dxfId="181" priority="26" operator="greaterThan">
      <formula>1</formula>
    </cfRule>
  </conditionalFormatting>
  <conditionalFormatting sqref="H73">
    <cfRule type="cellIs" dxfId="180" priority="23" operator="lessThan">
      <formula>1</formula>
    </cfRule>
    <cfRule type="cellIs" dxfId="179" priority="24" operator="greaterThan">
      <formula>1</formula>
    </cfRule>
  </conditionalFormatting>
  <conditionalFormatting sqref="G146">
    <cfRule type="cellIs" dxfId="178" priority="7" operator="equal">
      <formula>"ДА"</formula>
    </cfRule>
    <cfRule type="cellIs" dxfId="177" priority="8" operator="equal">
      <formula>"НЕТ"</formula>
    </cfRule>
    <cfRule type="cellIs" dxfId="176" priority="9" operator="equal">
      <formula>"Нет"</formula>
    </cfRule>
    <cfRule type="cellIs" dxfId="175" priority="10" operator="equal">
      <formula>"нет"</formula>
    </cfRule>
    <cfRule type="cellIs" dxfId="174" priority="11" operator="equal">
      <formula>"ДА"</formula>
    </cfRule>
    <cfRule type="containsText" dxfId="173" priority="12" operator="containsText" text="Да">
      <formula>NOT(ISERROR(SEARCH("Да",G146)))</formula>
    </cfRule>
  </conditionalFormatting>
  <conditionalFormatting sqref="G144:G145">
    <cfRule type="cellIs" dxfId="172" priority="1" operator="equal">
      <formula>"ДА"</formula>
    </cfRule>
    <cfRule type="cellIs" dxfId="171" priority="2" operator="equal">
      <formula>"НЕТ"</formula>
    </cfRule>
    <cfRule type="cellIs" dxfId="170" priority="3" operator="equal">
      <formula>"Нет"</formula>
    </cfRule>
    <cfRule type="cellIs" dxfId="169" priority="4" operator="equal">
      <formula>"нет"</formula>
    </cfRule>
    <cfRule type="cellIs" dxfId="168" priority="5" operator="equal">
      <formula>"ДА"</formula>
    </cfRule>
  </conditionalFormatting>
  <pageMargins left="0.7" right="0.7" top="0.75" bottom="0.75" header="0.3" footer="0.3"/>
  <pageSetup paperSize="9" orientation="portrait" r:id="rId1"/>
  <legacy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extLst>
    <ext xmlns:x14="http://schemas.microsoft.com/office/spreadsheetml/2009/9/main" uri="{78C0D931-6437-407d-A8EE-F0AAD7539E65}">
      <x14:conditionalFormattings>
        <x14:conditionalFormatting xmlns:xm="http://schemas.microsoft.com/office/excel/2006/main">
          <x14:cfRule type="containsText" priority="6" operator="containsText" text="Да" id="{F7BA17B4-4959-4791-8090-3E0EC47653F8}">
            <xm:f>NOT(ISERROR(SEARCH("Да",'Август. 25'!G256)))</xm:f>
            <x14:dxf>
              <font>
                <color rgb="FF006100"/>
              </font>
              <fill>
                <patternFill>
                  <bgColor rgb="FFC6EFCE"/>
                </patternFill>
              </fill>
            </x14:dxf>
          </x14:cfRule>
          <xm:sqref>G144:G145</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EC5F8-FE54-4B06-93A6-FE294D0FD67E}">
  <dimension ref="A1:O119"/>
  <sheetViews>
    <sheetView zoomScale="85" zoomScaleNormal="85" workbookViewId="0">
      <selection activeCell="C17" sqref="C17"/>
    </sheetView>
  </sheetViews>
  <sheetFormatPr defaultColWidth="9.140625" defaultRowHeight="12.75" outlineLevelRow="1" x14ac:dyDescent="0.2"/>
  <cols>
    <col min="1" max="1" width="30.28515625" style="2" customWidth="1"/>
    <col min="2" max="2" width="41.7109375" style="2" customWidth="1"/>
    <col min="3" max="3" width="31.5703125" style="2" bestFit="1" customWidth="1"/>
    <col min="4" max="4" width="74.140625" style="2" customWidth="1"/>
    <col min="5" max="5" width="34.85546875" style="2" customWidth="1"/>
    <col min="6" max="6" width="27.140625" style="2" customWidth="1"/>
    <col min="7" max="7" width="27.42578125" style="2" customWidth="1"/>
    <col min="8" max="8" width="36" style="2" customWidth="1"/>
    <col min="9" max="16384" width="9.140625" style="2"/>
  </cols>
  <sheetData>
    <row r="1" spans="1:7" ht="24.75" customHeight="1" x14ac:dyDescent="0.25">
      <c r="A1" s="134" t="s">
        <v>94</v>
      </c>
    </row>
    <row r="2" spans="1:7" ht="15.75" x14ac:dyDescent="0.25">
      <c r="A2" s="134" t="s">
        <v>2399</v>
      </c>
    </row>
    <row r="3" spans="1:7" x14ac:dyDescent="0.2">
      <c r="A3" s="3"/>
    </row>
    <row r="4" spans="1:7" ht="15.75" x14ac:dyDescent="0.25">
      <c r="A4" s="1" t="s">
        <v>0</v>
      </c>
      <c r="B4" s="2" t="s">
        <v>1</v>
      </c>
      <c r="C4" s="2" t="s">
        <v>2</v>
      </c>
    </row>
    <row r="5" spans="1:7" ht="15" x14ac:dyDescent="0.25">
      <c r="A5" s="386" t="s">
        <v>3</v>
      </c>
      <c r="B5" s="386"/>
      <c r="C5" s="386"/>
      <c r="D5" s="386"/>
      <c r="F5" s="4"/>
    </row>
    <row r="6" spans="1:7" s="6" customFormat="1" outlineLevel="1" x14ac:dyDescent="0.2">
      <c r="A6" s="5" t="s">
        <v>4</v>
      </c>
      <c r="B6" s="5" t="s">
        <v>5</v>
      </c>
      <c r="C6" s="5" t="s">
        <v>6</v>
      </c>
      <c r="D6" s="5" t="s">
        <v>7</v>
      </c>
      <c r="E6" s="5" t="s">
        <v>8</v>
      </c>
      <c r="F6" s="5" t="s">
        <v>10</v>
      </c>
      <c r="G6" s="186"/>
    </row>
    <row r="7" spans="1:7" outlineLevel="1" x14ac:dyDescent="0.2">
      <c r="A7" s="7" t="s">
        <v>94</v>
      </c>
      <c r="B7" s="8">
        <f>C23</f>
        <v>450000</v>
      </c>
      <c r="C7" s="9">
        <f>B23</f>
        <v>848945.92</v>
      </c>
      <c r="D7" s="10">
        <f>Таблица11029163037445158657223303744515865727986931009223548627690104107127139151163183152947637995111127143159175183450668298114130146545561577589605619635651667683700717163247627792107122137152182197182212227242257287[Факт, руб.]/Таблица11029163037445158657223303744515865727986931009223548627690104107127139151163183152947637995111127143159175183450668298114130146545561577589605619635651667683700717163247627792107122137152182197182212227242257287[План, руб.]-100%</f>
        <v>0.88654648888888898</v>
      </c>
      <c r="E7" s="11">
        <f>Таблица11029163037445158657223303744515865727986931009223548627690104107127139151163183152947637995111127143159175183450668298114130146545561577589605619635651667683700717163247627792107122137152182197182212227242257287[Факт, руб.]-Таблица11029163037445158657223303744515865727986931009223548627690104107127139151163183152947637995111127143159175183450668298114130146545561577589605619635651667683700717163247627792107122137152182197182212227242257287[План, руб.]</f>
        <v>398945.92000000004</v>
      </c>
      <c r="F7" s="9">
        <f>B22</f>
        <v>105780.6</v>
      </c>
      <c r="G7" s="185"/>
    </row>
    <row r="8" spans="1:7" x14ac:dyDescent="0.2">
      <c r="A8" s="12"/>
      <c r="B8" s="13"/>
      <c r="C8" s="13"/>
      <c r="D8" s="14"/>
      <c r="F8" s="15"/>
      <c r="G8" s="16"/>
    </row>
    <row r="9" spans="1:7" ht="15" customHeight="1" x14ac:dyDescent="0.2">
      <c r="A9" s="12"/>
      <c r="B9" s="13"/>
      <c r="C9" s="13"/>
      <c r="D9" s="14"/>
      <c r="F9" s="17"/>
    </row>
    <row r="10" spans="1:7" ht="15" x14ac:dyDescent="0.25">
      <c r="A10" s="386" t="s">
        <v>11</v>
      </c>
      <c r="B10" s="386"/>
      <c r="C10" s="386"/>
      <c r="D10" s="386"/>
      <c r="F10" s="17"/>
    </row>
    <row r="11" spans="1:7" s="6" customFormat="1" outlineLevel="1" x14ac:dyDescent="0.2">
      <c r="A11" s="18" t="s">
        <v>4</v>
      </c>
      <c r="B11" s="19" t="s">
        <v>12</v>
      </c>
      <c r="C11" s="19" t="s">
        <v>13</v>
      </c>
      <c r="D11" s="19" t="s">
        <v>7</v>
      </c>
      <c r="E11" s="19" t="s">
        <v>8</v>
      </c>
      <c r="F11" s="20"/>
    </row>
    <row r="12" spans="1:7" outlineLevel="1" x14ac:dyDescent="0.2">
      <c r="A12" s="7" t="s">
        <v>94</v>
      </c>
      <c r="B12" s="8">
        <f>SUM(C22:C23)</f>
        <v>900000</v>
      </c>
      <c r="C12" s="8">
        <f>B34</f>
        <v>954726.52</v>
      </c>
      <c r="D12" s="21">
        <f>C12/B12-100%</f>
        <v>6.0807244444444519E-2</v>
      </c>
      <c r="E12" s="8">
        <f>C12-B12</f>
        <v>54726.520000000019</v>
      </c>
      <c r="F12" s="17"/>
      <c r="G12" s="22"/>
    </row>
    <row r="13" spans="1:7" x14ac:dyDescent="0.2">
      <c r="A13" s="12"/>
      <c r="B13" s="368"/>
      <c r="C13" s="13"/>
      <c r="D13" s="14"/>
      <c r="F13" s="17"/>
    </row>
    <row r="14" spans="1:7" x14ac:dyDescent="0.2">
      <c r="A14" s="13"/>
      <c r="B14" s="13"/>
      <c r="C14" s="13"/>
      <c r="D14" s="14"/>
      <c r="F14" s="17"/>
      <c r="G14" s="22"/>
    </row>
    <row r="15" spans="1:7" ht="15" x14ac:dyDescent="0.25">
      <c r="A15" s="386" t="s">
        <v>2384</v>
      </c>
      <c r="B15" s="386"/>
      <c r="C15" s="386"/>
      <c r="D15" s="386"/>
      <c r="F15" s="17"/>
    </row>
    <row r="16" spans="1:7" s="6" customFormat="1" outlineLevel="1" x14ac:dyDescent="0.2">
      <c r="A16" s="5" t="s">
        <v>4</v>
      </c>
      <c r="B16" s="5" t="s">
        <v>93</v>
      </c>
      <c r="C16" s="5" t="s">
        <v>1037</v>
      </c>
      <c r="D16" s="5" t="s">
        <v>2334</v>
      </c>
      <c r="E16" s="5" t="s">
        <v>17</v>
      </c>
      <c r="F16" s="23"/>
    </row>
    <row r="17" spans="1:5" outlineLevel="1" x14ac:dyDescent="0.2">
      <c r="A17" s="7" t="s">
        <v>94</v>
      </c>
      <c r="B17" s="8">
        <v>0</v>
      </c>
      <c r="C17" s="8">
        <v>341895</v>
      </c>
      <c r="D17" s="8">
        <f>B34</f>
        <v>954726.52</v>
      </c>
      <c r="E17" s="21">
        <f>Таблица211301731384552596673243138455259667380879410110233649637791105109128140152164184163248648096112128144160176193551678399115131147546562578590606620636652668684701718173348637893108123138153183198183213228243258288[Профит ФГ 26-27]/Таблица211301731384552596673243138455259667380879410110233649637791105109128140152164184163248648096112128144160176193551678399115131147546562578590606620636652668684701718173348637893108123138153183198183213228243258288[Профит ФГ 25-26]</f>
        <v>2.7924553444771054</v>
      </c>
    </row>
    <row r="20" spans="1:5" ht="15" x14ac:dyDescent="0.25">
      <c r="A20" s="386" t="s">
        <v>18</v>
      </c>
      <c r="B20" s="386"/>
      <c r="C20" s="386"/>
      <c r="D20" s="386"/>
    </row>
    <row r="21" spans="1:5" outlineLevel="1" x14ac:dyDescent="0.2">
      <c r="A21" s="25" t="s">
        <v>19</v>
      </c>
      <c r="B21" s="26" t="s">
        <v>20</v>
      </c>
      <c r="C21" s="26" t="s">
        <v>21</v>
      </c>
      <c r="D21" s="25" t="s">
        <v>22</v>
      </c>
    </row>
    <row r="22" spans="1:5" outlineLevel="1" x14ac:dyDescent="0.2">
      <c r="A22" s="30" t="s">
        <v>23</v>
      </c>
      <c r="B22" s="31">
        <v>105780.6</v>
      </c>
      <c r="C22" s="31">
        <v>450000</v>
      </c>
      <c r="D22" s="32">
        <f>Таблица4936997167333146617691106121136151166196211196226241256271301[[#This Row],[Профит]]/Таблица4936997167333146617691106121136151166196211196226241256271301[[#This Row],[План]]</f>
        <v>0.235068</v>
      </c>
    </row>
    <row r="23" spans="1:5" outlineLevel="1" x14ac:dyDescent="0.2">
      <c r="A23" s="30" t="s">
        <v>25</v>
      </c>
      <c r="B23" s="135">
        <v>848945.92</v>
      </c>
      <c r="C23" s="31">
        <v>450000</v>
      </c>
      <c r="D23" s="32">
        <f>Таблица4936997167333146617691106121136151166196211196226241256271301[[#This Row],[Профит]]/Таблица4936997167333146617691106121136151166196211196226241256271301[[#This Row],[План]]</f>
        <v>1.886546488888889</v>
      </c>
    </row>
    <row r="24" spans="1:5" outlineLevel="1" x14ac:dyDescent="0.2">
      <c r="A24" s="30" t="s">
        <v>26</v>
      </c>
      <c r="B24" s="135"/>
      <c r="C24" s="31">
        <v>505000</v>
      </c>
      <c r="D24" s="32">
        <f>Таблица4936997167333146617691106121136151166196211196226241256271301[[#This Row],[Профит]]/Таблица4936997167333146617691106121136151166196211196226241256271301[[#This Row],[План]]</f>
        <v>0</v>
      </c>
    </row>
    <row r="25" spans="1:5" outlineLevel="1" x14ac:dyDescent="0.2">
      <c r="A25" s="30" t="s">
        <v>27</v>
      </c>
      <c r="B25" s="135"/>
      <c r="C25" s="31">
        <v>505000</v>
      </c>
      <c r="D25" s="32">
        <f>Таблица4936997167333146617691106121136151166196211196226241256271301[[#This Row],[Профит]]/Таблица4936997167333146617691106121136151166196211196226241256271301[[#This Row],[План]]</f>
        <v>0</v>
      </c>
    </row>
    <row r="26" spans="1:5" outlineLevel="1" x14ac:dyDescent="0.2">
      <c r="A26" s="30" t="s">
        <v>28</v>
      </c>
      <c r="B26" s="135"/>
      <c r="C26" s="31">
        <v>560000</v>
      </c>
      <c r="D26" s="32">
        <f>Таблица4936997167333146617691106121136151166196211196226241256271301[[#This Row],[Профит]]/Таблица4936997167333146617691106121136151166196211196226241256271301[[#This Row],[План]]</f>
        <v>0</v>
      </c>
    </row>
    <row r="27" spans="1:5" outlineLevel="1" x14ac:dyDescent="0.2">
      <c r="A27" s="30" t="s">
        <v>29</v>
      </c>
      <c r="B27" s="135"/>
      <c r="C27" s="31">
        <v>560000</v>
      </c>
      <c r="D27" s="32">
        <f>Таблица4936997167333146617691106121136151166196211196226241256271301[[#This Row],[Профит]]/Таблица4936997167333146617691106121136151166196211196226241256271301[[#This Row],[План]]</f>
        <v>0</v>
      </c>
    </row>
    <row r="28" spans="1:5" outlineLevel="1" x14ac:dyDescent="0.2">
      <c r="A28" s="30" t="s">
        <v>30</v>
      </c>
      <c r="B28" s="135"/>
      <c r="C28" s="31">
        <v>620000</v>
      </c>
      <c r="D28" s="32">
        <f>Таблица4936997167333146617691106121136151166196211196226241256271301[[#This Row],[Профит]]/Таблица4936997167333146617691106121136151166196211196226241256271301[[#This Row],[План]]</f>
        <v>0</v>
      </c>
    </row>
    <row r="29" spans="1:5" outlineLevel="1" x14ac:dyDescent="0.2">
      <c r="A29" s="30" t="s">
        <v>31</v>
      </c>
      <c r="B29" s="31"/>
      <c r="C29" s="31">
        <v>675000</v>
      </c>
      <c r="D29" s="32">
        <f>Таблица4936997167333146617691106121136151166196211196226241256271301[[#This Row],[Профит]]/Таблица4936997167333146617691106121136151166196211196226241256271301[[#This Row],[План]]</f>
        <v>0</v>
      </c>
    </row>
    <row r="30" spans="1:5" outlineLevel="1" x14ac:dyDescent="0.2">
      <c r="A30" s="30" t="s">
        <v>32</v>
      </c>
      <c r="B30" s="34"/>
      <c r="C30" s="34">
        <v>785000</v>
      </c>
      <c r="D30" s="32">
        <f>Таблица4936997167333146617691106121136151166196211196226241256271301[[#This Row],[Профит]]/Таблица4936997167333146617691106121136151166196211196226241256271301[[#This Row],[План]]</f>
        <v>0</v>
      </c>
    </row>
    <row r="31" spans="1:5" outlineLevel="1" x14ac:dyDescent="0.2">
      <c r="A31" s="30" t="s">
        <v>33</v>
      </c>
      <c r="B31" s="34"/>
      <c r="C31" s="34">
        <v>505000</v>
      </c>
      <c r="D31" s="32">
        <f>Таблица4936997167333146617691106121136151166196211196226241256271301[[#This Row],[Профит]]/Таблица4936997167333146617691106121136151166196211196226241256271301[[#This Row],[План]]</f>
        <v>0</v>
      </c>
    </row>
    <row r="32" spans="1:5" outlineLevel="1" x14ac:dyDescent="0.2">
      <c r="A32" s="30" t="s">
        <v>34</v>
      </c>
      <c r="B32" s="34"/>
      <c r="C32" s="34">
        <v>560000</v>
      </c>
      <c r="D32" s="32">
        <f>Таблица4936997167333146617691106121136151166196211196226241256271301[[#This Row],[Профит]]/Таблица4936997167333146617691106121136151166196211196226241256271301[[#This Row],[План]]</f>
        <v>0</v>
      </c>
    </row>
    <row r="33" spans="1:8" outlineLevel="1" x14ac:dyDescent="0.2">
      <c r="A33" s="33" t="s">
        <v>35</v>
      </c>
      <c r="B33" s="34"/>
      <c r="C33" s="34">
        <v>560000</v>
      </c>
      <c r="D33" s="32">
        <f>Таблица4936997167333146617691106121136151166196211196226241256271301[[#This Row],[Профит]]/Таблица4936997167333146617691106121136151166196211196226241256271301[[#This Row],[План]]</f>
        <v>0</v>
      </c>
      <c r="H33" s="35"/>
    </row>
    <row r="34" spans="1:8" ht="15" outlineLevel="1" x14ac:dyDescent="0.25">
      <c r="A34" s="36" t="s">
        <v>36</v>
      </c>
      <c r="B34" s="37">
        <f>SUM(B22:B33)</f>
        <v>954726.52</v>
      </c>
      <c r="C34" s="38">
        <f>SUM(C22:C33)</f>
        <v>6735000</v>
      </c>
      <c r="D34" s="39"/>
    </row>
    <row r="35" spans="1:8" outlineLevel="1" x14ac:dyDescent="0.2">
      <c r="A35" s="41" t="s">
        <v>37</v>
      </c>
      <c r="B35" s="42">
        <f>AVERAGE(B22:B33)</f>
        <v>477363.26</v>
      </c>
      <c r="C35" s="42">
        <f>AVERAGE(C22:C33)</f>
        <v>561250</v>
      </c>
      <c r="D35" s="367">
        <f>B35/C35</f>
        <v>0.85053587527839647</v>
      </c>
    </row>
    <row r="38" spans="1:8" ht="15" x14ac:dyDescent="0.25">
      <c r="A38" s="386" t="s">
        <v>38</v>
      </c>
      <c r="B38" s="386"/>
      <c r="C38" s="386"/>
      <c r="D38" s="386"/>
    </row>
    <row r="39" spans="1:8" s="45" customFormat="1" outlineLevel="1" x14ac:dyDescent="0.2">
      <c r="A39" s="44" t="s">
        <v>39</v>
      </c>
      <c r="B39" s="44" t="s">
        <v>40</v>
      </c>
      <c r="C39" s="44" t="s">
        <v>41</v>
      </c>
      <c r="D39" s="44" t="s">
        <v>42</v>
      </c>
      <c r="E39" s="44" t="s">
        <v>43</v>
      </c>
      <c r="F39" s="2"/>
    </row>
    <row r="40" spans="1:8" ht="15" outlineLevel="1" x14ac:dyDescent="0.25">
      <c r="A40" s="8">
        <f>B23</f>
        <v>848945.92</v>
      </c>
      <c r="B40" s="46">
        <f>50000</f>
        <v>50000</v>
      </c>
      <c r="C40" s="136">
        <f>A40*0.1*0.9</f>
        <v>76405.132800000007</v>
      </c>
      <c r="D40" s="361">
        <f>SUM(G111:G113)</f>
        <v>11600</v>
      </c>
      <c r="E40" s="48">
        <v>0</v>
      </c>
    </row>
    <row r="41" spans="1:8" outlineLevel="1" x14ac:dyDescent="0.2">
      <c r="A41" s="49" t="s">
        <v>44</v>
      </c>
      <c r="B41" s="137">
        <f>Таблица294459759110712313915517118730466278941101261421585565725886026166306466626786947117282843587388103118133148163193208193223238253268298[Оклад]+Таблица294459759110712313915517118730466278941101261421585565725886026166306466626786947117282843587388103118133148163193208193223238253268298[Премия]+Таблица294459759110712313915517118730466278941101261421585565725886026166306466626786947117282843587388103118133148163193208193223238253268298[Штрафы]+Таблица294459759110712313915517118730466278941101261421585565725886026166306466626786947117282843587388103118133148163193208193223238253268298[Доплата за Задачи]</f>
        <v>138005.13280000002</v>
      </c>
      <c r="C41" s="50"/>
    </row>
    <row r="42" spans="1:8" x14ac:dyDescent="0.2">
      <c r="A42" s="40"/>
      <c r="B42" s="40"/>
    </row>
    <row r="43" spans="1:8" x14ac:dyDescent="0.2">
      <c r="A43" s="51"/>
      <c r="B43" s="51"/>
      <c r="C43" s="51"/>
      <c r="D43" s="52"/>
      <c r="E43" s="53"/>
      <c r="F43" s="53"/>
      <c r="H43" s="22"/>
    </row>
    <row r="44" spans="1:8" ht="15" x14ac:dyDescent="0.25">
      <c r="A44" s="386" t="s">
        <v>45</v>
      </c>
      <c r="B44" s="386"/>
      <c r="C44" s="386"/>
      <c r="D44" s="386"/>
      <c r="E44" s="53"/>
      <c r="F44" s="53"/>
      <c r="H44" s="22"/>
    </row>
    <row r="45" spans="1:8" outlineLevel="1" x14ac:dyDescent="0.2">
      <c r="A45" s="5" t="s">
        <v>46</v>
      </c>
      <c r="B45" s="5" t="s">
        <v>47</v>
      </c>
      <c r="C45" s="5" t="s">
        <v>48</v>
      </c>
      <c r="D45" s="54" t="s">
        <v>49</v>
      </c>
      <c r="G45" s="40"/>
    </row>
    <row r="46" spans="1:8" ht="24.95" customHeight="1" outlineLevel="1" x14ac:dyDescent="0.2">
      <c r="A46" s="74" t="s">
        <v>2170</v>
      </c>
      <c r="B46" s="364">
        <v>36600</v>
      </c>
      <c r="C46" s="364">
        <v>36600</v>
      </c>
      <c r="D46" s="92">
        <f>Таблица546243318323946536067742532394653606774818895102112437506478921061101291411531651851733496581971131291451611772036526884100116132148547563579593607621637653669685702719193449647994109124139154184199184214229244259289[[#This Row],[Сумма просроченного долга]]/Таблица546243318323946536067742532394653606774818895102112437506478921061101291411531651851733496581971131291451611772036526884100116132148547563579593607621637653669685702719193449647994109124139154184199184214229244259289[[#This Row],[Общая сумма долга]]</f>
        <v>1</v>
      </c>
      <c r="G46" s="40"/>
    </row>
    <row r="47" spans="1:8" ht="24.95" customHeight="1" outlineLevel="1" x14ac:dyDescent="0.2">
      <c r="A47" s="74" t="s">
        <v>1838</v>
      </c>
      <c r="B47" s="364">
        <v>0</v>
      </c>
      <c r="C47" s="364">
        <v>4450170</v>
      </c>
      <c r="D47" s="92">
        <v>0</v>
      </c>
      <c r="G47" s="40"/>
    </row>
    <row r="48" spans="1:8" outlineLevel="1" x14ac:dyDescent="0.2">
      <c r="A48" s="63"/>
      <c r="B48" s="64" t="s">
        <v>50</v>
      </c>
      <c r="C48" s="65">
        <f>SUM(Таблица546243318323946536067742532394653606774818895102112437506478921061101291411531651851733496581971131291451611772036526884100116132148547563579593607621637653669685702719193449647994109124139154184199184214229244259289[Общая сумма долга])</f>
        <v>4486770</v>
      </c>
      <c r="D48" s="66">
        <v>0.2399</v>
      </c>
      <c r="E48" s="67" t="s">
        <v>51</v>
      </c>
      <c r="F48" s="51"/>
      <c r="G48" s="51"/>
      <c r="H48" s="51"/>
    </row>
    <row r="49" spans="1:8" outlineLevel="1" x14ac:dyDescent="0.2">
      <c r="A49" s="63"/>
      <c r="B49" s="64"/>
      <c r="C49" s="65"/>
      <c r="D49" s="51"/>
      <c r="E49" s="51"/>
      <c r="F49" s="51"/>
      <c r="G49" s="51"/>
      <c r="H49" s="51"/>
    </row>
    <row r="50" spans="1:8" x14ac:dyDescent="0.2">
      <c r="A50" s="63"/>
      <c r="B50" s="51"/>
      <c r="C50" s="51"/>
      <c r="D50" s="52"/>
      <c r="E50" s="51"/>
      <c r="F50" s="53"/>
      <c r="G50" s="51"/>
      <c r="H50" s="68"/>
    </row>
    <row r="51" spans="1:8" x14ac:dyDescent="0.2">
      <c r="A51" s="63"/>
      <c r="B51" s="51"/>
      <c r="C51" s="51"/>
      <c r="D51" s="52"/>
      <c r="E51" s="51"/>
      <c r="F51" s="53"/>
      <c r="G51" s="51"/>
      <c r="H51" s="68"/>
    </row>
    <row r="52" spans="1:8" ht="15" x14ac:dyDescent="0.25">
      <c r="A52" s="387" t="s">
        <v>52</v>
      </c>
      <c r="B52" s="387"/>
      <c r="C52" s="387"/>
      <c r="D52" s="387"/>
      <c r="E52" s="53"/>
      <c r="F52" s="53"/>
      <c r="G52" s="51"/>
    </row>
    <row r="53" spans="1:8" s="6" customFormat="1" outlineLevel="1" x14ac:dyDescent="0.2">
      <c r="A53" s="18" t="s">
        <v>53</v>
      </c>
      <c r="B53" s="19" t="s">
        <v>54</v>
      </c>
      <c r="C53" s="19" t="s">
        <v>55</v>
      </c>
      <c r="D53" s="69" t="s">
        <v>56</v>
      </c>
      <c r="E53" s="69" t="s">
        <v>4</v>
      </c>
      <c r="F53" s="70" t="s">
        <v>57</v>
      </c>
      <c r="G53" s="277"/>
    </row>
    <row r="54" spans="1:8" s="6" customFormat="1" ht="26.25" customHeight="1" outlineLevel="1" x14ac:dyDescent="0.2">
      <c r="A54" s="173" t="s">
        <v>1838</v>
      </c>
      <c r="B54" s="246">
        <v>4450170</v>
      </c>
      <c r="C54" s="131">
        <v>812499.33</v>
      </c>
      <c r="D54" s="249">
        <v>0.223</v>
      </c>
      <c r="E54" s="177" t="s">
        <v>94</v>
      </c>
      <c r="F54" s="250" t="s">
        <v>2401</v>
      </c>
    </row>
    <row r="55" spans="1:8" s="6" customFormat="1" ht="26.25" customHeight="1" outlineLevel="1" x14ac:dyDescent="0.2">
      <c r="A55" s="173" t="s">
        <v>1154</v>
      </c>
      <c r="B55" s="246">
        <v>39832</v>
      </c>
      <c r="C55" s="131">
        <v>39832</v>
      </c>
      <c r="D55" s="249">
        <v>1</v>
      </c>
      <c r="E55" s="177" t="s">
        <v>94</v>
      </c>
      <c r="F55" s="250" t="s">
        <v>2000</v>
      </c>
    </row>
    <row r="56" spans="1:8" s="6" customFormat="1" ht="26.25" customHeight="1" outlineLevel="1" x14ac:dyDescent="0.2">
      <c r="A56" s="173" t="s">
        <v>1729</v>
      </c>
      <c r="B56" s="246">
        <v>34900</v>
      </c>
      <c r="C56" s="131">
        <v>12181</v>
      </c>
      <c r="D56" s="249">
        <v>0.53600000000000003</v>
      </c>
      <c r="E56" s="177" t="s">
        <v>94</v>
      </c>
      <c r="F56" s="250" t="s">
        <v>2040</v>
      </c>
    </row>
    <row r="57" spans="1:8" s="6" customFormat="1" ht="26.25" customHeight="1" outlineLevel="1" x14ac:dyDescent="0.2">
      <c r="A57" s="173" t="s">
        <v>2400</v>
      </c>
      <c r="B57" s="246">
        <v>82206</v>
      </c>
      <c r="C57" s="131">
        <v>3871.61</v>
      </c>
      <c r="D57" s="249">
        <v>4.9000000000000002E-2</v>
      </c>
      <c r="E57" s="230" t="s">
        <v>94</v>
      </c>
      <c r="F57" s="250" t="s">
        <v>102</v>
      </c>
    </row>
    <row r="58" spans="1:8" s="6" customFormat="1" ht="26.25" customHeight="1" outlineLevel="1" x14ac:dyDescent="0.2">
      <c r="A58" s="173" t="s">
        <v>2169</v>
      </c>
      <c r="B58" s="246">
        <v>19000</v>
      </c>
      <c r="C58" s="131">
        <v>2800</v>
      </c>
      <c r="D58" s="249">
        <v>0.17299999999999999</v>
      </c>
      <c r="E58" s="177" t="s">
        <v>94</v>
      </c>
      <c r="F58" s="250" t="s">
        <v>1248</v>
      </c>
    </row>
    <row r="59" spans="1:8" s="6" customFormat="1" ht="26.25" customHeight="1" outlineLevel="1" x14ac:dyDescent="0.2">
      <c r="A59" s="173" t="s">
        <v>1726</v>
      </c>
      <c r="B59" s="246">
        <v>2370.6799999999998</v>
      </c>
      <c r="C59" s="131">
        <v>896.68</v>
      </c>
      <c r="D59" s="249">
        <v>0.60799999999999998</v>
      </c>
      <c r="E59" s="177" t="s">
        <v>94</v>
      </c>
      <c r="F59" s="250" t="s">
        <v>1248</v>
      </c>
    </row>
    <row r="60" spans="1:8" s="6" customFormat="1" ht="26.25" customHeight="1" outlineLevel="1" x14ac:dyDescent="0.2">
      <c r="A60" s="173" t="s">
        <v>2325</v>
      </c>
      <c r="B60" s="246">
        <v>8500</v>
      </c>
      <c r="C60" s="131">
        <v>557.19000000000005</v>
      </c>
      <c r="D60" s="249">
        <v>7.0000000000000007E-2</v>
      </c>
      <c r="E60" s="177" t="s">
        <v>94</v>
      </c>
      <c r="F60" s="250" t="s">
        <v>1248</v>
      </c>
    </row>
    <row r="61" spans="1:8" s="6" customFormat="1" ht="26.25" customHeight="1" outlineLevel="1" x14ac:dyDescent="0.2">
      <c r="A61" s="173" t="s">
        <v>2029</v>
      </c>
      <c r="B61" s="246">
        <v>1150</v>
      </c>
      <c r="C61" s="131">
        <v>148.88999999999999</v>
      </c>
      <c r="D61" s="249">
        <v>0.14899999999999999</v>
      </c>
      <c r="E61" s="177" t="s">
        <v>94</v>
      </c>
      <c r="F61" s="250" t="s">
        <v>2363</v>
      </c>
    </row>
    <row r="62" spans="1:8" x14ac:dyDescent="0.2">
      <c r="A62" s="51"/>
      <c r="B62" s="51"/>
      <c r="C62" s="51"/>
      <c r="D62" s="52"/>
      <c r="E62" s="51"/>
      <c r="F62" s="53"/>
      <c r="G62" s="51"/>
    </row>
    <row r="63" spans="1:8" ht="15" x14ac:dyDescent="0.25">
      <c r="A63" s="386" t="s">
        <v>58</v>
      </c>
      <c r="B63" s="386"/>
      <c r="C63" s="386"/>
      <c r="D63" s="386"/>
      <c r="E63" s="79"/>
      <c r="F63" s="79"/>
    </row>
    <row r="64" spans="1:8" ht="15" customHeight="1" outlineLevel="1" x14ac:dyDescent="0.2">
      <c r="A64" s="80">
        <v>46174</v>
      </c>
      <c r="B64" s="81" t="s">
        <v>21</v>
      </c>
      <c r="C64" s="81" t="s">
        <v>59</v>
      </c>
      <c r="D64" s="81" t="s">
        <v>60</v>
      </c>
      <c r="E64" s="81" t="s">
        <v>61</v>
      </c>
      <c r="F64" s="81" t="s">
        <v>62</v>
      </c>
      <c r="G64" s="81" t="s">
        <v>63</v>
      </c>
      <c r="H64" s="81" t="s">
        <v>64</v>
      </c>
    </row>
    <row r="65" spans="1:10" outlineLevel="1" x14ac:dyDescent="0.2">
      <c r="A65" s="82"/>
      <c r="B65" s="282">
        <v>505000</v>
      </c>
      <c r="C65" s="283">
        <v>0</v>
      </c>
      <c r="D65" s="282">
        <v>511000</v>
      </c>
      <c r="E65" s="282">
        <v>30000</v>
      </c>
      <c r="F65" s="282">
        <v>167000</v>
      </c>
      <c r="G65" s="282">
        <f>C65+D65+E65*0.5+F65*0.05</f>
        <v>534350</v>
      </c>
      <c r="H65" s="284">
        <f>Таблица9132738193340475461687582899682891101171241311381451521591661731801871945121926334047546168758289961031101171241311381451521591661741821902052131241361481601721922440627894110126142158174190334965819711312914516155957559160361763164766367969571299[[#This Row],[Столбец6]]/Таблица9132738193340475461687582899682891101171241311381451521591661731801871945121926334047546168758289961031101171241311381451521591661741821902052131241361481601721922440627894110126142158174190334965819711312914516155957559160361763164766367969571299[[#This Row],[Столбец1]]</f>
        <v>1.0581188118811882</v>
      </c>
    </row>
    <row r="66" spans="1:10" outlineLevel="1" x14ac:dyDescent="0.2">
      <c r="A66" s="40"/>
      <c r="B66" s="40"/>
      <c r="C66" s="369"/>
      <c r="D66" s="40"/>
      <c r="E66" s="40"/>
      <c r="F66" s="40"/>
      <c r="G66" s="40"/>
      <c r="H66" s="86"/>
    </row>
    <row r="67" spans="1:10" outlineLevel="1" x14ac:dyDescent="0.2">
      <c r="A67" s="80">
        <v>46204</v>
      </c>
      <c r="B67" s="81" t="s">
        <v>21</v>
      </c>
      <c r="C67" s="81" t="s">
        <v>59</v>
      </c>
      <c r="D67" s="81" t="s">
        <v>60</v>
      </c>
      <c r="E67" s="81" t="s">
        <v>61</v>
      </c>
      <c r="F67" s="81" t="s">
        <v>62</v>
      </c>
      <c r="G67" s="81" t="s">
        <v>63</v>
      </c>
      <c r="H67" s="81" t="s">
        <v>64</v>
      </c>
    </row>
    <row r="68" spans="1:10" ht="15" customHeight="1" outlineLevel="1" x14ac:dyDescent="0.2">
      <c r="A68" s="87"/>
      <c r="B68" s="282">
        <v>505000</v>
      </c>
      <c r="C68" s="283">
        <v>0</v>
      </c>
      <c r="D68" s="285">
        <v>0</v>
      </c>
      <c r="E68" s="283">
        <v>669000</v>
      </c>
      <c r="F68" s="286">
        <v>50000</v>
      </c>
      <c r="G68" s="282">
        <f>C68+D68+E68*0.5+F68*0.05</f>
        <v>337000</v>
      </c>
      <c r="H68" s="284">
        <f>Таблица9132738193340475461687582899682891101171241311381451521591661731801871945121926334047546168758289961031101171241311381451521591661741821902052131191251371491611731932541567288104120136152168184274359759110712313915555356958559961362764365967569295[[#This Row],[Столбец6]]/Таблица9132738193340475461687582899682891101171241311381451521591661731801871945121926334047546168758289961031101171241311381451521591661741821902052131191251371491611731932541567288104120136152168184274359759110712313915555356958559961362764365967569295[[#This Row],[Столбец1]]</f>
        <v>0.66732673267326736</v>
      </c>
    </row>
    <row r="69" spans="1:10" x14ac:dyDescent="0.2">
      <c r="A69" s="63"/>
      <c r="B69" s="51"/>
      <c r="C69" s="51"/>
      <c r="D69" s="52"/>
      <c r="E69" s="51"/>
    </row>
    <row r="70" spans="1:10" x14ac:dyDescent="0.2">
      <c r="A70" s="51"/>
      <c r="B70" s="51"/>
      <c r="C70" s="51"/>
      <c r="D70" s="52"/>
      <c r="E70" s="51"/>
    </row>
    <row r="71" spans="1:10" ht="15.75" x14ac:dyDescent="0.25">
      <c r="A71" s="88" t="s">
        <v>65</v>
      </c>
      <c r="B71" s="89"/>
    </row>
    <row r="72" spans="1:10" ht="15" x14ac:dyDescent="0.25">
      <c r="A72" s="387" t="s">
        <v>66</v>
      </c>
      <c r="B72" s="387"/>
      <c r="C72" s="387"/>
      <c r="D72" s="387"/>
      <c r="E72" s="90"/>
      <c r="F72" s="90"/>
      <c r="G72" s="235">
        <f>SUM(Таблица4211720344148556269768390978390111118125132139146153160167174181188195613202734414855626976839097104111118125132139146153160167175183198206214123135147159171191233955718710311913515116718326425874901061221381545525685845986126266426586746907077294[Сумма, тыс. руб.])*1000</f>
        <v>81237000</v>
      </c>
      <c r="H72" s="276"/>
    </row>
    <row r="73" spans="1:10" outlineLevel="1" x14ac:dyDescent="0.2">
      <c r="A73" s="91" t="s">
        <v>67</v>
      </c>
      <c r="B73" s="91" t="s">
        <v>53</v>
      </c>
      <c r="C73" s="91" t="s">
        <v>4</v>
      </c>
      <c r="D73" s="91" t="s">
        <v>68</v>
      </c>
      <c r="E73" s="91" t="s">
        <v>69</v>
      </c>
      <c r="F73" s="91" t="s">
        <v>70</v>
      </c>
      <c r="G73" s="91" t="s">
        <v>71</v>
      </c>
      <c r="H73" s="91" t="s">
        <v>72</v>
      </c>
      <c r="I73" s="276"/>
      <c r="J73" s="276"/>
    </row>
    <row r="74" spans="1:10" s="258" customFormat="1" ht="24.95" customHeight="1" outlineLevel="1" x14ac:dyDescent="0.2">
      <c r="A74" s="230" t="s">
        <v>2402</v>
      </c>
      <c r="B74" s="230" t="s">
        <v>954</v>
      </c>
      <c r="C74" s="177" t="s">
        <v>94</v>
      </c>
      <c r="D74" s="173" t="s">
        <v>73</v>
      </c>
      <c r="E74" s="230" t="s">
        <v>2411</v>
      </c>
      <c r="F74" s="218" t="s">
        <v>2247</v>
      </c>
      <c r="G74" s="131">
        <v>50941</v>
      </c>
      <c r="H74" s="173" t="s">
        <v>1019</v>
      </c>
    </row>
    <row r="75" spans="1:10" s="258" customFormat="1" ht="24.95" customHeight="1" outlineLevel="1" x14ac:dyDescent="0.2">
      <c r="A75" s="230" t="s">
        <v>2403</v>
      </c>
      <c r="B75" s="230" t="s">
        <v>2408</v>
      </c>
      <c r="C75" s="177" t="s">
        <v>94</v>
      </c>
      <c r="D75" s="173" t="s">
        <v>73</v>
      </c>
      <c r="E75" s="230" t="s">
        <v>2412</v>
      </c>
      <c r="F75" s="218" t="s">
        <v>2244</v>
      </c>
      <c r="G75" s="131">
        <v>24425</v>
      </c>
      <c r="H75" s="173" t="s">
        <v>168</v>
      </c>
    </row>
    <row r="76" spans="1:10" s="258" customFormat="1" ht="24.95" customHeight="1" outlineLevel="1" x14ac:dyDescent="0.2">
      <c r="A76" s="230" t="s">
        <v>2338</v>
      </c>
      <c r="B76" s="230" t="s">
        <v>2353</v>
      </c>
      <c r="C76" s="177" t="s">
        <v>94</v>
      </c>
      <c r="D76" s="173" t="s">
        <v>73</v>
      </c>
      <c r="E76" s="230" t="s">
        <v>2359</v>
      </c>
      <c r="F76" s="218" t="s">
        <v>2244</v>
      </c>
      <c r="G76" s="131">
        <v>2980</v>
      </c>
      <c r="H76" s="173" t="s">
        <v>168</v>
      </c>
    </row>
    <row r="77" spans="1:10" s="258" customFormat="1" ht="24.95" customHeight="1" outlineLevel="1" x14ac:dyDescent="0.2">
      <c r="A77" s="230" t="s">
        <v>2339</v>
      </c>
      <c r="B77" s="230" t="s">
        <v>2222</v>
      </c>
      <c r="C77" s="177" t="s">
        <v>94</v>
      </c>
      <c r="D77" s="173" t="s">
        <v>73</v>
      </c>
      <c r="E77" s="230" t="s">
        <v>1844</v>
      </c>
      <c r="F77" s="218" t="s">
        <v>2247</v>
      </c>
      <c r="G77" s="131">
        <v>1583</v>
      </c>
      <c r="H77" s="173" t="s">
        <v>168</v>
      </c>
    </row>
    <row r="78" spans="1:10" s="258" customFormat="1" ht="24.95" customHeight="1" outlineLevel="1" x14ac:dyDescent="0.2">
      <c r="A78" s="230" t="s">
        <v>2192</v>
      </c>
      <c r="B78" s="230" t="s">
        <v>2216</v>
      </c>
      <c r="C78" s="177" t="s">
        <v>94</v>
      </c>
      <c r="D78" s="173" t="s">
        <v>73</v>
      </c>
      <c r="E78" s="230" t="s">
        <v>2225</v>
      </c>
      <c r="F78" s="218" t="s">
        <v>2247</v>
      </c>
      <c r="G78" s="131">
        <v>605</v>
      </c>
      <c r="H78" s="173" t="s">
        <v>280</v>
      </c>
    </row>
    <row r="79" spans="1:10" s="258" customFormat="1" ht="24.95" customHeight="1" outlineLevel="1" x14ac:dyDescent="0.2">
      <c r="A79" s="230" t="s">
        <v>2405</v>
      </c>
      <c r="B79" s="230" t="s">
        <v>2410</v>
      </c>
      <c r="C79" s="177" t="s">
        <v>94</v>
      </c>
      <c r="D79" s="173" t="s">
        <v>73</v>
      </c>
      <c r="E79" s="230" t="s">
        <v>2414</v>
      </c>
      <c r="F79" s="218" t="s">
        <v>2244</v>
      </c>
      <c r="G79" s="131">
        <v>419</v>
      </c>
      <c r="H79" s="173" t="s">
        <v>1019</v>
      </c>
    </row>
    <row r="80" spans="1:10" s="258" customFormat="1" ht="24.95" customHeight="1" outlineLevel="1" x14ac:dyDescent="0.2">
      <c r="A80" s="230" t="s">
        <v>2406</v>
      </c>
      <c r="B80" s="230" t="s">
        <v>1139</v>
      </c>
      <c r="C80" s="177" t="s">
        <v>94</v>
      </c>
      <c r="D80" s="173" t="s">
        <v>73</v>
      </c>
      <c r="E80" s="230" t="s">
        <v>2415</v>
      </c>
      <c r="F80" s="218" t="s">
        <v>2244</v>
      </c>
      <c r="G80" s="131">
        <v>284</v>
      </c>
      <c r="H80" s="173" t="s">
        <v>168</v>
      </c>
    </row>
    <row r="81" spans="1:8" x14ac:dyDescent="0.2">
      <c r="A81" s="104"/>
      <c r="B81" s="104"/>
      <c r="C81" s="105"/>
      <c r="D81" s="106"/>
      <c r="E81" s="106"/>
      <c r="F81" s="107"/>
      <c r="G81" s="108"/>
      <c r="H81" s="106"/>
    </row>
    <row r="82" spans="1:8" ht="15" x14ac:dyDescent="0.25">
      <c r="A82" s="387" t="s">
        <v>74</v>
      </c>
      <c r="B82" s="387"/>
      <c r="C82" s="387"/>
      <c r="D82" s="387"/>
      <c r="G82" s="235">
        <f>SUM(Таблица125138150162174194264257738910512113715316918528446076921081241401565545705866006146286446606766927097262641567186101116131146161191206191221236251266296[Сумма])*1000</f>
        <v>719314000</v>
      </c>
      <c r="H82" s="276"/>
    </row>
    <row r="83" spans="1:8" outlineLevel="1" x14ac:dyDescent="0.2">
      <c r="A83" s="91" t="s">
        <v>67</v>
      </c>
      <c r="B83" s="91" t="s">
        <v>53</v>
      </c>
      <c r="C83" s="91" t="s">
        <v>4</v>
      </c>
      <c r="D83" s="91" t="s">
        <v>68</v>
      </c>
      <c r="E83" s="91" t="s">
        <v>69</v>
      </c>
      <c r="F83" s="91" t="s">
        <v>70</v>
      </c>
      <c r="G83" s="91" t="s">
        <v>75</v>
      </c>
      <c r="H83" s="91" t="s">
        <v>72</v>
      </c>
    </row>
    <row r="84" spans="1:8" ht="24.95" customHeight="1" outlineLevel="1" x14ac:dyDescent="0.2">
      <c r="A84" s="74" t="s">
        <v>2417</v>
      </c>
      <c r="B84" s="74" t="s">
        <v>2352</v>
      </c>
      <c r="C84" s="177" t="s">
        <v>94</v>
      </c>
      <c r="D84" s="94" t="s">
        <v>73</v>
      </c>
      <c r="E84" s="74" t="s">
        <v>2425</v>
      </c>
      <c r="F84" s="218" t="s">
        <v>2245</v>
      </c>
      <c r="G84" s="72">
        <v>624961</v>
      </c>
      <c r="H84" s="94" t="s">
        <v>390</v>
      </c>
    </row>
    <row r="85" spans="1:8" ht="24.95" customHeight="1" outlineLevel="1" x14ac:dyDescent="0.2">
      <c r="A85" s="74" t="s">
        <v>2402</v>
      </c>
      <c r="B85" s="74" t="s">
        <v>954</v>
      </c>
      <c r="C85" s="177" t="s">
        <v>94</v>
      </c>
      <c r="D85" s="94" t="s">
        <v>73</v>
      </c>
      <c r="E85" s="74" t="s">
        <v>2411</v>
      </c>
      <c r="F85" s="218" t="s">
        <v>2247</v>
      </c>
      <c r="G85" s="72">
        <v>50941</v>
      </c>
      <c r="H85" s="94" t="s">
        <v>1019</v>
      </c>
    </row>
    <row r="86" spans="1:8" ht="24.95" customHeight="1" outlineLevel="1" x14ac:dyDescent="0.2">
      <c r="A86" s="74" t="s">
        <v>2403</v>
      </c>
      <c r="B86" s="74" t="s">
        <v>2408</v>
      </c>
      <c r="C86" s="177" t="s">
        <v>94</v>
      </c>
      <c r="D86" s="94" t="s">
        <v>73</v>
      </c>
      <c r="E86" s="74" t="s">
        <v>2412</v>
      </c>
      <c r="F86" s="218" t="s">
        <v>2244</v>
      </c>
      <c r="G86" s="72">
        <v>24425</v>
      </c>
      <c r="H86" s="94" t="s">
        <v>168</v>
      </c>
    </row>
    <row r="87" spans="1:8" ht="24.95" customHeight="1" outlineLevel="1" x14ac:dyDescent="0.2">
      <c r="A87" s="74" t="s">
        <v>2418</v>
      </c>
      <c r="B87" s="74" t="s">
        <v>2423</v>
      </c>
      <c r="C87" s="177" t="s">
        <v>94</v>
      </c>
      <c r="D87" s="94" t="s">
        <v>73</v>
      </c>
      <c r="E87" s="74" t="s">
        <v>2426</v>
      </c>
      <c r="F87" s="218" t="s">
        <v>2244</v>
      </c>
      <c r="G87" s="72">
        <v>15624</v>
      </c>
      <c r="H87" s="94" t="s">
        <v>252</v>
      </c>
    </row>
    <row r="88" spans="1:8" ht="24.95" customHeight="1" outlineLevel="1" x14ac:dyDescent="0.2">
      <c r="A88" s="74" t="s">
        <v>2404</v>
      </c>
      <c r="B88" s="74" t="s">
        <v>2409</v>
      </c>
      <c r="C88" s="177" t="s">
        <v>94</v>
      </c>
      <c r="D88" s="94" t="s">
        <v>73</v>
      </c>
      <c r="E88" s="74" t="s">
        <v>2413</v>
      </c>
      <c r="F88" s="218" t="s">
        <v>2247</v>
      </c>
      <c r="G88" s="72">
        <v>1008</v>
      </c>
      <c r="H88" s="94" t="s">
        <v>284</v>
      </c>
    </row>
    <row r="89" spans="1:8" ht="24.95" customHeight="1" outlineLevel="1" x14ac:dyDescent="0.2">
      <c r="A89" s="74" t="s">
        <v>2419</v>
      </c>
      <c r="B89" s="74" t="s">
        <v>1029</v>
      </c>
      <c r="C89" s="177" t="s">
        <v>94</v>
      </c>
      <c r="D89" s="94" t="s">
        <v>73</v>
      </c>
      <c r="E89" s="74" t="s">
        <v>572</v>
      </c>
      <c r="F89" s="218" t="s">
        <v>2245</v>
      </c>
      <c r="G89" s="72">
        <v>908</v>
      </c>
      <c r="H89" s="94" t="s">
        <v>1019</v>
      </c>
    </row>
    <row r="90" spans="1:8" ht="24.95" customHeight="1" outlineLevel="1" x14ac:dyDescent="0.2">
      <c r="A90" s="74" t="s">
        <v>2420</v>
      </c>
      <c r="B90" s="74" t="s">
        <v>2215</v>
      </c>
      <c r="C90" s="177" t="s">
        <v>94</v>
      </c>
      <c r="D90" s="94" t="s">
        <v>73</v>
      </c>
      <c r="E90" s="74" t="s">
        <v>2427</v>
      </c>
      <c r="F90" s="218" t="s">
        <v>2156</v>
      </c>
      <c r="G90" s="72">
        <v>594</v>
      </c>
      <c r="H90" s="94" t="s">
        <v>284</v>
      </c>
    </row>
    <row r="91" spans="1:8" ht="24.95" customHeight="1" outlineLevel="1" x14ac:dyDescent="0.2">
      <c r="A91" s="74" t="s">
        <v>2405</v>
      </c>
      <c r="B91" s="74" t="s">
        <v>2410</v>
      </c>
      <c r="C91" s="177" t="s">
        <v>94</v>
      </c>
      <c r="D91" s="94" t="s">
        <v>73</v>
      </c>
      <c r="E91" s="74" t="s">
        <v>2414</v>
      </c>
      <c r="F91" s="218" t="s">
        <v>2244</v>
      </c>
      <c r="G91" s="72">
        <v>419</v>
      </c>
      <c r="H91" s="94" t="s">
        <v>1019</v>
      </c>
    </row>
    <row r="92" spans="1:8" ht="24.95" customHeight="1" outlineLevel="1" x14ac:dyDescent="0.2">
      <c r="A92" s="74" t="s">
        <v>2406</v>
      </c>
      <c r="B92" s="74" t="s">
        <v>1139</v>
      </c>
      <c r="C92" s="177" t="s">
        <v>94</v>
      </c>
      <c r="D92" s="94" t="s">
        <v>73</v>
      </c>
      <c r="E92" s="74" t="s">
        <v>2415</v>
      </c>
      <c r="F92" s="218" t="s">
        <v>2244</v>
      </c>
      <c r="G92" s="72">
        <v>284</v>
      </c>
      <c r="H92" s="94" t="s">
        <v>168</v>
      </c>
    </row>
    <row r="93" spans="1:8" ht="24.95" customHeight="1" outlineLevel="1" x14ac:dyDescent="0.2">
      <c r="A93" s="74" t="s">
        <v>2421</v>
      </c>
      <c r="B93" s="74" t="s">
        <v>2424</v>
      </c>
      <c r="C93" s="177" t="s">
        <v>94</v>
      </c>
      <c r="D93" s="94" t="s">
        <v>73</v>
      </c>
      <c r="E93" s="74" t="s">
        <v>180</v>
      </c>
      <c r="F93" s="218" t="s">
        <v>2244</v>
      </c>
      <c r="G93" s="72">
        <v>88</v>
      </c>
      <c r="H93" s="94" t="s">
        <v>107</v>
      </c>
    </row>
    <row r="94" spans="1:8" ht="24.95" customHeight="1" outlineLevel="1" x14ac:dyDescent="0.2">
      <c r="A94" s="74" t="s">
        <v>2422</v>
      </c>
      <c r="B94" s="74" t="s">
        <v>2400</v>
      </c>
      <c r="C94" s="177" t="s">
        <v>94</v>
      </c>
      <c r="D94" s="94" t="s">
        <v>73</v>
      </c>
      <c r="E94" s="74" t="s">
        <v>2428</v>
      </c>
      <c r="F94" s="218" t="s">
        <v>2244</v>
      </c>
      <c r="G94" s="72">
        <v>62</v>
      </c>
      <c r="H94" s="94" t="s">
        <v>107</v>
      </c>
    </row>
    <row r="95" spans="1:8" ht="24.95" customHeight="1" outlineLevel="1" x14ac:dyDescent="0.2">
      <c r="A95" s="74" t="s">
        <v>2407</v>
      </c>
      <c r="B95" s="74" t="s">
        <v>2353</v>
      </c>
      <c r="C95" s="177" t="s">
        <v>94</v>
      </c>
      <c r="D95" s="94" t="s">
        <v>73</v>
      </c>
      <c r="E95" s="74" t="s">
        <v>2416</v>
      </c>
      <c r="F95" s="218" t="s">
        <v>2244</v>
      </c>
      <c r="G95" s="72">
        <v>0</v>
      </c>
      <c r="H95" s="94" t="s">
        <v>996</v>
      </c>
    </row>
    <row r="96" spans="1:8" ht="15" customHeight="1" x14ac:dyDescent="0.2"/>
    <row r="97" spans="1:8" ht="15.75" x14ac:dyDescent="0.25">
      <c r="A97" s="1" t="s">
        <v>76</v>
      </c>
    </row>
    <row r="98" spans="1:8" ht="15" x14ac:dyDescent="0.25">
      <c r="A98" s="387" t="s">
        <v>77</v>
      </c>
      <c r="B98" s="387"/>
      <c r="C98" s="387"/>
      <c r="D98" s="387"/>
      <c r="G98" s="235"/>
      <c r="H98" s="276"/>
    </row>
    <row r="99" spans="1:8" s="104" customFormat="1" outlineLevel="1" x14ac:dyDescent="0.25">
      <c r="A99" s="112" t="s">
        <v>78</v>
      </c>
      <c r="B99" s="112" t="s">
        <v>53</v>
      </c>
      <c r="C99" s="91" t="s">
        <v>4</v>
      </c>
      <c r="D99" s="112" t="s">
        <v>79</v>
      </c>
      <c r="E99" s="91" t="s">
        <v>80</v>
      </c>
      <c r="F99" s="112" t="s">
        <v>81</v>
      </c>
      <c r="G99" s="112" t="s">
        <v>82</v>
      </c>
    </row>
    <row r="100" spans="1:8" s="104" customFormat="1" ht="24.95" customHeight="1" outlineLevel="1" x14ac:dyDescent="0.25">
      <c r="A100" s="171">
        <v>46162</v>
      </c>
      <c r="B100" s="173" t="s">
        <v>2396</v>
      </c>
      <c r="C100" s="177" t="s">
        <v>94</v>
      </c>
      <c r="D100" s="173" t="s">
        <v>2397</v>
      </c>
      <c r="E100" s="173"/>
      <c r="F100" s="173" t="s">
        <v>2266</v>
      </c>
      <c r="G100" s="173" t="s">
        <v>2398</v>
      </c>
    </row>
    <row r="101" spans="1:8" s="104" customFormat="1" ht="12" customHeight="1" outlineLevel="1" x14ac:dyDescent="0.2">
      <c r="A101" s="2"/>
      <c r="B101" s="118"/>
      <c r="C101" s="2"/>
      <c r="D101" s="2"/>
      <c r="E101" s="2"/>
      <c r="F101" s="2"/>
      <c r="G101" s="2"/>
    </row>
    <row r="102" spans="1:8" ht="24" customHeight="1" outlineLevel="1" x14ac:dyDescent="0.2">
      <c r="A102" s="118"/>
      <c r="B102" s="118"/>
    </row>
    <row r="103" spans="1:8" ht="15" x14ac:dyDescent="0.25">
      <c r="A103" s="387" t="s">
        <v>83</v>
      </c>
      <c r="B103" s="387"/>
      <c r="C103" s="387"/>
      <c r="D103" s="387"/>
      <c r="G103" s="235"/>
      <c r="H103" s="276"/>
    </row>
    <row r="104" spans="1:8" ht="24" customHeight="1" outlineLevel="1" x14ac:dyDescent="0.2">
      <c r="A104" s="112" t="s">
        <v>78</v>
      </c>
      <c r="B104" s="112" t="s">
        <v>53</v>
      </c>
      <c r="C104" s="91" t="s">
        <v>4</v>
      </c>
      <c r="D104" s="112" t="s">
        <v>79</v>
      </c>
      <c r="E104" s="91" t="s">
        <v>80</v>
      </c>
      <c r="F104" s="112" t="s">
        <v>81</v>
      </c>
      <c r="G104" s="112" t="s">
        <v>82</v>
      </c>
    </row>
    <row r="105" spans="1:8" ht="24" customHeight="1" outlineLevel="1" x14ac:dyDescent="0.2">
      <c r="A105" s="91"/>
      <c r="B105" s="91"/>
      <c r="C105" s="278"/>
      <c r="D105" s="280"/>
      <c r="E105" s="91"/>
      <c r="F105" s="91"/>
      <c r="G105" s="91"/>
    </row>
    <row r="107" spans="1:8" s="17" customFormat="1" outlineLevel="1" x14ac:dyDescent="0.2">
      <c r="A107" s="2"/>
      <c r="B107" s="2"/>
      <c r="C107" s="2"/>
      <c r="D107" s="2"/>
      <c r="E107" s="2"/>
      <c r="F107" s="2"/>
      <c r="G107" s="2"/>
    </row>
    <row r="108" spans="1:8" ht="15.75" x14ac:dyDescent="0.25">
      <c r="A108" s="1" t="s">
        <v>84</v>
      </c>
    </row>
    <row r="109" spans="1:8" ht="12.6" customHeight="1" outlineLevel="1" x14ac:dyDescent="0.25">
      <c r="A109" s="386" t="s">
        <v>85</v>
      </c>
      <c r="B109" s="386"/>
      <c r="C109" s="386"/>
      <c r="D109" s="386"/>
    </row>
    <row r="110" spans="1:8" ht="33" customHeight="1" outlineLevel="1" x14ac:dyDescent="0.2">
      <c r="A110" s="120" t="s">
        <v>81</v>
      </c>
      <c r="B110" s="120" t="s">
        <v>86</v>
      </c>
      <c r="C110" s="120" t="s">
        <v>87</v>
      </c>
      <c r="D110" s="120" t="s">
        <v>88</v>
      </c>
      <c r="E110" s="120" t="s">
        <v>89</v>
      </c>
      <c r="F110" s="120" t="s">
        <v>4</v>
      </c>
      <c r="G110" s="120" t="s">
        <v>90</v>
      </c>
    </row>
    <row r="111" spans="1:8" ht="50.1" customHeight="1" outlineLevel="1" x14ac:dyDescent="0.2">
      <c r="A111" s="94"/>
      <c r="B111" s="219" t="s">
        <v>2391</v>
      </c>
      <c r="C111" s="238" t="s">
        <v>1280</v>
      </c>
      <c r="D111" s="225" t="s">
        <v>2395</v>
      </c>
      <c r="E111" s="132" t="s">
        <v>913</v>
      </c>
      <c r="F111" s="74" t="s">
        <v>94</v>
      </c>
      <c r="G111" s="72">
        <v>6600</v>
      </c>
    </row>
    <row r="112" spans="1:8" ht="50.1" customHeight="1" x14ac:dyDescent="0.2">
      <c r="A112" s="94"/>
      <c r="B112" s="219" t="s">
        <v>2389</v>
      </c>
      <c r="C112" s="238" t="s">
        <v>1280</v>
      </c>
      <c r="D112" s="225" t="s">
        <v>2394</v>
      </c>
      <c r="E112" s="132" t="s">
        <v>2390</v>
      </c>
      <c r="F112" s="74" t="s">
        <v>94</v>
      </c>
      <c r="G112" s="72">
        <v>5000</v>
      </c>
    </row>
    <row r="113" spans="1:15" ht="50.1" customHeight="1" x14ac:dyDescent="0.2">
      <c r="A113" s="94"/>
      <c r="B113" s="219" t="s">
        <v>2392</v>
      </c>
      <c r="C113" s="238" t="s">
        <v>1280</v>
      </c>
      <c r="D113" s="225" t="s">
        <v>2393</v>
      </c>
      <c r="E113" s="132" t="s">
        <v>1166</v>
      </c>
      <c r="F113" s="74" t="s">
        <v>94</v>
      </c>
      <c r="G113" s="72">
        <v>0</v>
      </c>
    </row>
    <row r="114" spans="1:15" s="124" customFormat="1" ht="12.75" customHeight="1" outlineLevel="1" x14ac:dyDescent="0.2">
      <c r="A114" s="2"/>
      <c r="B114" s="122"/>
      <c r="C114" s="123"/>
      <c r="D114" s="2"/>
      <c r="E114" s="2"/>
      <c r="F114" s="122"/>
      <c r="G114" s="2"/>
      <c r="H114" s="2"/>
      <c r="I114" s="2"/>
      <c r="J114" s="2"/>
      <c r="K114" s="2"/>
      <c r="L114" s="2"/>
      <c r="M114" s="2"/>
      <c r="N114" s="2"/>
      <c r="O114" s="2"/>
    </row>
    <row r="115" spans="1:15" ht="12.6" customHeight="1" outlineLevel="1" x14ac:dyDescent="0.25">
      <c r="A115" s="386" t="s">
        <v>92</v>
      </c>
      <c r="B115" s="386"/>
      <c r="C115" s="386"/>
      <c r="D115" s="386"/>
    </row>
    <row r="116" spans="1:15" x14ac:dyDescent="0.2">
      <c r="A116" s="120" t="s">
        <v>81</v>
      </c>
      <c r="B116" s="120" t="s">
        <v>86</v>
      </c>
      <c r="C116" s="120" t="s">
        <v>87</v>
      </c>
      <c r="D116" s="120" t="s">
        <v>88</v>
      </c>
      <c r="E116" s="120" t="s">
        <v>89</v>
      </c>
      <c r="F116" s="120" t="s">
        <v>4</v>
      </c>
      <c r="G116" s="120" t="s">
        <v>90</v>
      </c>
    </row>
    <row r="117" spans="1:15" ht="50.1" customHeight="1" x14ac:dyDescent="0.2">
      <c r="A117" s="230" t="s">
        <v>109</v>
      </c>
      <c r="B117" s="219" t="s">
        <v>1744</v>
      </c>
      <c r="C117" s="292"/>
      <c r="D117" s="292"/>
      <c r="E117" s="132" t="s">
        <v>1743</v>
      </c>
      <c r="F117" s="74" t="s">
        <v>94</v>
      </c>
      <c r="G117" s="292"/>
    </row>
    <row r="118" spans="1:15" ht="50.1" customHeight="1" x14ac:dyDescent="0.25">
      <c r="A118" s="230" t="s">
        <v>109</v>
      </c>
      <c r="B118" s="148" t="s">
        <v>1741</v>
      </c>
      <c r="C118" s="125"/>
      <c r="D118"/>
      <c r="E118" s="132" t="s">
        <v>1695</v>
      </c>
      <c r="F118" s="74" t="s">
        <v>94</v>
      </c>
      <c r="G118" s="126"/>
    </row>
    <row r="119" spans="1:15" ht="50.1" customHeight="1" x14ac:dyDescent="0.25">
      <c r="A119" s="230" t="s">
        <v>109</v>
      </c>
      <c r="B119" s="148" t="s">
        <v>1745</v>
      </c>
      <c r="C119" s="125"/>
      <c r="D119"/>
      <c r="E119" s="132" t="s">
        <v>1516</v>
      </c>
      <c r="F119" s="126" t="s">
        <v>94</v>
      </c>
      <c r="G119" s="126"/>
    </row>
  </sheetData>
  <mergeCells count="14">
    <mergeCell ref="A109:D109"/>
    <mergeCell ref="A115:D115"/>
    <mergeCell ref="A52:D52"/>
    <mergeCell ref="A63:D63"/>
    <mergeCell ref="A72:D72"/>
    <mergeCell ref="A82:D82"/>
    <mergeCell ref="A98:D98"/>
    <mergeCell ref="A103:D103"/>
    <mergeCell ref="A44:D44"/>
    <mergeCell ref="A5:D5"/>
    <mergeCell ref="A10:D10"/>
    <mergeCell ref="A15:D15"/>
    <mergeCell ref="A20:D20"/>
    <mergeCell ref="A38:D38"/>
  </mergeCells>
  <conditionalFormatting sqref="G111:G113 C111:C113">
    <cfRule type="cellIs" dxfId="166" priority="13" operator="equal">
      <formula>"ДА"</formula>
    </cfRule>
    <cfRule type="cellIs" dxfId="165" priority="14" operator="equal">
      <formula>"НЕТ"</formula>
    </cfRule>
    <cfRule type="cellIs" dxfId="164" priority="15" operator="equal">
      <formula>"Нет"</formula>
    </cfRule>
    <cfRule type="cellIs" dxfId="163" priority="16" operator="equal">
      <formula>"нет"</formula>
    </cfRule>
    <cfRule type="cellIs" dxfId="162" priority="17" operator="equal">
      <formula>"ДА"</formula>
    </cfRule>
    <cfRule type="containsText" dxfId="161" priority="18" operator="containsText" text="Да">
      <formula>NOT(ISERROR(SEARCH("Да",C111)))</formula>
    </cfRule>
  </conditionalFormatting>
  <conditionalFormatting sqref="E7 E12">
    <cfRule type="cellIs" dxfId="160" priority="25" operator="lessThan">
      <formula>0</formula>
    </cfRule>
    <cfRule type="cellIs" dxfId="159" priority="26" operator="greaterThan">
      <formula>0</formula>
    </cfRule>
  </conditionalFormatting>
  <conditionalFormatting sqref="D7 D12 E17">
    <cfRule type="cellIs" dxfId="158" priority="23" operator="lessThan">
      <formula>0</formula>
    </cfRule>
    <cfRule type="cellIs" dxfId="157" priority="24" operator="greaterThan">
      <formula>0</formula>
    </cfRule>
  </conditionalFormatting>
  <conditionalFormatting sqref="H65">
    <cfRule type="cellIs" dxfId="156" priority="21" operator="lessThan">
      <formula>1</formula>
    </cfRule>
    <cfRule type="cellIs" dxfId="155" priority="22" operator="greaterThan">
      <formula>1</formula>
    </cfRule>
  </conditionalFormatting>
  <conditionalFormatting sqref="H68">
    <cfRule type="cellIs" dxfId="154" priority="19" operator="lessThan">
      <formula>1</formula>
    </cfRule>
    <cfRule type="cellIs" dxfId="153" priority="20" operator="greaterThan">
      <formula>1</formula>
    </cfRule>
  </conditionalFormatting>
  <conditionalFormatting sqref="G118:G119">
    <cfRule type="cellIs" dxfId="152" priority="1" operator="equal">
      <formula>"ДА"</formula>
    </cfRule>
    <cfRule type="cellIs" dxfId="151" priority="2" operator="equal">
      <formula>"НЕТ"</formula>
    </cfRule>
    <cfRule type="cellIs" dxfId="150" priority="3" operator="equal">
      <formula>"Нет"</formula>
    </cfRule>
    <cfRule type="cellIs" dxfId="149" priority="4" operator="equal">
      <formula>"нет"</formula>
    </cfRule>
    <cfRule type="cellIs" dxfId="148" priority="5" operator="equal">
      <formula>"ДА"</formula>
    </cfRule>
  </conditionalFormatting>
  <pageMargins left="0.7" right="0.7" top="0.75" bottom="0.75" header="0.3" footer="0.3"/>
  <pageSetup paperSize="9" orientation="portrait" r:id="rId1"/>
  <legacy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extLst>
    <ext xmlns:x14="http://schemas.microsoft.com/office/spreadsheetml/2009/9/main" uri="{78C0D931-6437-407d-A8EE-F0AAD7539E65}">
      <x14:conditionalFormattings>
        <x14:conditionalFormatting xmlns:xm="http://schemas.microsoft.com/office/excel/2006/main">
          <x14:cfRule type="containsText" priority="6" operator="containsText" text="Да" id="{62DF77DF-1092-4B53-BEDE-D7534C2B171C}">
            <xm:f>NOT(ISERROR(SEARCH("Да",'Август. 25'!G256)))</xm:f>
            <x14:dxf>
              <font>
                <color rgb="FF006100"/>
              </font>
              <fill>
                <patternFill>
                  <bgColor rgb="FFC6EFCE"/>
                </patternFill>
              </fill>
            </x14:dxf>
          </x14:cfRule>
          <xm:sqref>G118:G119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D3A35-869F-49FA-9265-FC312B15CA97}">
  <dimension ref="A1:O120"/>
  <sheetViews>
    <sheetView zoomScaleNormal="100" workbookViewId="0">
      <selection activeCell="B22" sqref="B22"/>
    </sheetView>
  </sheetViews>
  <sheetFormatPr defaultColWidth="9.140625" defaultRowHeight="12.75" outlineLevelRow="1" x14ac:dyDescent="0.2"/>
  <cols>
    <col min="1" max="1" width="28" style="2" customWidth="1"/>
    <col min="2" max="2" width="47.140625" style="2" customWidth="1"/>
    <col min="3" max="3" width="31.5703125" style="2" bestFit="1" customWidth="1"/>
    <col min="4" max="4" width="35.85546875" style="2" customWidth="1"/>
    <col min="5" max="5" width="35.7109375" style="2" customWidth="1"/>
    <col min="6" max="6" width="27.140625" style="2" customWidth="1"/>
    <col min="7" max="7" width="35.140625" style="2" customWidth="1"/>
    <col min="8" max="8" width="36" style="2" customWidth="1"/>
    <col min="9" max="16384" width="9.140625" style="2"/>
  </cols>
  <sheetData>
    <row r="1" spans="1:7" ht="24.75" customHeight="1" x14ac:dyDescent="0.25">
      <c r="A1" s="134" t="s">
        <v>94</v>
      </c>
    </row>
    <row r="2" spans="1:7" ht="15.75" x14ac:dyDescent="0.25">
      <c r="A2" s="134" t="s">
        <v>2436</v>
      </c>
    </row>
    <row r="3" spans="1:7" x14ac:dyDescent="0.2">
      <c r="A3" s="3"/>
    </row>
    <row r="4" spans="1:7" ht="15.75" x14ac:dyDescent="0.25">
      <c r="A4" s="1" t="s">
        <v>0</v>
      </c>
      <c r="B4" s="2" t="s">
        <v>1</v>
      </c>
      <c r="C4" s="2" t="s">
        <v>2</v>
      </c>
    </row>
    <row r="5" spans="1:7" ht="15" x14ac:dyDescent="0.25">
      <c r="A5" s="386" t="s">
        <v>3</v>
      </c>
      <c r="B5" s="386"/>
      <c r="C5" s="386"/>
      <c r="D5" s="386"/>
      <c r="F5" s="4"/>
    </row>
    <row r="6" spans="1:7" s="6" customFormat="1" outlineLevel="1" x14ac:dyDescent="0.2">
      <c r="A6" s="5" t="s">
        <v>4</v>
      </c>
      <c r="B6" s="5" t="s">
        <v>5</v>
      </c>
      <c r="C6" s="5" t="s">
        <v>6</v>
      </c>
      <c r="D6" s="5" t="s">
        <v>7</v>
      </c>
      <c r="E6" s="5" t="s">
        <v>8</v>
      </c>
      <c r="F6" s="5" t="s">
        <v>10</v>
      </c>
      <c r="G6" s="186"/>
    </row>
    <row r="7" spans="1:7" outlineLevel="1" x14ac:dyDescent="0.2">
      <c r="A7" s="7" t="s">
        <v>94</v>
      </c>
      <c r="B7" s="8">
        <f>C24</f>
        <v>505000</v>
      </c>
      <c r="C7" s="9">
        <f>B24</f>
        <v>467007</v>
      </c>
      <c r="D7" s="10">
        <f>Таблица11029163037445158657223303744515865727986931009223548627690104107127139151163183152947637995111127143159175183450668298114130146545561577589605619635651667683700717163247627792107122137152182197182212227242257287302[Факт, руб.]/Таблица11029163037445158657223303744515865727986931009223548627690104107127139151163183152947637995111127143159175183450668298114130146545561577589605619635651667683700717163247627792107122137152182197182212227242257287302[План, руб.]-100%</f>
        <v>-7.5233663366336634E-2</v>
      </c>
      <c r="E7" s="11">
        <f>Таблица11029163037445158657223303744515865727986931009223548627690104107127139151163183152947637995111127143159175183450668298114130146545561577589605619635651667683700717163247627792107122137152182197182212227242257287302[Факт, руб.]-Таблица11029163037445158657223303744515865727986931009223548627690104107127139151163183152947637995111127143159175183450668298114130146545561577589605619635651667683700717163247627792107122137152182197182212227242257287302[План, руб.]</f>
        <v>-37993</v>
      </c>
      <c r="F7" s="9">
        <f>B23</f>
        <v>848945.92</v>
      </c>
      <c r="G7" s="185"/>
    </row>
    <row r="8" spans="1:7" x14ac:dyDescent="0.2">
      <c r="A8" s="12"/>
      <c r="B8" s="13"/>
      <c r="C8" s="13"/>
      <c r="D8" s="14"/>
      <c r="F8" s="15"/>
      <c r="G8" s="16"/>
    </row>
    <row r="9" spans="1:7" ht="15" customHeight="1" x14ac:dyDescent="0.2">
      <c r="A9" s="12"/>
      <c r="B9" s="13"/>
      <c r="C9" s="13"/>
      <c r="D9" s="14"/>
      <c r="F9" s="17"/>
    </row>
    <row r="10" spans="1:7" ht="15" x14ac:dyDescent="0.25">
      <c r="A10" s="386" t="s">
        <v>11</v>
      </c>
      <c r="B10" s="386"/>
      <c r="C10" s="386"/>
      <c r="D10" s="386"/>
      <c r="F10" s="17"/>
    </row>
    <row r="11" spans="1:7" s="6" customFormat="1" outlineLevel="1" x14ac:dyDescent="0.2">
      <c r="A11" s="18" t="s">
        <v>4</v>
      </c>
      <c r="B11" s="19" t="s">
        <v>12</v>
      </c>
      <c r="C11" s="19" t="s">
        <v>13</v>
      </c>
      <c r="D11" s="19" t="s">
        <v>7</v>
      </c>
      <c r="E11" s="19" t="s">
        <v>8</v>
      </c>
      <c r="F11" s="20"/>
    </row>
    <row r="12" spans="1:7" outlineLevel="1" x14ac:dyDescent="0.2">
      <c r="A12" s="7" t="s">
        <v>94</v>
      </c>
      <c r="B12" s="8">
        <f>SUM(C22:C24)</f>
        <v>1405000</v>
      </c>
      <c r="C12" s="8">
        <f>B34</f>
        <v>1421733.52</v>
      </c>
      <c r="D12" s="21">
        <f>C12/B12-100%</f>
        <v>1.1909978647686836E-2</v>
      </c>
      <c r="E12" s="8">
        <f>C12-B12</f>
        <v>16733.520000000019</v>
      </c>
      <c r="F12" s="17"/>
      <c r="G12" s="22"/>
    </row>
    <row r="13" spans="1:7" x14ac:dyDescent="0.2">
      <c r="A13" s="12"/>
      <c r="B13" s="368"/>
      <c r="C13" s="13"/>
      <c r="D13" s="14"/>
      <c r="F13" s="17"/>
    </row>
    <row r="14" spans="1:7" x14ac:dyDescent="0.2">
      <c r="A14" s="13"/>
      <c r="B14" s="13"/>
      <c r="C14" s="13"/>
      <c r="D14" s="14"/>
      <c r="F14" s="17"/>
      <c r="G14" s="22"/>
    </row>
    <row r="15" spans="1:7" ht="15" x14ac:dyDescent="0.25">
      <c r="A15" s="386" t="s">
        <v>2384</v>
      </c>
      <c r="B15" s="386"/>
      <c r="C15" s="386"/>
      <c r="D15" s="386"/>
      <c r="F15" s="17"/>
    </row>
    <row r="16" spans="1:7" s="6" customFormat="1" outlineLevel="1" x14ac:dyDescent="0.2">
      <c r="A16" s="5" t="s">
        <v>4</v>
      </c>
      <c r="B16" s="5" t="s">
        <v>93</v>
      </c>
      <c r="C16" s="5" t="s">
        <v>1037</v>
      </c>
      <c r="D16" s="5" t="s">
        <v>2334</v>
      </c>
      <c r="E16" s="5" t="s">
        <v>17</v>
      </c>
      <c r="F16" s="23"/>
    </row>
    <row r="17" spans="1:5" outlineLevel="1" x14ac:dyDescent="0.2">
      <c r="A17" s="7" t="s">
        <v>94</v>
      </c>
      <c r="B17" s="8">
        <v>0</v>
      </c>
      <c r="C17" s="8">
        <v>402089</v>
      </c>
      <c r="D17" s="8">
        <f>B34</f>
        <v>1421733.52</v>
      </c>
      <c r="E17" s="21">
        <f>Таблица211301731384552596673243138455259667380879410110233649637791105109128140152164184163248648096112128144160176193551678399115131147546562578590606620636652668684701718173348637893108123138153183198183213228243258288303[Профит ФГ 26-27]/Таблица211301731384552596673243138455259667380879410110233649637791105109128140152164184163248648096112128144160176193551678399115131147546562578590606620636652668684701718173348637893108123138153183198183213228243258288303[Профит ФГ 25-26]</f>
        <v>3.5358677307760225</v>
      </c>
    </row>
    <row r="20" spans="1:5" ht="15" x14ac:dyDescent="0.25">
      <c r="A20" s="386" t="s">
        <v>18</v>
      </c>
      <c r="B20" s="386"/>
      <c r="C20" s="386"/>
      <c r="D20" s="386"/>
    </row>
    <row r="21" spans="1:5" outlineLevel="1" x14ac:dyDescent="0.2">
      <c r="A21" s="25" t="s">
        <v>19</v>
      </c>
      <c r="B21" s="26" t="s">
        <v>20</v>
      </c>
      <c r="C21" s="26" t="s">
        <v>21</v>
      </c>
      <c r="D21" s="25" t="s">
        <v>22</v>
      </c>
    </row>
    <row r="22" spans="1:5" outlineLevel="1" x14ac:dyDescent="0.2">
      <c r="A22" s="30" t="s">
        <v>23</v>
      </c>
      <c r="B22" s="31">
        <v>105780.6</v>
      </c>
      <c r="C22" s="31">
        <v>450000</v>
      </c>
      <c r="D22" s="32">
        <f>Таблица4936997167333146617691106121136151166196211196226241256271301316[[#This Row],[Профит]]/Таблица4936997167333146617691106121136151166196211196226241256271301316[[#This Row],[План]]</f>
        <v>0.235068</v>
      </c>
    </row>
    <row r="23" spans="1:5" outlineLevel="1" x14ac:dyDescent="0.2">
      <c r="A23" s="30" t="s">
        <v>25</v>
      </c>
      <c r="B23" s="135">
        <v>848945.92</v>
      </c>
      <c r="C23" s="31">
        <v>450000</v>
      </c>
      <c r="D23" s="32">
        <f>Таблица4936997167333146617691106121136151166196211196226241256271301316[[#This Row],[Профит]]/Таблица4936997167333146617691106121136151166196211196226241256271301316[[#This Row],[План]]</f>
        <v>1.886546488888889</v>
      </c>
    </row>
    <row r="24" spans="1:5" outlineLevel="1" x14ac:dyDescent="0.2">
      <c r="A24" s="30" t="s">
        <v>26</v>
      </c>
      <c r="B24" s="135">
        <v>467007</v>
      </c>
      <c r="C24" s="31">
        <v>505000</v>
      </c>
      <c r="D24" s="32">
        <f>Таблица4936997167333146617691106121136151166196211196226241256271301316[[#This Row],[Профит]]/Таблица4936997167333146617691106121136151166196211196226241256271301316[[#This Row],[План]]</f>
        <v>0.92476633663366337</v>
      </c>
    </row>
    <row r="25" spans="1:5" outlineLevel="1" x14ac:dyDescent="0.2">
      <c r="A25" s="30" t="s">
        <v>27</v>
      </c>
      <c r="B25" s="135"/>
      <c r="C25" s="31">
        <v>505000</v>
      </c>
      <c r="D25" s="32">
        <f>Таблица4936997167333146617691106121136151166196211196226241256271301316[[#This Row],[Профит]]/Таблица4936997167333146617691106121136151166196211196226241256271301316[[#This Row],[План]]</f>
        <v>0</v>
      </c>
    </row>
    <row r="26" spans="1:5" outlineLevel="1" x14ac:dyDescent="0.2">
      <c r="A26" s="30" t="s">
        <v>28</v>
      </c>
      <c r="B26" s="135"/>
      <c r="C26" s="31">
        <v>560000</v>
      </c>
      <c r="D26" s="32">
        <f>Таблица4936997167333146617691106121136151166196211196226241256271301316[[#This Row],[Профит]]/Таблица4936997167333146617691106121136151166196211196226241256271301316[[#This Row],[План]]</f>
        <v>0</v>
      </c>
    </row>
    <row r="27" spans="1:5" outlineLevel="1" x14ac:dyDescent="0.2">
      <c r="A27" s="30" t="s">
        <v>29</v>
      </c>
      <c r="B27" s="135"/>
      <c r="C27" s="31">
        <v>560000</v>
      </c>
      <c r="D27" s="32">
        <f>Таблица4936997167333146617691106121136151166196211196226241256271301316[[#This Row],[Профит]]/Таблица4936997167333146617691106121136151166196211196226241256271301316[[#This Row],[План]]</f>
        <v>0</v>
      </c>
    </row>
    <row r="28" spans="1:5" outlineLevel="1" x14ac:dyDescent="0.2">
      <c r="A28" s="30" t="s">
        <v>30</v>
      </c>
      <c r="B28" s="135"/>
      <c r="C28" s="31">
        <v>620000</v>
      </c>
      <c r="D28" s="32">
        <f>Таблица4936997167333146617691106121136151166196211196226241256271301316[[#This Row],[Профит]]/Таблица4936997167333146617691106121136151166196211196226241256271301316[[#This Row],[План]]</f>
        <v>0</v>
      </c>
    </row>
    <row r="29" spans="1:5" outlineLevel="1" x14ac:dyDescent="0.2">
      <c r="A29" s="30" t="s">
        <v>31</v>
      </c>
      <c r="B29" s="31"/>
      <c r="C29" s="31">
        <v>675000</v>
      </c>
      <c r="D29" s="32">
        <f>Таблица4936997167333146617691106121136151166196211196226241256271301316[[#This Row],[Профит]]/Таблица4936997167333146617691106121136151166196211196226241256271301316[[#This Row],[План]]</f>
        <v>0</v>
      </c>
    </row>
    <row r="30" spans="1:5" outlineLevel="1" x14ac:dyDescent="0.2">
      <c r="A30" s="30" t="s">
        <v>32</v>
      </c>
      <c r="B30" s="34"/>
      <c r="C30" s="34">
        <v>785000</v>
      </c>
      <c r="D30" s="32">
        <f>Таблица4936997167333146617691106121136151166196211196226241256271301316[[#This Row],[Профит]]/Таблица4936997167333146617691106121136151166196211196226241256271301316[[#This Row],[План]]</f>
        <v>0</v>
      </c>
    </row>
    <row r="31" spans="1:5" outlineLevel="1" x14ac:dyDescent="0.2">
      <c r="A31" s="30" t="s">
        <v>33</v>
      </c>
      <c r="B31" s="34"/>
      <c r="C31" s="34">
        <v>505000</v>
      </c>
      <c r="D31" s="32">
        <f>Таблица4936997167333146617691106121136151166196211196226241256271301316[[#This Row],[Профит]]/Таблица4936997167333146617691106121136151166196211196226241256271301316[[#This Row],[План]]</f>
        <v>0</v>
      </c>
    </row>
    <row r="32" spans="1:5" outlineLevel="1" x14ac:dyDescent="0.2">
      <c r="A32" s="30" t="s">
        <v>34</v>
      </c>
      <c r="B32" s="34"/>
      <c r="C32" s="34">
        <v>560000</v>
      </c>
      <c r="D32" s="32">
        <f>Таблица4936997167333146617691106121136151166196211196226241256271301316[[#This Row],[Профит]]/Таблица4936997167333146617691106121136151166196211196226241256271301316[[#This Row],[План]]</f>
        <v>0</v>
      </c>
    </row>
    <row r="33" spans="1:8" outlineLevel="1" x14ac:dyDescent="0.2">
      <c r="A33" s="33" t="s">
        <v>35</v>
      </c>
      <c r="B33" s="34"/>
      <c r="C33" s="34">
        <v>560000</v>
      </c>
      <c r="D33" s="32">
        <f>Таблица4936997167333146617691106121136151166196211196226241256271301316[[#This Row],[Профит]]/Таблица4936997167333146617691106121136151166196211196226241256271301316[[#This Row],[План]]</f>
        <v>0</v>
      </c>
      <c r="H33" s="35"/>
    </row>
    <row r="34" spans="1:8" ht="15" outlineLevel="1" x14ac:dyDescent="0.25">
      <c r="A34" s="36" t="s">
        <v>36</v>
      </c>
      <c r="B34" s="37">
        <f>SUM(B22:B33)</f>
        <v>1421733.52</v>
      </c>
      <c r="C34" s="38">
        <f>SUM(C22:C33)</f>
        <v>6735000</v>
      </c>
      <c r="D34" s="39"/>
    </row>
    <row r="35" spans="1:8" outlineLevel="1" x14ac:dyDescent="0.2">
      <c r="A35" s="41" t="s">
        <v>37</v>
      </c>
      <c r="B35" s="42">
        <f>AVERAGE(B22:B33)</f>
        <v>473911.17333333334</v>
      </c>
      <c r="C35" s="42">
        <f>AVERAGE(C22:C33)</f>
        <v>561250</v>
      </c>
      <c r="D35" s="367">
        <f>B35/C35</f>
        <v>0.84438516406829989</v>
      </c>
    </row>
    <row r="38" spans="1:8" ht="15" x14ac:dyDescent="0.25">
      <c r="A38" s="386" t="s">
        <v>38</v>
      </c>
      <c r="B38" s="386"/>
      <c r="C38" s="386"/>
      <c r="D38" s="386"/>
    </row>
    <row r="39" spans="1:8" s="45" customFormat="1" outlineLevel="1" x14ac:dyDescent="0.2">
      <c r="A39" s="44" t="s">
        <v>39</v>
      </c>
      <c r="B39" s="44" t="s">
        <v>40</v>
      </c>
      <c r="C39" s="44" t="s">
        <v>41</v>
      </c>
      <c r="D39" s="44" t="s">
        <v>42</v>
      </c>
      <c r="E39" s="44" t="s">
        <v>43</v>
      </c>
      <c r="F39" s="2"/>
    </row>
    <row r="40" spans="1:8" ht="15" outlineLevel="1" x14ac:dyDescent="0.25">
      <c r="A40" s="8">
        <f>B24</f>
        <v>467007</v>
      </c>
      <c r="B40" s="46">
        <f>50000</f>
        <v>50000</v>
      </c>
      <c r="C40" s="136">
        <f>A40*0.1*1.1</f>
        <v>51370.770000000011</v>
      </c>
      <c r="D40" s="361">
        <f>SUM(G110:G113)</f>
        <v>8000</v>
      </c>
      <c r="E40" s="48">
        <v>0</v>
      </c>
    </row>
    <row r="41" spans="1:8" outlineLevel="1" x14ac:dyDescent="0.2">
      <c r="A41" s="49" t="s">
        <v>44</v>
      </c>
      <c r="B41" s="137">
        <f>Таблица294459759110712313915517118730466278941101261421585565725886026166306466626786947117282843587388103118133148163193208193223238253268298313[Оклад]+Таблица294459759110712313915517118730466278941101261421585565725886026166306466626786947117282843587388103118133148163193208193223238253268298313[Премия]+Таблица294459759110712313915517118730466278941101261421585565725886026166306466626786947117282843587388103118133148163193208193223238253268298313[Штрафы]+Таблица294459759110712313915517118730466278941101261421585565725886026166306466626786947117282843587388103118133148163193208193223238253268298313[Доплата за Задачи]</f>
        <v>109370.77000000002</v>
      </c>
      <c r="C41" s="50"/>
    </row>
    <row r="42" spans="1:8" x14ac:dyDescent="0.2">
      <c r="A42" s="40"/>
      <c r="B42" s="40"/>
    </row>
    <row r="43" spans="1:8" x14ac:dyDescent="0.2">
      <c r="A43" s="51"/>
      <c r="B43" s="51"/>
      <c r="C43" s="51"/>
      <c r="D43" s="52"/>
      <c r="E43" s="53"/>
      <c r="F43" s="53"/>
      <c r="H43" s="22"/>
    </row>
    <row r="44" spans="1:8" ht="15" x14ac:dyDescent="0.25">
      <c r="A44" s="386" t="s">
        <v>45</v>
      </c>
      <c r="B44" s="386"/>
      <c r="C44" s="386"/>
      <c r="D44" s="386"/>
      <c r="E44" s="53"/>
      <c r="F44" s="53"/>
      <c r="H44" s="22"/>
    </row>
    <row r="45" spans="1:8" outlineLevel="1" x14ac:dyDescent="0.2">
      <c r="A45" s="5" t="s">
        <v>46</v>
      </c>
      <c r="B45" s="5" t="s">
        <v>47</v>
      </c>
      <c r="C45" s="5" t="s">
        <v>48</v>
      </c>
      <c r="D45" s="54" t="s">
        <v>49</v>
      </c>
      <c r="G45" s="40"/>
    </row>
    <row r="46" spans="1:8" ht="24.95" customHeight="1" outlineLevel="1" x14ac:dyDescent="0.2">
      <c r="A46" s="74" t="s">
        <v>1838</v>
      </c>
      <c r="B46" s="364">
        <v>0</v>
      </c>
      <c r="C46" s="364">
        <v>4450170</v>
      </c>
      <c r="D46" s="92">
        <v>0</v>
      </c>
      <c r="G46" s="40"/>
    </row>
    <row r="47" spans="1:8" ht="24.95" customHeight="1" outlineLevel="1" x14ac:dyDescent="0.2">
      <c r="A47" s="74" t="s">
        <v>2134</v>
      </c>
      <c r="B47" s="364">
        <v>0</v>
      </c>
      <c r="C47" s="364">
        <v>2004050</v>
      </c>
      <c r="D47" s="92">
        <f>Таблица546243318323946536067742532394653606774818895102112437506478921061101291411531651851733496581971131291451611772036526884100116132148547563579593607621637653669685702719193449647994109124139154184199184214229244259289304[[#This Row],[Сумма просроченного долга]]/Таблица546243318323946536067742532394653606774818895102112437506478921061101291411531651851733496581971131291451611772036526884100116132148547563579593607621637653669685702719193449647994109124139154184199184214229244259289304[[#This Row],[Общая сумма долга]]</f>
        <v>0</v>
      </c>
      <c r="G47" s="40"/>
    </row>
    <row r="48" spans="1:8" ht="24.95" customHeight="1" outlineLevel="1" x14ac:dyDescent="0.2">
      <c r="A48" s="74" t="s">
        <v>2353</v>
      </c>
      <c r="B48" s="364">
        <v>1297250</v>
      </c>
      <c r="C48" s="364">
        <v>1297250</v>
      </c>
      <c r="D48" s="92">
        <f>Таблица546243318323946536067742532394653606774818895102112437506478921061101291411531651851733496581971131291451611772036526884100116132148547563579593607621637653669685702719193449647994109124139154184199184214229244259289304[[#This Row],[Сумма просроченного долга]]/Таблица546243318323946536067742532394653606774818895102112437506478921061101291411531651851733496581971131291451611772036526884100116132148547563579593607621637653669685702719193449647994109124139154184199184214229244259289304[[#This Row],[Общая сумма долга]]</f>
        <v>1</v>
      </c>
      <c r="G48" s="40"/>
    </row>
    <row r="49" spans="1:8" ht="24.95" customHeight="1" outlineLevel="1" x14ac:dyDescent="0.2">
      <c r="A49" s="74" t="s">
        <v>2437</v>
      </c>
      <c r="B49" s="364">
        <v>0</v>
      </c>
      <c r="C49" s="364">
        <v>508022</v>
      </c>
      <c r="D49" s="92">
        <f>Таблица546243318323946536067742532394653606774818895102112437506478921061101291411531651851733496581971131291451611772036526884100116132148547563579593607621637653669685702719193449647994109124139154184199184214229244259289304[[#This Row],[Сумма просроченного долга]]/Таблица546243318323946536067742532394653606774818895102112437506478921061101291411531651851733496581971131291451611772036526884100116132148547563579593607621637653669685702719193449647994109124139154184199184214229244259289304[[#This Row],[Общая сумма долга]]</f>
        <v>0</v>
      </c>
      <c r="G49" s="40"/>
    </row>
    <row r="50" spans="1:8" ht="24.95" customHeight="1" outlineLevel="1" x14ac:dyDescent="0.2">
      <c r="A50" s="74" t="s">
        <v>2170</v>
      </c>
      <c r="B50" s="364">
        <v>36600</v>
      </c>
      <c r="C50" s="364">
        <v>36600</v>
      </c>
      <c r="D50" s="92">
        <f>Таблица546243318323946536067742532394653606774818895102112437506478921061101291411531651851733496581971131291451611772036526884100116132148547563579593607621637653669685702719193449647994109124139154184199184214229244259289304[[#This Row],[Сумма просроченного долга]]/Таблица546243318323946536067742532394653606774818895102112437506478921061101291411531651851733496581971131291451611772036526884100116132148547563579593607621637653669685702719193449647994109124139154184199184214229244259289304[[#This Row],[Общая сумма долга]]</f>
        <v>1</v>
      </c>
      <c r="G50" s="40"/>
    </row>
    <row r="51" spans="1:8" outlineLevel="1" x14ac:dyDescent="0.2">
      <c r="A51" s="63"/>
      <c r="B51" s="64" t="s">
        <v>50</v>
      </c>
      <c r="C51" s="65">
        <f>SUM(Таблица546243318323946536067742532394653606774818895102112437506478921061101291411531651851733496581971131291451611772036526884100116132148547563579593607621637653669685702719193449647994109124139154184199184214229244259289304[Общая сумма долга])</f>
        <v>8296092</v>
      </c>
      <c r="D51" s="66">
        <v>0.1066</v>
      </c>
      <c r="E51" s="67" t="s">
        <v>51</v>
      </c>
      <c r="F51" s="51"/>
      <c r="G51" s="51"/>
      <c r="H51" s="51"/>
    </row>
    <row r="52" spans="1:8" outlineLevel="1" x14ac:dyDescent="0.2">
      <c r="A52" s="63"/>
      <c r="B52" s="64"/>
      <c r="C52" s="65"/>
      <c r="D52" s="51"/>
      <c r="E52" s="51"/>
      <c r="F52" s="51"/>
      <c r="G52" s="51"/>
      <c r="H52" s="51"/>
    </row>
    <row r="53" spans="1:8" x14ac:dyDescent="0.2">
      <c r="A53" s="63"/>
      <c r="B53" s="51"/>
      <c r="C53" s="51"/>
      <c r="D53" s="52"/>
      <c r="E53" s="51"/>
      <c r="F53" s="53"/>
      <c r="G53" s="51"/>
      <c r="H53" s="68"/>
    </row>
    <row r="54" spans="1:8" x14ac:dyDescent="0.2">
      <c r="A54" s="63"/>
      <c r="B54" s="51"/>
      <c r="C54" s="51"/>
      <c r="D54" s="52"/>
      <c r="E54" s="51"/>
      <c r="F54" s="53"/>
      <c r="G54" s="51"/>
      <c r="H54" s="68"/>
    </row>
    <row r="55" spans="1:8" ht="15" x14ac:dyDescent="0.25">
      <c r="A55" s="387" t="s">
        <v>52</v>
      </c>
      <c r="B55" s="387"/>
      <c r="C55" s="387"/>
      <c r="D55" s="387"/>
      <c r="E55" s="53"/>
      <c r="F55" s="53"/>
      <c r="G55" s="51"/>
    </row>
    <row r="56" spans="1:8" s="6" customFormat="1" outlineLevel="1" x14ac:dyDescent="0.2">
      <c r="A56" s="18" t="s">
        <v>53</v>
      </c>
      <c r="B56" s="19" t="s">
        <v>54</v>
      </c>
      <c r="C56" s="19" t="s">
        <v>55</v>
      </c>
      <c r="D56" s="69" t="s">
        <v>56</v>
      </c>
      <c r="E56" s="69" t="s">
        <v>4</v>
      </c>
      <c r="F56" s="70" t="s">
        <v>57</v>
      </c>
      <c r="G56" s="375" t="s">
        <v>9</v>
      </c>
    </row>
    <row r="57" spans="1:8" s="6" customFormat="1" ht="26.25" customHeight="1" outlineLevel="1" x14ac:dyDescent="0.2">
      <c r="A57" s="173" t="s">
        <v>2353</v>
      </c>
      <c r="B57" s="246">
        <v>1297250</v>
      </c>
      <c r="C57" s="131">
        <v>251422.05</v>
      </c>
      <c r="D57" s="249">
        <v>0.24</v>
      </c>
      <c r="E57" s="177" t="s">
        <v>94</v>
      </c>
      <c r="F57" s="250" t="s">
        <v>2457</v>
      </c>
      <c r="G57" s="374"/>
    </row>
    <row r="58" spans="1:8" s="6" customFormat="1" ht="26.25" customHeight="1" outlineLevel="1" x14ac:dyDescent="0.2">
      <c r="A58" s="173" t="s">
        <v>2134</v>
      </c>
      <c r="B58" s="246">
        <v>2004050</v>
      </c>
      <c r="C58" s="131">
        <v>128768.1</v>
      </c>
      <c r="D58" s="249">
        <v>6.9000000000000006E-2</v>
      </c>
      <c r="E58" s="177" t="s">
        <v>94</v>
      </c>
      <c r="F58" s="250" t="s">
        <v>2456</v>
      </c>
      <c r="G58" s="374"/>
    </row>
    <row r="59" spans="1:8" s="6" customFormat="1" ht="26.25" customHeight="1" outlineLevel="1" x14ac:dyDescent="0.2">
      <c r="A59" s="173" t="s">
        <v>2171</v>
      </c>
      <c r="B59" s="246">
        <v>508022</v>
      </c>
      <c r="C59" s="131">
        <v>50645.04</v>
      </c>
      <c r="D59" s="249">
        <v>0.111</v>
      </c>
      <c r="E59" s="177" t="s">
        <v>94</v>
      </c>
      <c r="F59" s="250" t="s">
        <v>2455</v>
      </c>
      <c r="G59" s="374"/>
    </row>
    <row r="60" spans="1:8" s="6" customFormat="1" ht="26.25" customHeight="1" outlineLevel="1" x14ac:dyDescent="0.2">
      <c r="A60" s="173" t="s">
        <v>1154</v>
      </c>
      <c r="B60" s="246">
        <v>39832</v>
      </c>
      <c r="C60" s="131">
        <v>39832</v>
      </c>
      <c r="D60" s="249">
        <v>1</v>
      </c>
      <c r="E60" s="177" t="s">
        <v>94</v>
      </c>
      <c r="F60" s="250" t="s">
        <v>2000</v>
      </c>
      <c r="G60" s="374"/>
    </row>
    <row r="61" spans="1:8" s="6" customFormat="1" ht="26.25" customHeight="1" outlineLevel="1" x14ac:dyDescent="0.2">
      <c r="A61" s="173" t="s">
        <v>2458</v>
      </c>
      <c r="B61" s="230">
        <v>79650</v>
      </c>
      <c r="C61" s="131">
        <v>13270</v>
      </c>
      <c r="D61" s="249">
        <f>Таблица16334659738710111512213414615817019022385470861021181341501661822541577389105121137153551567583597611625641657673689706723233853688398113128143158188203188218233248263293308[[#This Row],[Оборот]]/100/Таблица16334659738710111512213414615817019022385470861021181341501661822541577389105121137153551567583597611625641657673689706723233853688398113128143158188203188218233248263293308[[#This Row],[Профит ]]</f>
        <v>6.0022607385079127E-2</v>
      </c>
      <c r="E61" s="177" t="s">
        <v>94</v>
      </c>
      <c r="F61" s="250" t="s">
        <v>2459</v>
      </c>
      <c r="G61" s="374"/>
    </row>
    <row r="62" spans="1:8" s="6" customFormat="1" ht="26.25" customHeight="1" outlineLevel="1" x14ac:dyDescent="0.2">
      <c r="A62" s="173" t="s">
        <v>1139</v>
      </c>
      <c r="B62" s="246">
        <v>95085</v>
      </c>
      <c r="C62" s="131">
        <f>Таблица16334659738710111512213414615817019022385470861021181341501661822541577389105121137153551567583597611625641657673689706723233853688398113128143158188203188218233248263293308[[#This Row],[Оборот]]*0.09</f>
        <v>8557.65</v>
      </c>
      <c r="D62" s="249">
        <f>Таблица16334659738710111512213414615817019022385470861021181341501661822541577389105121137153551567583597611625641657673689706723233853688398113128143158188203188218233248263293308[[#This Row],[Оборот]]/100/Таблица16334659738710111512213414615817019022385470861021181341501661822541577389105121137153551567583597611625641657673689706723233853688398113128143158188203188218233248263293308[[#This Row],[Профит ]]</f>
        <v>0.11111111111111112</v>
      </c>
      <c r="E62" s="177" t="s">
        <v>94</v>
      </c>
      <c r="F62" s="250" t="s">
        <v>1138</v>
      </c>
      <c r="G62" s="376"/>
    </row>
    <row r="63" spans="1:8" s="5" customFormat="1" ht="26.25" customHeight="1" outlineLevel="1" x14ac:dyDescent="0.2">
      <c r="A63" s="173" t="s">
        <v>2400</v>
      </c>
      <c r="B63" s="246">
        <v>102052.31</v>
      </c>
      <c r="C63" s="131">
        <v>4441.26</v>
      </c>
      <c r="D63" s="249">
        <v>4.4999999999999998E-2</v>
      </c>
      <c r="E63" s="177" t="s">
        <v>94</v>
      </c>
      <c r="F63" s="250" t="s">
        <v>1829</v>
      </c>
      <c r="G63" s="376"/>
    </row>
    <row r="64" spans="1:8" s="6" customFormat="1" ht="26.25" customHeight="1" outlineLevel="1" x14ac:dyDescent="0.2">
      <c r="A64" s="173" t="s">
        <v>2453</v>
      </c>
      <c r="B64" s="246">
        <v>74199</v>
      </c>
      <c r="C64" s="131">
        <v>2110</v>
      </c>
      <c r="D64" s="249">
        <v>2.9000000000000001E-2</v>
      </c>
      <c r="E64" s="177" t="s">
        <v>94</v>
      </c>
      <c r="F64" s="250" t="s">
        <v>2454</v>
      </c>
      <c r="G64" s="376"/>
    </row>
    <row r="65" spans="1:10" s="6" customFormat="1" ht="26.25" customHeight="1" outlineLevel="1" x14ac:dyDescent="0.2">
      <c r="A65" s="173" t="s">
        <v>1725</v>
      </c>
      <c r="B65" s="246">
        <v>69020.009999999995</v>
      </c>
      <c r="C65" s="131">
        <v>2058.7199999999998</v>
      </c>
      <c r="D65" s="249">
        <v>3.1E-2</v>
      </c>
      <c r="E65" s="177" t="s">
        <v>94</v>
      </c>
      <c r="F65" s="250" t="s">
        <v>282</v>
      </c>
      <c r="G65" s="376"/>
    </row>
    <row r="66" spans="1:10" s="6" customFormat="1" ht="26.25" customHeight="1" outlineLevel="1" x14ac:dyDescent="0.2">
      <c r="A66" s="173" t="s">
        <v>2250</v>
      </c>
      <c r="B66" s="246">
        <v>87900</v>
      </c>
      <c r="C66" s="131">
        <v>1693.85</v>
      </c>
      <c r="D66" s="249">
        <v>0.02</v>
      </c>
      <c r="E66" s="177" t="s">
        <v>94</v>
      </c>
      <c r="F66" s="250" t="s">
        <v>180</v>
      </c>
      <c r="G66" s="376"/>
    </row>
    <row r="67" spans="1:10" x14ac:dyDescent="0.2">
      <c r="A67" s="51"/>
      <c r="B67" s="51"/>
      <c r="C67" s="51"/>
      <c r="D67" s="52"/>
      <c r="E67" s="51"/>
      <c r="F67" s="53"/>
      <c r="G67" s="51"/>
    </row>
    <row r="68" spans="1:10" ht="15" x14ac:dyDescent="0.25">
      <c r="A68" s="386" t="s">
        <v>58</v>
      </c>
      <c r="B68" s="386"/>
      <c r="C68" s="386"/>
      <c r="D68" s="386"/>
      <c r="E68" s="79"/>
      <c r="F68" s="79"/>
    </row>
    <row r="69" spans="1:10" ht="15" customHeight="1" outlineLevel="1" x14ac:dyDescent="0.2">
      <c r="A69" s="80">
        <v>46204</v>
      </c>
      <c r="B69" s="81" t="s">
        <v>21</v>
      </c>
      <c r="C69" s="81" t="s">
        <v>59</v>
      </c>
      <c r="D69" s="81" t="s">
        <v>60</v>
      </c>
      <c r="E69" s="81" t="s">
        <v>61</v>
      </c>
      <c r="F69" s="81" t="s">
        <v>62</v>
      </c>
      <c r="G69" s="81" t="s">
        <v>63</v>
      </c>
      <c r="H69" s="81" t="s">
        <v>64</v>
      </c>
    </row>
    <row r="70" spans="1:10" s="7" customFormat="1" outlineLevel="1" x14ac:dyDescent="0.2">
      <c r="A70" s="87"/>
      <c r="B70" s="282">
        <v>505000</v>
      </c>
      <c r="C70" s="283">
        <v>0</v>
      </c>
      <c r="D70" s="282">
        <v>89000</v>
      </c>
      <c r="E70" s="282">
        <v>30000</v>
      </c>
      <c r="F70" s="282">
        <v>0</v>
      </c>
      <c r="G70" s="282">
        <f>C70+D70+E70*0.5+F70*0.05</f>
        <v>104000</v>
      </c>
      <c r="H70" s="284">
        <f>Таблица9132738193340475461687582899682891101171241311381451521591661731801871945121926334047546168758289961031101171241311381451521591661741821902052131241361481601721922440627894110126142158174190334965819711312914516155957559160361763164766367969571314[[#This Row],[Столбец6]]/Таблица9132738193340475461687582899682891101171241311381451521591661731801871945121926334047546168758289961031101171241311381451521591661741821902052131241361481601721922440627894110126142158174190334965819711312914516155957559160361763164766367969571314[[#This Row],[Столбец1]]</f>
        <v>0.20594059405940593</v>
      </c>
    </row>
    <row r="71" spans="1:10" outlineLevel="1" x14ac:dyDescent="0.2">
      <c r="A71" s="40"/>
      <c r="B71" s="40"/>
      <c r="C71" s="369"/>
      <c r="D71" s="40"/>
      <c r="E71" s="40"/>
      <c r="F71" s="40"/>
      <c r="G71" s="40"/>
      <c r="H71" s="86"/>
    </row>
    <row r="72" spans="1:10" outlineLevel="1" x14ac:dyDescent="0.2">
      <c r="A72" s="80">
        <v>46235</v>
      </c>
      <c r="B72" s="81" t="s">
        <v>21</v>
      </c>
      <c r="C72" s="81" t="s">
        <v>59</v>
      </c>
      <c r="D72" s="81" t="s">
        <v>60</v>
      </c>
      <c r="E72" s="81" t="s">
        <v>61</v>
      </c>
      <c r="F72" s="81" t="s">
        <v>62</v>
      </c>
      <c r="G72" s="81" t="s">
        <v>63</v>
      </c>
      <c r="H72" s="81" t="s">
        <v>64</v>
      </c>
    </row>
    <row r="73" spans="1:10" s="7" customFormat="1" ht="15" customHeight="1" outlineLevel="1" x14ac:dyDescent="0.2">
      <c r="A73" s="87"/>
      <c r="B73" s="282">
        <v>560000</v>
      </c>
      <c r="C73" s="283">
        <v>0</v>
      </c>
      <c r="D73" s="283">
        <v>0</v>
      </c>
      <c r="E73" s="283">
        <v>719000</v>
      </c>
      <c r="F73" s="282">
        <v>0</v>
      </c>
      <c r="G73" s="282">
        <f>C73+D73+E73*0.5+F73*0.05</f>
        <v>359500</v>
      </c>
      <c r="H73" s="284">
        <f>Таблица9132738193340475461687582899682891101171241311381451521591661731801871945121926334047546168758289961031101171241311381451521591661741821902052131191251371491611731932541567288104120136152168184274359759110712313915555356958559961362764365967569310[[#This Row],[Столбец6]]/Таблица9132738193340475461687582899682891101171241311381451521591661731801871945121926334047546168758289961031101171241311381451521591661741821902052131191251371491611731932541567288104120136152168184274359759110712313915555356958559961362764365967569310[[#This Row],[Столбец1]]</f>
        <v>0.64196428571428577</v>
      </c>
    </row>
    <row r="74" spans="1:10" x14ac:dyDescent="0.2">
      <c r="A74" s="63"/>
      <c r="B74" s="51"/>
      <c r="C74" s="51"/>
      <c r="D74" s="52"/>
      <c r="E74" s="51"/>
    </row>
    <row r="75" spans="1:10" x14ac:dyDescent="0.2">
      <c r="A75" s="51"/>
      <c r="B75" s="51"/>
      <c r="C75" s="51"/>
      <c r="D75" s="52"/>
      <c r="E75" s="51"/>
    </row>
    <row r="76" spans="1:10" ht="15.75" x14ac:dyDescent="0.25">
      <c r="A76" s="88" t="s">
        <v>65</v>
      </c>
      <c r="B76" s="89"/>
    </row>
    <row r="77" spans="1:10" s="7" customFormat="1" ht="15" x14ac:dyDescent="0.25">
      <c r="A77" s="390" t="s">
        <v>66</v>
      </c>
      <c r="B77" s="390"/>
      <c r="C77" s="390"/>
      <c r="D77" s="390"/>
      <c r="E77" s="385"/>
      <c r="F77" s="385"/>
      <c r="G77" s="235">
        <f>SUM(Таблица4211720344148556269768390978390111118125132139146153160167174181188195613202734414855626976839097104111118125132139146153160167175183198206214123135147159171191233955718710311913515116718326425874901061221381545525685845986126266426586746907077309[Сумма, тыс. руб.])*1000</f>
        <v>3247000</v>
      </c>
      <c r="H77" s="384"/>
    </row>
    <row r="78" spans="1:10" outlineLevel="1" x14ac:dyDescent="0.2">
      <c r="A78" s="91" t="s">
        <v>67</v>
      </c>
      <c r="B78" s="91" t="s">
        <v>53</v>
      </c>
      <c r="C78" s="91" t="s">
        <v>4</v>
      </c>
      <c r="D78" s="91" t="s">
        <v>68</v>
      </c>
      <c r="E78" s="91" t="s">
        <v>69</v>
      </c>
      <c r="F78" s="91" t="s">
        <v>70</v>
      </c>
      <c r="G78" s="91" t="s">
        <v>71</v>
      </c>
      <c r="H78" s="91" t="s">
        <v>72</v>
      </c>
      <c r="I78" s="276"/>
      <c r="J78" s="276"/>
    </row>
    <row r="79" spans="1:10" ht="25.5" customHeight="1" outlineLevel="1" x14ac:dyDescent="0.2">
      <c r="A79" s="173" t="s">
        <v>2339</v>
      </c>
      <c r="B79" s="173" t="s">
        <v>2222</v>
      </c>
      <c r="C79" s="173" t="s">
        <v>94</v>
      </c>
      <c r="D79" s="173" t="s">
        <v>73</v>
      </c>
      <c r="E79" s="173" t="s">
        <v>1844</v>
      </c>
      <c r="F79" s="173" t="s">
        <v>2245</v>
      </c>
      <c r="G79" s="225">
        <v>1845</v>
      </c>
      <c r="H79" s="173" t="s">
        <v>168</v>
      </c>
      <c r="I79" s="276"/>
      <c r="J79" s="276"/>
    </row>
    <row r="80" spans="1:10" ht="24" customHeight="1" outlineLevel="1" x14ac:dyDescent="0.2">
      <c r="A80" s="173" t="s">
        <v>2468</v>
      </c>
      <c r="B80" s="173" t="s">
        <v>2353</v>
      </c>
      <c r="C80" s="173" t="s">
        <v>94</v>
      </c>
      <c r="D80" s="173" t="s">
        <v>73</v>
      </c>
      <c r="E80" s="173" t="s">
        <v>2258</v>
      </c>
      <c r="F80" s="173" t="s">
        <v>2247</v>
      </c>
      <c r="G80" s="225">
        <v>724</v>
      </c>
      <c r="H80" s="173" t="s">
        <v>168</v>
      </c>
      <c r="I80" s="276"/>
      <c r="J80" s="276"/>
    </row>
    <row r="81" spans="1:10" ht="25.5" outlineLevel="1" x14ac:dyDescent="0.2">
      <c r="A81" s="173" t="s">
        <v>2469</v>
      </c>
      <c r="B81" s="173" t="s">
        <v>2148</v>
      </c>
      <c r="C81" s="173" t="s">
        <v>94</v>
      </c>
      <c r="D81" s="173" t="s">
        <v>73</v>
      </c>
      <c r="E81" s="173" t="s">
        <v>2470</v>
      </c>
      <c r="F81" s="173" t="s">
        <v>2247</v>
      </c>
      <c r="G81" s="225">
        <v>375</v>
      </c>
      <c r="H81" s="173" t="s">
        <v>168</v>
      </c>
      <c r="I81" s="276"/>
      <c r="J81" s="276"/>
    </row>
    <row r="82" spans="1:10" s="258" customFormat="1" ht="24.95" customHeight="1" outlineLevel="1" x14ac:dyDescent="0.2">
      <c r="A82" s="230" t="s">
        <v>2338</v>
      </c>
      <c r="B82" s="230" t="s">
        <v>2353</v>
      </c>
      <c r="C82" s="177" t="s">
        <v>94</v>
      </c>
      <c r="D82" s="173" t="s">
        <v>73</v>
      </c>
      <c r="E82" s="230" t="s">
        <v>2359</v>
      </c>
      <c r="F82" s="224" t="s">
        <v>2245</v>
      </c>
      <c r="G82" s="131">
        <v>149</v>
      </c>
      <c r="H82" s="173" t="s">
        <v>168</v>
      </c>
    </row>
    <row r="83" spans="1:10" s="258" customFormat="1" ht="24.95" customHeight="1" outlineLevel="1" x14ac:dyDescent="0.2">
      <c r="A83" s="230" t="s">
        <v>2200</v>
      </c>
      <c r="B83" s="230" t="s">
        <v>2175</v>
      </c>
      <c r="C83" s="177" t="s">
        <v>94</v>
      </c>
      <c r="D83" s="173" t="s">
        <v>1646</v>
      </c>
      <c r="E83" s="230" t="s">
        <v>2231</v>
      </c>
      <c r="F83" s="224" t="s">
        <v>2245</v>
      </c>
      <c r="G83" s="131">
        <v>82</v>
      </c>
      <c r="H83" s="173" t="s">
        <v>280</v>
      </c>
    </row>
    <row r="84" spans="1:10" s="258" customFormat="1" ht="24.95" customHeight="1" outlineLevel="1" x14ac:dyDescent="0.2">
      <c r="A84" s="230" t="s">
        <v>1600</v>
      </c>
      <c r="B84" s="230" t="s">
        <v>104</v>
      </c>
      <c r="C84" s="177" t="s">
        <v>94</v>
      </c>
      <c r="D84" s="173" t="s">
        <v>73</v>
      </c>
      <c r="E84" s="230" t="s">
        <v>1640</v>
      </c>
      <c r="F84" s="224" t="s">
        <v>2245</v>
      </c>
      <c r="G84" s="131">
        <v>72</v>
      </c>
      <c r="H84" s="173" t="s">
        <v>280</v>
      </c>
    </row>
    <row r="85" spans="1:10" x14ac:dyDescent="0.2">
      <c r="A85" s="104"/>
      <c r="B85" s="104"/>
      <c r="C85" s="105"/>
      <c r="D85" s="106"/>
      <c r="E85" s="106"/>
      <c r="F85" s="107"/>
      <c r="G85" s="108"/>
      <c r="H85" s="106"/>
    </row>
    <row r="86" spans="1:10" s="7" customFormat="1" ht="15" x14ac:dyDescent="0.25">
      <c r="A86" s="390" t="s">
        <v>74</v>
      </c>
      <c r="B86" s="390"/>
      <c r="C86" s="390"/>
      <c r="D86" s="390"/>
      <c r="G86" s="235">
        <f>SUM(Таблица125138150162174194264257738910512113715316918528446076921081241401565545705866006146286446606766927097262641567186101116131146161191206191221236251266296311[Сумма])*1000</f>
        <v>26554000</v>
      </c>
      <c r="H86" s="384"/>
    </row>
    <row r="87" spans="1:10" outlineLevel="1" x14ac:dyDescent="0.2">
      <c r="A87" s="91" t="s">
        <v>67</v>
      </c>
      <c r="B87" s="91" t="s">
        <v>53</v>
      </c>
      <c r="C87" s="91" t="s">
        <v>4</v>
      </c>
      <c r="D87" s="91" t="s">
        <v>68</v>
      </c>
      <c r="E87" s="91" t="s">
        <v>69</v>
      </c>
      <c r="F87" s="91" t="s">
        <v>70</v>
      </c>
      <c r="G87" s="91" t="s">
        <v>75</v>
      </c>
      <c r="H87" s="91" t="s">
        <v>72</v>
      </c>
    </row>
    <row r="88" spans="1:10" ht="24.95" customHeight="1" outlineLevel="1" x14ac:dyDescent="0.2">
      <c r="A88" s="74" t="s">
        <v>2438</v>
      </c>
      <c r="B88" s="74" t="s">
        <v>2439</v>
      </c>
      <c r="C88" s="177" t="s">
        <v>94</v>
      </c>
      <c r="D88" s="94" t="s">
        <v>73</v>
      </c>
      <c r="E88" s="74" t="s">
        <v>2448</v>
      </c>
      <c r="F88" s="218" t="s">
        <v>2245</v>
      </c>
      <c r="G88" s="72">
        <v>24314</v>
      </c>
      <c r="H88" s="94" t="s">
        <v>284</v>
      </c>
    </row>
    <row r="89" spans="1:10" ht="24.95" customHeight="1" outlineLevel="1" x14ac:dyDescent="0.2">
      <c r="A89" s="74" t="s">
        <v>2440</v>
      </c>
      <c r="B89" s="74" t="s">
        <v>2441</v>
      </c>
      <c r="C89" s="177" t="s">
        <v>94</v>
      </c>
      <c r="D89" s="94" t="s">
        <v>73</v>
      </c>
      <c r="E89" s="74" t="s">
        <v>2449</v>
      </c>
      <c r="F89" s="218" t="s">
        <v>2247</v>
      </c>
      <c r="G89" s="72">
        <v>1106</v>
      </c>
      <c r="H89" s="94" t="s">
        <v>252</v>
      </c>
    </row>
    <row r="90" spans="1:10" ht="24.95" customHeight="1" outlineLevel="1" x14ac:dyDescent="0.2">
      <c r="A90" s="74" t="s">
        <v>2442</v>
      </c>
      <c r="B90" s="74" t="s">
        <v>2443</v>
      </c>
      <c r="C90" s="177" t="s">
        <v>94</v>
      </c>
      <c r="D90" s="94" t="s">
        <v>73</v>
      </c>
      <c r="E90" s="74" t="s">
        <v>2450</v>
      </c>
      <c r="F90" s="218" t="s">
        <v>2452</v>
      </c>
      <c r="G90" s="72">
        <v>627</v>
      </c>
      <c r="H90" s="94" t="s">
        <v>280</v>
      </c>
    </row>
    <row r="91" spans="1:10" ht="24.95" customHeight="1" outlineLevel="1" x14ac:dyDescent="0.2">
      <c r="A91" s="74" t="s">
        <v>2444</v>
      </c>
      <c r="B91" s="74" t="s">
        <v>2353</v>
      </c>
      <c r="C91" s="177" t="s">
        <v>94</v>
      </c>
      <c r="D91" s="94" t="s">
        <v>73</v>
      </c>
      <c r="E91" s="74" t="s">
        <v>1248</v>
      </c>
      <c r="F91" s="218" t="s">
        <v>2244</v>
      </c>
      <c r="G91" s="72">
        <v>298</v>
      </c>
      <c r="H91" s="94" t="s">
        <v>284</v>
      </c>
    </row>
    <row r="92" spans="1:10" ht="24.95" customHeight="1" outlineLevel="1" x14ac:dyDescent="0.2">
      <c r="A92" s="74" t="s">
        <v>2445</v>
      </c>
      <c r="B92" s="74" t="s">
        <v>2250</v>
      </c>
      <c r="C92" s="177" t="s">
        <v>94</v>
      </c>
      <c r="D92" s="94" t="s">
        <v>73</v>
      </c>
      <c r="E92" s="74" t="s">
        <v>2451</v>
      </c>
      <c r="F92" s="218" t="s">
        <v>2247</v>
      </c>
      <c r="G92" s="72">
        <v>119</v>
      </c>
      <c r="H92" s="94" t="s">
        <v>107</v>
      </c>
    </row>
    <row r="93" spans="1:10" ht="24.95" customHeight="1" outlineLevel="1" x14ac:dyDescent="0.2">
      <c r="A93" s="74" t="s">
        <v>2446</v>
      </c>
      <c r="B93" s="74" t="s">
        <v>2400</v>
      </c>
      <c r="C93" s="177" t="s">
        <v>94</v>
      </c>
      <c r="D93" s="94" t="s">
        <v>73</v>
      </c>
      <c r="E93" s="74" t="s">
        <v>2225</v>
      </c>
      <c r="F93" s="218" t="s">
        <v>2244</v>
      </c>
      <c r="G93" s="72">
        <v>90</v>
      </c>
      <c r="H93" s="94" t="s">
        <v>107</v>
      </c>
    </row>
    <row r="94" spans="1:10" ht="24.95" customHeight="1" outlineLevel="1" x14ac:dyDescent="0.2">
      <c r="A94" s="74" t="s">
        <v>2447</v>
      </c>
      <c r="B94" s="74" t="s">
        <v>1823</v>
      </c>
      <c r="C94" s="177" t="s">
        <v>94</v>
      </c>
      <c r="D94" s="94" t="s">
        <v>73</v>
      </c>
      <c r="E94" s="74" t="s">
        <v>2368</v>
      </c>
      <c r="F94" s="218" t="s">
        <v>2248</v>
      </c>
      <c r="G94" s="72">
        <v>0</v>
      </c>
      <c r="H94" s="94" t="s">
        <v>996</v>
      </c>
    </row>
    <row r="95" spans="1:10" ht="15" customHeight="1" x14ac:dyDescent="0.2"/>
    <row r="96" spans="1:10" ht="15.75" x14ac:dyDescent="0.25">
      <c r="A96" s="1" t="s">
        <v>76</v>
      </c>
    </row>
    <row r="97" spans="1:8" ht="15" x14ac:dyDescent="0.25">
      <c r="A97" s="387" t="s">
        <v>77</v>
      </c>
      <c r="B97" s="387"/>
      <c r="C97" s="387"/>
      <c r="D97" s="387"/>
      <c r="G97" s="235"/>
      <c r="H97" s="276"/>
    </row>
    <row r="98" spans="1:8" s="104" customFormat="1" outlineLevel="1" x14ac:dyDescent="0.25">
      <c r="A98" s="112" t="s">
        <v>78</v>
      </c>
      <c r="B98" s="112" t="s">
        <v>53</v>
      </c>
      <c r="C98" s="91" t="s">
        <v>4</v>
      </c>
      <c r="D98" s="112" t="s">
        <v>79</v>
      </c>
      <c r="E98" s="91" t="s">
        <v>80</v>
      </c>
      <c r="F98" s="112" t="s">
        <v>81</v>
      </c>
      <c r="G98" s="112" t="s">
        <v>82</v>
      </c>
    </row>
    <row r="99" spans="1:8" s="104" customFormat="1" ht="24.95" customHeight="1" outlineLevel="1" x14ac:dyDescent="0.25">
      <c r="A99" s="171"/>
      <c r="B99" s="173"/>
      <c r="C99" s="177"/>
      <c r="D99" s="173"/>
      <c r="E99" s="173"/>
      <c r="F99" s="173"/>
      <c r="G99" s="173"/>
    </row>
    <row r="100" spans="1:8" s="104" customFormat="1" ht="12" customHeight="1" outlineLevel="1" x14ac:dyDescent="0.2">
      <c r="A100" s="2"/>
      <c r="B100" s="118"/>
      <c r="C100" s="2"/>
      <c r="D100" s="2"/>
      <c r="E100" s="2"/>
      <c r="F100" s="2"/>
      <c r="G100" s="2"/>
    </row>
    <row r="101" spans="1:8" ht="24" customHeight="1" outlineLevel="1" x14ac:dyDescent="0.2">
      <c r="A101" s="118"/>
      <c r="B101" s="118"/>
    </row>
    <row r="102" spans="1:8" ht="15" x14ac:dyDescent="0.25">
      <c r="A102" s="387" t="s">
        <v>83</v>
      </c>
      <c r="B102" s="387"/>
      <c r="C102" s="387"/>
      <c r="D102" s="387"/>
      <c r="G102" s="235"/>
      <c r="H102" s="276"/>
    </row>
    <row r="103" spans="1:8" ht="24" customHeight="1" outlineLevel="1" x14ac:dyDescent="0.2">
      <c r="A103" s="112" t="s">
        <v>78</v>
      </c>
      <c r="B103" s="112" t="s">
        <v>53</v>
      </c>
      <c r="C103" s="91" t="s">
        <v>4</v>
      </c>
      <c r="D103" s="112" t="s">
        <v>79</v>
      </c>
      <c r="E103" s="91" t="s">
        <v>80</v>
      </c>
      <c r="F103" s="112" t="s">
        <v>81</v>
      </c>
      <c r="G103" s="112" t="s">
        <v>82</v>
      </c>
    </row>
    <row r="104" spans="1:8" ht="24" customHeight="1" outlineLevel="1" x14ac:dyDescent="0.2">
      <c r="A104" s="91"/>
      <c r="B104" s="91"/>
      <c r="C104" s="278"/>
      <c r="D104" s="280"/>
      <c r="E104" s="91"/>
      <c r="F104" s="91"/>
      <c r="G104" s="91"/>
    </row>
    <row r="106" spans="1:8" s="17" customFormat="1" outlineLevel="1" x14ac:dyDescent="0.2">
      <c r="A106" s="2"/>
      <c r="B106" s="2"/>
      <c r="C106" s="2"/>
      <c r="D106" s="2"/>
      <c r="E106" s="2"/>
      <c r="F106" s="2"/>
      <c r="G106" s="2"/>
    </row>
    <row r="107" spans="1:8" ht="15.75" x14ac:dyDescent="0.25">
      <c r="A107" s="1" t="s">
        <v>84</v>
      </c>
    </row>
    <row r="108" spans="1:8" ht="12.6" customHeight="1" outlineLevel="1" x14ac:dyDescent="0.25">
      <c r="A108" s="386" t="s">
        <v>85</v>
      </c>
      <c r="B108" s="386"/>
      <c r="C108" s="386"/>
      <c r="D108" s="386"/>
    </row>
    <row r="109" spans="1:8" ht="33" customHeight="1" outlineLevel="1" x14ac:dyDescent="0.2">
      <c r="A109" s="120" t="s">
        <v>81</v>
      </c>
      <c r="B109" s="120" t="s">
        <v>86</v>
      </c>
      <c r="C109" s="120" t="s">
        <v>87</v>
      </c>
      <c r="D109" s="120" t="s">
        <v>88</v>
      </c>
      <c r="E109" s="120" t="s">
        <v>89</v>
      </c>
      <c r="F109" s="120" t="s">
        <v>4</v>
      </c>
      <c r="G109" s="120" t="s">
        <v>90</v>
      </c>
    </row>
    <row r="110" spans="1:8" ht="312" customHeight="1" outlineLevel="1" x14ac:dyDescent="0.2">
      <c r="A110" s="94"/>
      <c r="B110" s="219" t="s">
        <v>2432</v>
      </c>
      <c r="C110" s="238" t="s">
        <v>1280</v>
      </c>
      <c r="D110" s="225" t="s">
        <v>2461</v>
      </c>
      <c r="E110" s="132" t="s">
        <v>2429</v>
      </c>
      <c r="F110" s="74" t="s">
        <v>94</v>
      </c>
      <c r="G110" s="72">
        <f>4000*150%</f>
        <v>6000</v>
      </c>
    </row>
    <row r="111" spans="1:8" ht="114.75" customHeight="1" outlineLevel="1" x14ac:dyDescent="0.2">
      <c r="A111" s="94"/>
      <c r="B111" s="219" t="s">
        <v>1741</v>
      </c>
      <c r="C111" s="238" t="s">
        <v>91</v>
      </c>
      <c r="D111" s="225" t="s">
        <v>2434</v>
      </c>
      <c r="E111" s="132" t="s">
        <v>2435</v>
      </c>
      <c r="F111" s="74" t="s">
        <v>94</v>
      </c>
      <c r="G111" s="72">
        <v>0</v>
      </c>
    </row>
    <row r="112" spans="1:8" ht="234" customHeight="1" x14ac:dyDescent="0.2">
      <c r="A112" s="94"/>
      <c r="B112" s="219" t="s">
        <v>2433</v>
      </c>
      <c r="C112" s="238" t="s">
        <v>91</v>
      </c>
      <c r="D112" s="225" t="s">
        <v>2434</v>
      </c>
      <c r="E112" s="132" t="s">
        <v>2430</v>
      </c>
      <c r="F112" s="74" t="s">
        <v>94</v>
      </c>
      <c r="G112" s="72">
        <v>0</v>
      </c>
    </row>
    <row r="113" spans="1:15" ht="395.25" x14ac:dyDescent="0.2">
      <c r="A113" s="94"/>
      <c r="B113" s="219" t="s">
        <v>2431</v>
      </c>
      <c r="C113" s="238" t="s">
        <v>1280</v>
      </c>
      <c r="D113" s="225" t="s">
        <v>2460</v>
      </c>
      <c r="E113" s="132" t="s">
        <v>1742</v>
      </c>
      <c r="F113" s="74" t="s">
        <v>94</v>
      </c>
      <c r="G113" s="72">
        <v>2000</v>
      </c>
    </row>
    <row r="114" spans="1:15" s="124" customFormat="1" ht="12.75" customHeight="1" outlineLevel="1" x14ac:dyDescent="0.2">
      <c r="A114" s="2"/>
      <c r="B114" s="122"/>
      <c r="C114" s="123"/>
      <c r="D114" s="2"/>
      <c r="E114" s="2"/>
      <c r="F114" s="122"/>
      <c r="G114" s="2"/>
      <c r="H114" s="2"/>
      <c r="I114" s="2"/>
      <c r="J114" s="2"/>
      <c r="K114" s="2"/>
      <c r="L114" s="2"/>
      <c r="M114" s="2"/>
      <c r="N114" s="2"/>
      <c r="O114" s="2"/>
    </row>
    <row r="115" spans="1:15" ht="12.6" customHeight="1" outlineLevel="1" x14ac:dyDescent="0.25">
      <c r="A115" s="386" t="s">
        <v>92</v>
      </c>
      <c r="B115" s="386"/>
      <c r="C115" s="386"/>
      <c r="D115" s="386"/>
    </row>
    <row r="116" spans="1:15" x14ac:dyDescent="0.2">
      <c r="A116" s="120" t="s">
        <v>81</v>
      </c>
      <c r="B116" s="120" t="s">
        <v>86</v>
      </c>
      <c r="C116" s="120" t="s">
        <v>87</v>
      </c>
      <c r="D116" s="120" t="s">
        <v>88</v>
      </c>
      <c r="E116" s="120" t="s">
        <v>89</v>
      </c>
      <c r="F116" s="120" t="s">
        <v>4</v>
      </c>
      <c r="G116" s="120" t="s">
        <v>90</v>
      </c>
    </row>
    <row r="117" spans="1:15" ht="50.1" customHeight="1" x14ac:dyDescent="0.2">
      <c r="A117" s="230" t="s">
        <v>109</v>
      </c>
      <c r="B117" s="219" t="s">
        <v>2432</v>
      </c>
      <c r="C117" s="292"/>
      <c r="D117" s="292"/>
      <c r="E117" s="132" t="s">
        <v>2429</v>
      </c>
      <c r="F117" s="74" t="s">
        <v>94</v>
      </c>
      <c r="G117" s="292"/>
    </row>
    <row r="118" spans="1:15" ht="50.1" customHeight="1" x14ac:dyDescent="0.25">
      <c r="A118" s="230" t="s">
        <v>109</v>
      </c>
      <c r="B118" s="148" t="s">
        <v>1741</v>
      </c>
      <c r="C118" s="125"/>
      <c r="D118"/>
      <c r="E118" s="132" t="s">
        <v>2435</v>
      </c>
      <c r="F118" s="74" t="s">
        <v>94</v>
      </c>
      <c r="G118" s="126"/>
    </row>
    <row r="119" spans="1:15" ht="50.1" customHeight="1" x14ac:dyDescent="0.25">
      <c r="A119" s="230" t="s">
        <v>109</v>
      </c>
      <c r="B119" s="148" t="s">
        <v>2433</v>
      </c>
      <c r="C119" s="125"/>
      <c r="D119"/>
      <c r="E119" s="132" t="s">
        <v>2430</v>
      </c>
      <c r="F119" s="74" t="s">
        <v>94</v>
      </c>
      <c r="G119" s="126"/>
    </row>
    <row r="120" spans="1:15" ht="50.1" customHeight="1" x14ac:dyDescent="0.25">
      <c r="A120" s="230" t="s">
        <v>109</v>
      </c>
      <c r="B120" s="148" t="s">
        <v>2431</v>
      </c>
      <c r="C120" s="125"/>
      <c r="D120"/>
      <c r="E120" s="132" t="s">
        <v>1516</v>
      </c>
      <c r="F120" s="74" t="s">
        <v>94</v>
      </c>
      <c r="G120" s="126"/>
    </row>
  </sheetData>
  <mergeCells count="14">
    <mergeCell ref="A108:D108"/>
    <mergeCell ref="A115:D115"/>
    <mergeCell ref="A55:D55"/>
    <mergeCell ref="A68:D68"/>
    <mergeCell ref="A77:D77"/>
    <mergeCell ref="A86:D86"/>
    <mergeCell ref="A97:D97"/>
    <mergeCell ref="A102:D102"/>
    <mergeCell ref="A44:D44"/>
    <mergeCell ref="A5:D5"/>
    <mergeCell ref="A10:D10"/>
    <mergeCell ref="A15:D15"/>
    <mergeCell ref="A20:D20"/>
    <mergeCell ref="A38:D38"/>
  </mergeCells>
  <conditionalFormatting sqref="G110:G113 C110:C113">
    <cfRule type="cellIs" dxfId="146" priority="7" operator="equal">
      <formula>"ДА"</formula>
    </cfRule>
    <cfRule type="cellIs" dxfId="145" priority="8" operator="equal">
      <formula>"НЕТ"</formula>
    </cfRule>
    <cfRule type="cellIs" dxfId="144" priority="9" operator="equal">
      <formula>"Нет"</formula>
    </cfRule>
    <cfRule type="cellIs" dxfId="143" priority="10" operator="equal">
      <formula>"нет"</formula>
    </cfRule>
    <cfRule type="cellIs" dxfId="142" priority="11" operator="equal">
      <formula>"ДА"</formula>
    </cfRule>
    <cfRule type="containsText" dxfId="141" priority="12" operator="containsText" text="Да">
      <formula>NOT(ISERROR(SEARCH("Да",C110)))</formula>
    </cfRule>
  </conditionalFormatting>
  <conditionalFormatting sqref="E7 E12">
    <cfRule type="cellIs" dxfId="140" priority="19" operator="lessThan">
      <formula>0</formula>
    </cfRule>
    <cfRule type="cellIs" dxfId="139" priority="20" operator="greaterThan">
      <formula>0</formula>
    </cfRule>
  </conditionalFormatting>
  <conditionalFormatting sqref="D7 D12 E17">
    <cfRule type="cellIs" dxfId="138" priority="17" operator="lessThan">
      <formula>0</formula>
    </cfRule>
    <cfRule type="cellIs" dxfId="137" priority="18" operator="greaterThan">
      <formula>0</formula>
    </cfRule>
  </conditionalFormatting>
  <conditionalFormatting sqref="H70">
    <cfRule type="cellIs" dxfId="136" priority="15" operator="lessThan">
      <formula>1</formula>
    </cfRule>
    <cfRule type="cellIs" dxfId="135" priority="16" operator="greaterThan">
      <formula>1</formula>
    </cfRule>
  </conditionalFormatting>
  <conditionalFormatting sqref="H73">
    <cfRule type="cellIs" dxfId="134" priority="13" operator="lessThan">
      <formula>1</formula>
    </cfRule>
    <cfRule type="cellIs" dxfId="133" priority="14" operator="greaterThan">
      <formula>1</formula>
    </cfRule>
  </conditionalFormatting>
  <conditionalFormatting sqref="G118:G120">
    <cfRule type="cellIs" dxfId="132" priority="1" operator="equal">
      <formula>"ДА"</formula>
    </cfRule>
    <cfRule type="cellIs" dxfId="131" priority="2" operator="equal">
      <formula>"НЕТ"</formula>
    </cfRule>
    <cfRule type="cellIs" dxfId="130" priority="3" operator="equal">
      <formula>"Нет"</formula>
    </cfRule>
    <cfRule type="cellIs" dxfId="129" priority="4" operator="equal">
      <formula>"нет"</formula>
    </cfRule>
    <cfRule type="cellIs" dxfId="128" priority="5" operator="equal">
      <formula>"ДА"</formula>
    </cfRule>
  </conditionalFormatting>
  <pageMargins left="0.7" right="0.7" top="0.75" bottom="0.75" header="0.3" footer="0.3"/>
  <pageSetup paperSize="9" orientation="portrait" r:id="rId1"/>
  <legacy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extLst>
    <ext xmlns:x14="http://schemas.microsoft.com/office/spreadsheetml/2009/9/main" uri="{78C0D931-6437-407d-A8EE-F0AAD7539E65}">
      <x14:conditionalFormattings>
        <x14:conditionalFormatting xmlns:xm="http://schemas.microsoft.com/office/excel/2006/main">
          <x14:cfRule type="containsText" priority="6" operator="containsText" text="Да" id="{7FAF83CC-0E62-4B79-9199-FD43D45A1ED8}">
            <xm:f>NOT(ISERROR(SEARCH("Да",'Август. 25'!G256)))</xm:f>
            <x14:dxf>
              <font>
                <color rgb="FF006100"/>
              </font>
              <fill>
                <patternFill>
                  <bgColor rgb="FFC6EFCE"/>
                </patternFill>
              </fill>
            </x14:dxf>
          </x14:cfRule>
          <xm:sqref>G118:G119</xm:sqref>
        </x14:conditionalFormatting>
        <x14:conditionalFormatting xmlns:xm="http://schemas.microsoft.com/office/excel/2006/main">
          <x14:cfRule type="containsText" priority="103" operator="containsText" text="Да" id="{7FAF83CC-0E62-4B79-9199-FD43D45A1ED8}">
            <xm:f>NOT(ISERROR(SEARCH("Да",'Август. 25'!G257)))</xm:f>
            <x14:dxf>
              <font>
                <color rgb="FF006100"/>
              </font>
              <fill>
                <patternFill>
                  <bgColor rgb="FFC6EFCE"/>
                </patternFill>
              </fill>
            </x14:dxf>
          </x14:cfRule>
          <xm:sqref>G120</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FD1AE-901C-4F74-B597-31836B40D009}">
  <dimension ref="A1:F12"/>
  <sheetViews>
    <sheetView workbookViewId="0"/>
  </sheetViews>
  <sheetFormatPr defaultRowHeight="15" x14ac:dyDescent="0.25"/>
  <cols>
    <col min="1" max="1" width="38.42578125" bestFit="1" customWidth="1"/>
    <col min="2" max="2" width="10.140625" bestFit="1" customWidth="1"/>
    <col min="3" max="3" width="10.7109375" bestFit="1" customWidth="1"/>
    <col min="4" max="4" width="5" bestFit="1" customWidth="1"/>
    <col min="5" max="5" width="14.7109375" bestFit="1" customWidth="1"/>
    <col min="6" max="6" width="28.5703125" bestFit="1" customWidth="1"/>
  </cols>
  <sheetData>
    <row r="1" spans="1:6" x14ac:dyDescent="0.25">
      <c r="A1" t="s">
        <v>53</v>
      </c>
      <c r="B1" t="s">
        <v>54</v>
      </c>
      <c r="C1" t="s">
        <v>55</v>
      </c>
      <c r="D1" t="s">
        <v>56</v>
      </c>
      <c r="E1" t="s">
        <v>4</v>
      </c>
      <c r="F1" t="s">
        <v>57</v>
      </c>
    </row>
    <row r="2" spans="1:6" x14ac:dyDescent="0.25">
      <c r="A2" s="395" t="s">
        <v>2408</v>
      </c>
      <c r="B2">
        <v>2669000</v>
      </c>
      <c r="C2">
        <v>256700</v>
      </c>
      <c r="D2">
        <v>9.6</v>
      </c>
      <c r="E2" s="395" t="s">
        <v>94</v>
      </c>
      <c r="F2" s="395" t="s">
        <v>102</v>
      </c>
    </row>
    <row r="3" spans="1:6" x14ac:dyDescent="0.25">
      <c r="A3" s="395" t="s">
        <v>1029</v>
      </c>
      <c r="B3">
        <v>221597</v>
      </c>
      <c r="C3">
        <v>72951</v>
      </c>
      <c r="D3">
        <v>32.9</v>
      </c>
      <c r="E3" s="395" t="s">
        <v>94</v>
      </c>
      <c r="F3" s="395" t="s">
        <v>282</v>
      </c>
    </row>
    <row r="4" spans="1:6" x14ac:dyDescent="0.25">
      <c r="A4" s="395" t="s">
        <v>1154</v>
      </c>
      <c r="B4">
        <v>0</v>
      </c>
      <c r="C4">
        <v>39832</v>
      </c>
      <c r="D4">
        <v>0</v>
      </c>
      <c r="E4" s="395" t="s">
        <v>94</v>
      </c>
      <c r="F4" s="395" t="s">
        <v>2474</v>
      </c>
    </row>
    <row r="5" spans="1:6" x14ac:dyDescent="0.25">
      <c r="A5" s="395" t="s">
        <v>1729</v>
      </c>
      <c r="B5">
        <v>346300</v>
      </c>
      <c r="C5">
        <v>24760</v>
      </c>
      <c r="D5">
        <v>7.1</v>
      </c>
      <c r="E5" s="395" t="s">
        <v>94</v>
      </c>
      <c r="F5" s="395" t="s">
        <v>2475</v>
      </c>
    </row>
    <row r="6" spans="1:6" x14ac:dyDescent="0.25">
      <c r="A6" s="395" t="s">
        <v>2250</v>
      </c>
      <c r="B6">
        <v>119480</v>
      </c>
      <c r="C6">
        <v>22680</v>
      </c>
      <c r="D6">
        <v>19</v>
      </c>
      <c r="E6" s="395" t="s">
        <v>94</v>
      </c>
      <c r="F6" s="395" t="s">
        <v>2239</v>
      </c>
    </row>
    <row r="7" spans="1:6" x14ac:dyDescent="0.25">
      <c r="A7" s="395" t="s">
        <v>2458</v>
      </c>
      <c r="B7">
        <v>79650</v>
      </c>
      <c r="C7">
        <v>9775</v>
      </c>
      <c r="D7">
        <v>12.3</v>
      </c>
      <c r="E7" s="395" t="s">
        <v>94</v>
      </c>
      <c r="F7" s="395" t="s">
        <v>184</v>
      </c>
    </row>
    <row r="8" spans="1:6" x14ac:dyDescent="0.25">
      <c r="A8" s="395" t="s">
        <v>1254</v>
      </c>
      <c r="B8">
        <v>93396</v>
      </c>
      <c r="C8">
        <v>3783</v>
      </c>
      <c r="D8">
        <v>4.0999999999999996</v>
      </c>
      <c r="E8" s="395" t="s">
        <v>94</v>
      </c>
      <c r="F8" s="395" t="s">
        <v>282</v>
      </c>
    </row>
    <row r="9" spans="1:6" x14ac:dyDescent="0.25">
      <c r="A9" s="395" t="s">
        <v>1730</v>
      </c>
      <c r="B9">
        <v>84799</v>
      </c>
      <c r="C9">
        <v>2903</v>
      </c>
      <c r="D9">
        <v>3.4</v>
      </c>
      <c r="E9" s="395" t="s">
        <v>94</v>
      </c>
      <c r="F9" s="395" t="s">
        <v>2476</v>
      </c>
    </row>
    <row r="10" spans="1:6" x14ac:dyDescent="0.25">
      <c r="A10" s="395" t="s">
        <v>2473</v>
      </c>
      <c r="B10">
        <v>8592</v>
      </c>
      <c r="C10">
        <v>0</v>
      </c>
      <c r="D10">
        <v>0</v>
      </c>
      <c r="E10" s="395" t="s">
        <v>94</v>
      </c>
      <c r="F10" s="395" t="s">
        <v>251</v>
      </c>
    </row>
    <row r="11" spans="1:6" x14ac:dyDescent="0.25">
      <c r="A11" s="395" t="s">
        <v>2353</v>
      </c>
      <c r="B11">
        <v>0</v>
      </c>
      <c r="C11">
        <v>-6100</v>
      </c>
      <c r="D11">
        <v>0</v>
      </c>
      <c r="E11" s="395" t="s">
        <v>94</v>
      </c>
      <c r="F11" s="395"/>
    </row>
    <row r="12" spans="1:6" x14ac:dyDescent="0.25">
      <c r="A12" s="395" t="s">
        <v>2134</v>
      </c>
      <c r="B12">
        <v>0</v>
      </c>
      <c r="C12">
        <v>-36140</v>
      </c>
      <c r="D12">
        <v>0</v>
      </c>
      <c r="E12" s="395" t="s">
        <v>94</v>
      </c>
      <c r="F12" s="395"/>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E6894-7946-4E0C-B76F-E9C2C9259B67}">
  <dimension ref="A1:O143"/>
  <sheetViews>
    <sheetView tabSelected="1" zoomScale="85" zoomScaleNormal="85" workbookViewId="0">
      <selection activeCell="E23" sqref="E23"/>
    </sheetView>
  </sheetViews>
  <sheetFormatPr defaultColWidth="9.140625" defaultRowHeight="12.75" outlineLevelRow="1" x14ac:dyDescent="0.2"/>
  <cols>
    <col min="1" max="1" width="28" style="2" customWidth="1"/>
    <col min="2" max="2" width="47.140625" style="2" customWidth="1"/>
    <col min="3" max="3" width="23.5703125" style="2" customWidth="1"/>
    <col min="4" max="4" width="71.5703125" style="2" customWidth="1"/>
    <col min="5" max="5" width="35.7109375" style="2" customWidth="1"/>
    <col min="6" max="6" width="27.140625" style="2" customWidth="1"/>
    <col min="7" max="7" width="35.140625" style="2" customWidth="1"/>
    <col min="8" max="8" width="36" style="2" customWidth="1"/>
    <col min="9" max="16384" width="9.140625" style="2"/>
  </cols>
  <sheetData>
    <row r="1" spans="1:7" ht="24.75" customHeight="1" x14ac:dyDescent="0.25">
      <c r="A1" s="134" t="s">
        <v>94</v>
      </c>
    </row>
    <row r="2" spans="1:7" ht="15.75" x14ac:dyDescent="0.25">
      <c r="A2" s="134" t="s">
        <v>2436</v>
      </c>
    </row>
    <row r="3" spans="1:7" x14ac:dyDescent="0.2">
      <c r="A3" s="3"/>
    </row>
    <row r="4" spans="1:7" ht="15.75" x14ac:dyDescent="0.25">
      <c r="A4" s="1" t="s">
        <v>0</v>
      </c>
      <c r="B4" s="2" t="s">
        <v>1</v>
      </c>
      <c r="C4" s="2" t="s">
        <v>2</v>
      </c>
    </row>
    <row r="5" spans="1:7" ht="15" x14ac:dyDescent="0.25">
      <c r="A5" s="386" t="s">
        <v>3</v>
      </c>
      <c r="B5" s="386"/>
      <c r="C5" s="386"/>
      <c r="D5" s="386"/>
      <c r="F5" s="4"/>
    </row>
    <row r="6" spans="1:7" s="6" customFormat="1" outlineLevel="1" x14ac:dyDescent="0.2">
      <c r="A6" s="5" t="s">
        <v>4</v>
      </c>
      <c r="B6" s="5" t="s">
        <v>5</v>
      </c>
      <c r="C6" s="5" t="s">
        <v>6</v>
      </c>
      <c r="D6" s="5" t="s">
        <v>7</v>
      </c>
      <c r="E6" s="5" t="s">
        <v>8</v>
      </c>
      <c r="F6" s="5" t="s">
        <v>10</v>
      </c>
      <c r="G6" s="186"/>
    </row>
    <row r="7" spans="1:7" outlineLevel="1" x14ac:dyDescent="0.2">
      <c r="A7" s="7" t="s">
        <v>94</v>
      </c>
      <c r="B7" s="8">
        <f>C25</f>
        <v>505000</v>
      </c>
      <c r="C7" s="9">
        <f>B25</f>
        <v>391143.6</v>
      </c>
      <c r="D7" s="10">
        <f>Таблица11029163037445158657223303744515865727986931009223548627690104107127139151163183152947637995111127143159175183450668298114130146545561577589605619635651667683700717163247627792107122137152182197182212227242257287302317[Факт, руб.]/Таблица11029163037445158657223303744515865727986931009223548627690104107127139151163183152947637995111127143159175183450668298114130146545561577589605619635651667683700717163247627792107122137152182197182212227242257287302317[План, руб.]-100%</f>
        <v>-0.22545821782178221</v>
      </c>
      <c r="E7" s="11">
        <f>Таблица11029163037445158657223303744515865727986931009223548627690104107127139151163183152947637995111127143159175183450668298114130146545561577589605619635651667683700717163247627792107122137152182197182212227242257287302317[Факт, руб.]-Таблица11029163037445158657223303744515865727986931009223548627690104107127139151163183152947637995111127143159175183450668298114130146545561577589605619635651667683700717163247627792107122137152182197182212227242257287302317[План, руб.]</f>
        <v>-113856.40000000002</v>
      </c>
      <c r="F7" s="9">
        <f>B24</f>
        <v>467007</v>
      </c>
      <c r="G7" s="185"/>
    </row>
    <row r="8" spans="1:7" x14ac:dyDescent="0.2">
      <c r="A8" s="12"/>
      <c r="B8" s="13"/>
      <c r="C8" s="13"/>
      <c r="D8" s="14"/>
      <c r="F8" s="15"/>
      <c r="G8" s="16"/>
    </row>
    <row r="9" spans="1:7" ht="15" customHeight="1" x14ac:dyDescent="0.2">
      <c r="A9" s="12"/>
      <c r="B9" s="13"/>
      <c r="C9" s="13"/>
      <c r="D9" s="14"/>
      <c r="F9" s="17"/>
    </row>
    <row r="10" spans="1:7" ht="15" x14ac:dyDescent="0.25">
      <c r="A10" s="386" t="s">
        <v>11</v>
      </c>
      <c r="B10" s="386"/>
      <c r="C10" s="386"/>
      <c r="D10" s="386"/>
      <c r="F10" s="17"/>
    </row>
    <row r="11" spans="1:7" s="6" customFormat="1" outlineLevel="1" x14ac:dyDescent="0.2">
      <c r="A11" s="18" t="s">
        <v>4</v>
      </c>
      <c r="B11" s="19" t="s">
        <v>12</v>
      </c>
      <c r="C11" s="19" t="s">
        <v>13</v>
      </c>
      <c r="D11" s="19" t="s">
        <v>7</v>
      </c>
      <c r="E11" s="19" t="s">
        <v>8</v>
      </c>
      <c r="F11" s="20"/>
    </row>
    <row r="12" spans="1:7" outlineLevel="1" x14ac:dyDescent="0.2">
      <c r="A12" s="7" t="s">
        <v>94</v>
      </c>
      <c r="B12" s="8">
        <f>SUM(C22:C25)</f>
        <v>1910000</v>
      </c>
      <c r="C12" s="8">
        <f>B34</f>
        <v>1812877.12</v>
      </c>
      <c r="D12" s="21">
        <f>C12/B12-100%</f>
        <v>-5.0849675392670046E-2</v>
      </c>
      <c r="E12" s="8">
        <f>C12-B12</f>
        <v>-97122.879999999888</v>
      </c>
      <c r="F12" s="17"/>
      <c r="G12" s="22"/>
    </row>
    <row r="13" spans="1:7" x14ac:dyDescent="0.2">
      <c r="A13" s="12"/>
      <c r="B13" s="368"/>
      <c r="C13" s="13"/>
      <c r="D13" s="14"/>
      <c r="F13" s="17"/>
    </row>
    <row r="14" spans="1:7" x14ac:dyDescent="0.2">
      <c r="A14" s="13"/>
      <c r="B14" s="13"/>
      <c r="C14" s="13"/>
      <c r="D14" s="14"/>
      <c r="F14" s="17"/>
      <c r="G14" s="22"/>
    </row>
    <row r="15" spans="1:7" ht="15" x14ac:dyDescent="0.25">
      <c r="A15" s="386" t="s">
        <v>2384</v>
      </c>
      <c r="B15" s="386"/>
      <c r="C15" s="386"/>
      <c r="D15" s="386"/>
      <c r="F15" s="17"/>
    </row>
    <row r="16" spans="1:7" s="6" customFormat="1" outlineLevel="1" x14ac:dyDescent="0.2">
      <c r="A16" s="5" t="s">
        <v>4</v>
      </c>
      <c r="B16" s="5" t="s">
        <v>93</v>
      </c>
      <c r="C16" s="5" t="s">
        <v>1037</v>
      </c>
      <c r="D16" s="5" t="s">
        <v>2334</v>
      </c>
      <c r="E16" s="5" t="s">
        <v>17</v>
      </c>
      <c r="F16" s="23"/>
    </row>
    <row r="17" spans="1:5" outlineLevel="1" x14ac:dyDescent="0.2">
      <c r="A17" s="7" t="s">
        <v>94</v>
      </c>
      <c r="B17" s="8">
        <v>0</v>
      </c>
      <c r="C17" s="8">
        <v>490876</v>
      </c>
      <c r="D17" s="8">
        <f>B34</f>
        <v>1812877.12</v>
      </c>
      <c r="E17" s="21">
        <f>Таблица211301731384552596673243138455259667380879410110233649637791105109128140152164184163248648096112128144160176193551678399115131147546562578590606620636652668684701718173348637893108123138153183198183213228243258288303318[Профит ФГ 26-27]/Таблица211301731384552596673243138455259667380879410110233649637791105109128140152164184163248648096112128144160176193551678399115131147546562578590606620636652668684701718173348637893108123138153183198183213228243258288303318[Профит ФГ 25-26]</f>
        <v>3.6931467824868198</v>
      </c>
    </row>
    <row r="20" spans="1:5" ht="15" x14ac:dyDescent="0.25">
      <c r="A20" s="386" t="s">
        <v>18</v>
      </c>
      <c r="B20" s="386"/>
      <c r="C20" s="386"/>
      <c r="D20" s="386"/>
    </row>
    <row r="21" spans="1:5" outlineLevel="1" x14ac:dyDescent="0.2">
      <c r="A21" s="25" t="s">
        <v>19</v>
      </c>
      <c r="B21" s="26" t="s">
        <v>20</v>
      </c>
      <c r="C21" s="26" t="s">
        <v>21</v>
      </c>
      <c r="D21" s="25" t="s">
        <v>22</v>
      </c>
    </row>
    <row r="22" spans="1:5" outlineLevel="1" x14ac:dyDescent="0.2">
      <c r="A22" s="30" t="s">
        <v>23</v>
      </c>
      <c r="B22" s="31">
        <v>105780.6</v>
      </c>
      <c r="C22" s="31">
        <v>450000</v>
      </c>
      <c r="D22" s="32">
        <f>Таблица4936997167333146617691106121136151166196211196226241256271301316331[[#This Row],[Профит]]/Таблица4936997167333146617691106121136151166196211196226241256271301316331[[#This Row],[План]]</f>
        <v>0.235068</v>
      </c>
    </row>
    <row r="23" spans="1:5" outlineLevel="1" x14ac:dyDescent="0.2">
      <c r="A23" s="30" t="s">
        <v>25</v>
      </c>
      <c r="B23" s="135">
        <v>848945.92</v>
      </c>
      <c r="C23" s="31">
        <v>450000</v>
      </c>
      <c r="D23" s="32">
        <f>Таблица4936997167333146617691106121136151166196211196226241256271301316331[[#This Row],[Профит]]/Таблица4936997167333146617691106121136151166196211196226241256271301316331[[#This Row],[План]]</f>
        <v>1.886546488888889</v>
      </c>
    </row>
    <row r="24" spans="1:5" outlineLevel="1" x14ac:dyDescent="0.2">
      <c r="A24" s="30" t="s">
        <v>26</v>
      </c>
      <c r="B24" s="135">
        <v>467007</v>
      </c>
      <c r="C24" s="31">
        <v>505000</v>
      </c>
      <c r="D24" s="32">
        <f>Таблица4936997167333146617691106121136151166196211196226241256271301316331[[#This Row],[Профит]]/Таблица4936997167333146617691106121136151166196211196226241256271301316331[[#This Row],[План]]</f>
        <v>0.92476633663366337</v>
      </c>
    </row>
    <row r="25" spans="1:5" outlineLevel="1" x14ac:dyDescent="0.2">
      <c r="A25" s="30" t="s">
        <v>27</v>
      </c>
      <c r="B25" s="135">
        <v>391143.6</v>
      </c>
      <c r="C25" s="31">
        <v>505000</v>
      </c>
      <c r="D25" s="32">
        <f>Таблица4936997167333146617691106121136151166196211196226241256271301316331[[#This Row],[Профит]]/Таблица4936997167333146617691106121136151166196211196226241256271301316331[[#This Row],[План]]</f>
        <v>0.77454178217821779</v>
      </c>
    </row>
    <row r="26" spans="1:5" outlineLevel="1" x14ac:dyDescent="0.2">
      <c r="A26" s="30" t="s">
        <v>28</v>
      </c>
      <c r="B26" s="135"/>
      <c r="C26" s="31">
        <v>560000</v>
      </c>
      <c r="D26" s="32">
        <f>Таблица4936997167333146617691106121136151166196211196226241256271301316331[[#This Row],[Профит]]/Таблица4936997167333146617691106121136151166196211196226241256271301316331[[#This Row],[План]]</f>
        <v>0</v>
      </c>
    </row>
    <row r="27" spans="1:5" outlineLevel="1" x14ac:dyDescent="0.2">
      <c r="A27" s="30" t="s">
        <v>29</v>
      </c>
      <c r="B27" s="135"/>
      <c r="C27" s="31">
        <v>560000</v>
      </c>
      <c r="D27" s="32">
        <f>Таблица4936997167333146617691106121136151166196211196226241256271301316331[[#This Row],[Профит]]/Таблица4936997167333146617691106121136151166196211196226241256271301316331[[#This Row],[План]]</f>
        <v>0</v>
      </c>
    </row>
    <row r="28" spans="1:5" outlineLevel="1" x14ac:dyDescent="0.2">
      <c r="A28" s="30" t="s">
        <v>30</v>
      </c>
      <c r="B28" s="135"/>
      <c r="C28" s="31">
        <v>620000</v>
      </c>
      <c r="D28" s="32">
        <f>Таблица4936997167333146617691106121136151166196211196226241256271301316331[[#This Row],[Профит]]/Таблица4936997167333146617691106121136151166196211196226241256271301316331[[#This Row],[План]]</f>
        <v>0</v>
      </c>
    </row>
    <row r="29" spans="1:5" outlineLevel="1" x14ac:dyDescent="0.2">
      <c r="A29" s="30" t="s">
        <v>31</v>
      </c>
      <c r="B29" s="31"/>
      <c r="C29" s="31">
        <v>675000</v>
      </c>
      <c r="D29" s="32">
        <f>Таблица4936997167333146617691106121136151166196211196226241256271301316331[[#This Row],[Профит]]/Таблица4936997167333146617691106121136151166196211196226241256271301316331[[#This Row],[План]]</f>
        <v>0</v>
      </c>
    </row>
    <row r="30" spans="1:5" outlineLevel="1" x14ac:dyDescent="0.2">
      <c r="A30" s="30" t="s">
        <v>32</v>
      </c>
      <c r="B30" s="34"/>
      <c r="C30" s="34">
        <v>785000</v>
      </c>
      <c r="D30" s="32">
        <f>Таблица4936997167333146617691106121136151166196211196226241256271301316331[[#This Row],[Профит]]/Таблица4936997167333146617691106121136151166196211196226241256271301316331[[#This Row],[План]]</f>
        <v>0</v>
      </c>
    </row>
    <row r="31" spans="1:5" outlineLevel="1" x14ac:dyDescent="0.2">
      <c r="A31" s="30" t="s">
        <v>33</v>
      </c>
      <c r="B31" s="34"/>
      <c r="C31" s="34">
        <v>505000</v>
      </c>
      <c r="D31" s="32">
        <f>Таблица4936997167333146617691106121136151166196211196226241256271301316331[[#This Row],[Профит]]/Таблица4936997167333146617691106121136151166196211196226241256271301316331[[#This Row],[План]]</f>
        <v>0</v>
      </c>
    </row>
    <row r="32" spans="1:5" outlineLevel="1" x14ac:dyDescent="0.2">
      <c r="A32" s="30" t="s">
        <v>34</v>
      </c>
      <c r="B32" s="34"/>
      <c r="C32" s="34">
        <v>560000</v>
      </c>
      <c r="D32" s="32">
        <f>Таблица4936997167333146617691106121136151166196211196226241256271301316331[[#This Row],[Профит]]/Таблица4936997167333146617691106121136151166196211196226241256271301316331[[#This Row],[План]]</f>
        <v>0</v>
      </c>
    </row>
    <row r="33" spans="1:8" outlineLevel="1" x14ac:dyDescent="0.2">
      <c r="A33" s="33" t="s">
        <v>35</v>
      </c>
      <c r="B33" s="34"/>
      <c r="C33" s="34">
        <v>560000</v>
      </c>
      <c r="D33" s="32">
        <f>Таблица4936997167333146617691106121136151166196211196226241256271301316331[[#This Row],[Профит]]/Таблица4936997167333146617691106121136151166196211196226241256271301316331[[#This Row],[План]]</f>
        <v>0</v>
      </c>
      <c r="H33" s="35"/>
    </row>
    <row r="34" spans="1:8" ht="15" outlineLevel="1" x14ac:dyDescent="0.25">
      <c r="A34" s="36" t="s">
        <v>36</v>
      </c>
      <c r="B34" s="37">
        <f>SUM(B22:B33)</f>
        <v>1812877.12</v>
      </c>
      <c r="C34" s="38">
        <f>SUM(C22:C33)</f>
        <v>6735000</v>
      </c>
      <c r="D34" s="39"/>
    </row>
    <row r="35" spans="1:8" outlineLevel="1" x14ac:dyDescent="0.2">
      <c r="A35" s="41" t="s">
        <v>37</v>
      </c>
      <c r="B35" s="42">
        <f>AVERAGE(B22:B33)</f>
        <v>453219.28</v>
      </c>
      <c r="C35" s="42">
        <f>AVERAGE(C22:C33)</f>
        <v>561250</v>
      </c>
      <c r="D35" s="367">
        <f>B35/C35</f>
        <v>0.8075176481069043</v>
      </c>
    </row>
    <row r="38" spans="1:8" ht="15" x14ac:dyDescent="0.25">
      <c r="A38" s="386" t="s">
        <v>38</v>
      </c>
      <c r="B38" s="386"/>
      <c r="C38" s="386"/>
      <c r="D38" s="386"/>
    </row>
    <row r="39" spans="1:8" s="45" customFormat="1" outlineLevel="1" x14ac:dyDescent="0.2">
      <c r="A39" s="44" t="s">
        <v>39</v>
      </c>
      <c r="B39" s="44" t="s">
        <v>40</v>
      </c>
      <c r="C39" s="44" t="s">
        <v>41</v>
      </c>
      <c r="D39" s="44" t="s">
        <v>42</v>
      </c>
      <c r="E39" s="44" t="s">
        <v>43</v>
      </c>
      <c r="F39" s="2"/>
    </row>
    <row r="40" spans="1:8" ht="15" outlineLevel="1" x14ac:dyDescent="0.25">
      <c r="A40" s="8">
        <f>B25</f>
        <v>391143.6</v>
      </c>
      <c r="B40" s="46">
        <f>50000</f>
        <v>50000</v>
      </c>
      <c r="C40" s="136">
        <f>A40*0.1*0.9</f>
        <v>35202.923999999999</v>
      </c>
      <c r="D40" s="361">
        <f>SUM(G134:G136)</f>
        <v>11500</v>
      </c>
      <c r="E40" s="48">
        <v>0</v>
      </c>
    </row>
    <row r="41" spans="1:8" outlineLevel="1" x14ac:dyDescent="0.2">
      <c r="A41" s="49" t="s">
        <v>44</v>
      </c>
      <c r="B41" s="137">
        <f>Таблица294459759110712313915517118730466278941101261421585565725886026166306466626786947117282843587388103118133148163193208193223238253268298313328[Оклад]+Таблица294459759110712313915517118730466278941101261421585565725886026166306466626786947117282843587388103118133148163193208193223238253268298313328[Премия]+Таблица294459759110712313915517118730466278941101261421585565725886026166306466626786947117282843587388103118133148163193208193223238253268298313328[Штрафы]+Таблица294459759110712313915517118730466278941101261421585565725886026166306466626786947117282843587388103118133148163193208193223238253268298313328[Доплата за Задачи]</f>
        <v>96702.923999999999</v>
      </c>
      <c r="C41" s="50"/>
    </row>
    <row r="42" spans="1:8" x14ac:dyDescent="0.2">
      <c r="A42" s="40"/>
      <c r="B42" s="40"/>
    </row>
    <row r="43" spans="1:8" x14ac:dyDescent="0.2">
      <c r="A43" s="51"/>
      <c r="B43" s="51"/>
      <c r="C43" s="51"/>
      <c r="D43" s="52"/>
      <c r="E43" s="53"/>
      <c r="F43" s="53"/>
      <c r="H43" s="22"/>
    </row>
    <row r="44" spans="1:8" ht="15" x14ac:dyDescent="0.25">
      <c r="A44" s="386" t="s">
        <v>45</v>
      </c>
      <c r="B44" s="386"/>
      <c r="C44" s="386"/>
      <c r="D44" s="386"/>
      <c r="E44" s="53"/>
      <c r="F44" s="53"/>
      <c r="H44" s="22"/>
    </row>
    <row r="45" spans="1:8" outlineLevel="1" x14ac:dyDescent="0.2">
      <c r="A45" s="5" t="s">
        <v>46</v>
      </c>
      <c r="B45" s="5" t="s">
        <v>47</v>
      </c>
      <c r="C45" s="5" t="s">
        <v>48</v>
      </c>
      <c r="D45" s="54" t="s">
        <v>49</v>
      </c>
      <c r="G45" s="40"/>
    </row>
    <row r="46" spans="1:8" ht="24.95" customHeight="1" outlineLevel="1" x14ac:dyDescent="0.2">
      <c r="A46" s="401" t="s">
        <v>2353</v>
      </c>
      <c r="B46" s="401">
        <v>1297250</v>
      </c>
      <c r="C46" s="401">
        <v>1297250</v>
      </c>
      <c r="D46" s="401">
        <v>100</v>
      </c>
      <c r="G46" s="40"/>
    </row>
    <row r="47" spans="1:8" ht="24.95" customHeight="1" outlineLevel="1" x14ac:dyDescent="0.2">
      <c r="A47" s="401" t="s">
        <v>2171</v>
      </c>
      <c r="B47" s="401">
        <v>448022</v>
      </c>
      <c r="C47" s="401">
        <v>448022</v>
      </c>
      <c r="D47" s="401">
        <v>100</v>
      </c>
      <c r="G47" s="40"/>
    </row>
    <row r="48" spans="1:8" ht="24.95" customHeight="1" outlineLevel="1" x14ac:dyDescent="0.2">
      <c r="A48" s="401" t="s">
        <v>1029</v>
      </c>
      <c r="B48" s="401">
        <v>221597</v>
      </c>
      <c r="C48" s="401">
        <v>221597</v>
      </c>
      <c r="D48" s="401">
        <v>100</v>
      </c>
      <c r="G48" s="40"/>
    </row>
    <row r="49" spans="1:8" ht="24.95" customHeight="1" outlineLevel="1" x14ac:dyDescent="0.2">
      <c r="A49" s="401" t="s">
        <v>2134</v>
      </c>
      <c r="B49" s="401">
        <v>0</v>
      </c>
      <c r="C49" s="401">
        <v>0</v>
      </c>
      <c r="D49" s="401">
        <v>100</v>
      </c>
      <c r="G49" s="40"/>
    </row>
    <row r="50" spans="1:8" ht="24.95" customHeight="1" outlineLevel="1" x14ac:dyDescent="0.2">
      <c r="A50" s="401" t="s">
        <v>1838</v>
      </c>
      <c r="B50" s="401">
        <v>0</v>
      </c>
      <c r="C50" s="401">
        <v>4450170</v>
      </c>
      <c r="D50" s="401">
        <v>0</v>
      </c>
      <c r="G50" s="40"/>
    </row>
    <row r="51" spans="1:8" ht="24.95" customHeight="1" outlineLevel="1" x14ac:dyDescent="0.2">
      <c r="A51" s="401" t="s">
        <v>1729</v>
      </c>
      <c r="B51" s="401">
        <v>0</v>
      </c>
      <c r="C51" s="401">
        <v>360300</v>
      </c>
      <c r="D51" s="401">
        <v>0</v>
      </c>
      <c r="G51" s="40"/>
    </row>
    <row r="52" spans="1:8" ht="24.95" customHeight="1" outlineLevel="1" x14ac:dyDescent="0.2">
      <c r="A52" s="401" t="s">
        <v>1154</v>
      </c>
      <c r="B52" s="401">
        <v>0</v>
      </c>
      <c r="C52" s="401">
        <v>48596</v>
      </c>
      <c r="D52" s="401">
        <v>0</v>
      </c>
      <c r="G52" s="40"/>
    </row>
    <row r="53" spans="1:8" outlineLevel="1" x14ac:dyDescent="0.2">
      <c r="A53" s="63"/>
      <c r="B53" s="64" t="s">
        <v>50</v>
      </c>
      <c r="C53" s="65">
        <f>SUM(Таблица546243318323946536067742532394653606774818895102112437506478921061101291411531651851733496581971131291451611772036526884100116132148547563579593607621637653669685702719193449647994109124139154184199184214229244259289304319[Общая сумма долга])</f>
        <v>6825935</v>
      </c>
      <c r="D53" s="66">
        <v>0.1066</v>
      </c>
      <c r="E53" s="67" t="s">
        <v>51</v>
      </c>
      <c r="F53" s="51"/>
      <c r="G53" s="51"/>
      <c r="H53" s="51"/>
    </row>
    <row r="54" spans="1:8" outlineLevel="1" x14ac:dyDescent="0.2">
      <c r="A54" s="63"/>
      <c r="B54" s="64"/>
      <c r="C54" s="65"/>
      <c r="D54" s="51"/>
      <c r="E54" s="51"/>
      <c r="F54" s="51"/>
      <c r="G54" s="51"/>
      <c r="H54" s="51"/>
    </row>
    <row r="55" spans="1:8" x14ac:dyDescent="0.2">
      <c r="A55" s="63"/>
      <c r="B55" s="51"/>
      <c r="C55" s="51"/>
      <c r="D55" s="52"/>
      <c r="E55" s="51"/>
      <c r="F55" s="53"/>
      <c r="G55" s="51"/>
      <c r="H55" s="68"/>
    </row>
    <row r="56" spans="1:8" x14ac:dyDescent="0.2">
      <c r="A56" s="63"/>
      <c r="B56" s="51"/>
      <c r="C56" s="51"/>
      <c r="D56" s="52"/>
      <c r="E56" s="51"/>
      <c r="F56" s="53"/>
      <c r="G56" s="51"/>
      <c r="H56" s="68"/>
    </row>
    <row r="57" spans="1:8" ht="15" x14ac:dyDescent="0.25">
      <c r="A57" s="387" t="s">
        <v>52</v>
      </c>
      <c r="B57" s="387"/>
      <c r="C57" s="387"/>
      <c r="D57" s="387"/>
      <c r="E57" s="53"/>
      <c r="F57" s="53"/>
      <c r="G57" s="51"/>
    </row>
    <row r="58" spans="1:8" s="6" customFormat="1" outlineLevel="1" x14ac:dyDescent="0.2">
      <c r="A58" s="18" t="s">
        <v>53</v>
      </c>
      <c r="B58" s="19" t="s">
        <v>54</v>
      </c>
      <c r="C58" s="19" t="s">
        <v>55</v>
      </c>
      <c r="D58" s="69" t="s">
        <v>56</v>
      </c>
      <c r="E58" s="69" t="s">
        <v>4</v>
      </c>
      <c r="F58" s="70" t="s">
        <v>57</v>
      </c>
      <c r="G58" s="2"/>
    </row>
    <row r="59" spans="1:8" s="6" customFormat="1" ht="26.25" customHeight="1" outlineLevel="1" x14ac:dyDescent="0.2">
      <c r="A59" s="401" t="s">
        <v>2408</v>
      </c>
      <c r="B59" s="401">
        <v>2669000</v>
      </c>
      <c r="C59" s="401">
        <v>256700</v>
      </c>
      <c r="D59" s="401">
        <v>9.6</v>
      </c>
      <c r="E59" s="177" t="s">
        <v>94</v>
      </c>
      <c r="F59" s="401" t="s">
        <v>102</v>
      </c>
      <c r="G59" s="2"/>
    </row>
    <row r="60" spans="1:8" s="6" customFormat="1" ht="26.25" customHeight="1" outlineLevel="1" x14ac:dyDescent="0.2">
      <c r="A60" s="401" t="s">
        <v>1029</v>
      </c>
      <c r="B60" s="401">
        <v>221597</v>
      </c>
      <c r="C60" s="401">
        <v>72951</v>
      </c>
      <c r="D60" s="401">
        <v>32.9</v>
      </c>
      <c r="E60" s="177" t="s">
        <v>94</v>
      </c>
      <c r="F60" s="401" t="s">
        <v>282</v>
      </c>
      <c r="G60" s="2"/>
    </row>
    <row r="61" spans="1:8" s="6" customFormat="1" ht="26.25" customHeight="1" outlineLevel="1" x14ac:dyDescent="0.2">
      <c r="A61" s="401" t="s">
        <v>1154</v>
      </c>
      <c r="B61" s="401">
        <v>0</v>
      </c>
      <c r="C61" s="401">
        <v>39832</v>
      </c>
      <c r="D61" s="401">
        <v>0</v>
      </c>
      <c r="E61" s="177" t="s">
        <v>94</v>
      </c>
      <c r="F61" s="401" t="s">
        <v>2474</v>
      </c>
      <c r="G61" s="2"/>
    </row>
    <row r="62" spans="1:8" s="6" customFormat="1" ht="26.25" customHeight="1" outlineLevel="1" x14ac:dyDescent="0.2">
      <c r="A62" s="401" t="s">
        <v>1729</v>
      </c>
      <c r="B62" s="401">
        <v>346300</v>
      </c>
      <c r="C62" s="401">
        <v>24760</v>
      </c>
      <c r="D62" s="401">
        <v>7.1</v>
      </c>
      <c r="E62" s="177" t="s">
        <v>94</v>
      </c>
      <c r="F62" s="401" t="s">
        <v>2475</v>
      </c>
      <c r="G62" s="2"/>
    </row>
    <row r="63" spans="1:8" s="6" customFormat="1" ht="26.25" customHeight="1" outlineLevel="1" x14ac:dyDescent="0.2">
      <c r="A63" s="401" t="s">
        <v>2250</v>
      </c>
      <c r="B63" s="401">
        <v>119480</v>
      </c>
      <c r="C63" s="401">
        <v>22680</v>
      </c>
      <c r="D63" s="401">
        <v>19</v>
      </c>
      <c r="E63" s="177" t="s">
        <v>94</v>
      </c>
      <c r="F63" s="401" t="s">
        <v>2239</v>
      </c>
      <c r="G63" s="2"/>
    </row>
    <row r="64" spans="1:8" s="6" customFormat="1" ht="26.25" customHeight="1" outlineLevel="1" x14ac:dyDescent="0.2">
      <c r="A64" s="401" t="s">
        <v>2458</v>
      </c>
      <c r="B64" s="401">
        <v>79650</v>
      </c>
      <c r="C64" s="401">
        <v>9775</v>
      </c>
      <c r="D64" s="401">
        <v>12.3</v>
      </c>
      <c r="E64" s="177" t="s">
        <v>94</v>
      </c>
      <c r="F64" s="401" t="s">
        <v>184</v>
      </c>
      <c r="G64" s="2"/>
    </row>
    <row r="65" spans="1:8" s="6" customFormat="1" ht="26.25" customHeight="1" outlineLevel="1" x14ac:dyDescent="0.2">
      <c r="A65" s="401" t="s">
        <v>1254</v>
      </c>
      <c r="B65" s="401">
        <v>93396</v>
      </c>
      <c r="C65" s="401">
        <v>3783</v>
      </c>
      <c r="D65" s="401">
        <v>4.0999999999999996</v>
      </c>
      <c r="E65" s="177" t="s">
        <v>94</v>
      </c>
      <c r="F65" s="401" t="s">
        <v>282</v>
      </c>
      <c r="G65" s="2"/>
    </row>
    <row r="66" spans="1:8" s="6" customFormat="1" ht="26.25" customHeight="1" outlineLevel="1" x14ac:dyDescent="0.2">
      <c r="A66" s="401" t="s">
        <v>1730</v>
      </c>
      <c r="B66" s="401">
        <v>84799</v>
      </c>
      <c r="C66" s="401">
        <v>2903</v>
      </c>
      <c r="D66" s="401">
        <v>3.4</v>
      </c>
      <c r="E66" s="177" t="s">
        <v>94</v>
      </c>
      <c r="F66" s="401" t="s">
        <v>2476</v>
      </c>
      <c r="G66" s="2"/>
    </row>
    <row r="67" spans="1:8" s="6" customFormat="1" ht="26.25" customHeight="1" outlineLevel="1" x14ac:dyDescent="0.2">
      <c r="A67" s="401" t="s">
        <v>2473</v>
      </c>
      <c r="B67" s="401">
        <v>8592</v>
      </c>
      <c r="C67" s="401">
        <v>0</v>
      </c>
      <c r="D67" s="401">
        <v>0</v>
      </c>
      <c r="E67" s="177" t="s">
        <v>94</v>
      </c>
      <c r="F67" s="401" t="s">
        <v>251</v>
      </c>
      <c r="G67" s="2"/>
    </row>
    <row r="68" spans="1:8" s="6" customFormat="1" ht="26.25" customHeight="1" outlineLevel="1" x14ac:dyDescent="0.2">
      <c r="A68" s="401" t="s">
        <v>2353</v>
      </c>
      <c r="B68" s="401">
        <v>0</v>
      </c>
      <c r="C68" s="401">
        <v>-6100</v>
      </c>
      <c r="D68" s="401">
        <v>0</v>
      </c>
      <c r="E68" s="177" t="s">
        <v>94</v>
      </c>
      <c r="F68" s="401"/>
      <c r="G68" s="2"/>
    </row>
    <row r="69" spans="1:8" s="6" customFormat="1" ht="26.25" customHeight="1" outlineLevel="1" x14ac:dyDescent="0.2">
      <c r="A69" s="401" t="s">
        <v>2134</v>
      </c>
      <c r="B69" s="401">
        <v>0</v>
      </c>
      <c r="C69" s="401">
        <v>-36140</v>
      </c>
      <c r="D69" s="401">
        <v>0</v>
      </c>
      <c r="E69" s="177" t="s">
        <v>94</v>
      </c>
      <c r="F69" s="401"/>
      <c r="G69" s="2"/>
    </row>
    <row r="70" spans="1:8" x14ac:dyDescent="0.2">
      <c r="A70" s="51"/>
      <c r="B70" s="51"/>
      <c r="C70" s="51"/>
      <c r="D70" s="52"/>
      <c r="E70" s="51"/>
      <c r="F70" s="53"/>
      <c r="G70" s="51"/>
    </row>
    <row r="71" spans="1:8" ht="15" x14ac:dyDescent="0.25">
      <c r="A71" s="386" t="s">
        <v>58</v>
      </c>
      <c r="B71" s="386"/>
      <c r="C71" s="386"/>
      <c r="D71" s="386"/>
      <c r="E71" s="79"/>
      <c r="F71" s="79"/>
    </row>
    <row r="72" spans="1:8" ht="15" customHeight="1" outlineLevel="1" x14ac:dyDescent="0.2">
      <c r="A72" s="80">
        <v>46235</v>
      </c>
      <c r="B72" s="81" t="s">
        <v>21</v>
      </c>
      <c r="C72" s="81" t="s">
        <v>59</v>
      </c>
      <c r="D72" s="81" t="s">
        <v>60</v>
      </c>
      <c r="E72" s="81" t="s">
        <v>61</v>
      </c>
      <c r="F72" s="81" t="s">
        <v>62</v>
      </c>
      <c r="G72" s="81" t="s">
        <v>63</v>
      </c>
      <c r="H72" s="81" t="s">
        <v>64</v>
      </c>
    </row>
    <row r="73" spans="1:8" s="394" customFormat="1" ht="15" outlineLevel="1" x14ac:dyDescent="0.25">
      <c r="A73" s="87"/>
      <c r="B73" s="396">
        <v>560000</v>
      </c>
      <c r="C73" s="396">
        <v>0</v>
      </c>
      <c r="D73" s="396">
        <v>0</v>
      </c>
      <c r="E73" s="396">
        <v>517000</v>
      </c>
      <c r="F73" s="396">
        <v>819000</v>
      </c>
      <c r="G73" s="397">
        <f>C73+D73+E73*0.5+F73*0.05</f>
        <v>299450</v>
      </c>
      <c r="H73" s="398">
        <f>Таблица9132738193340475461687582899682891101171241311381451521591661731801871945121926334047546168758289961031101171241311381451521591661741821902052131241361481601721922440627894110126142158174190334965819711312914516155957559160361763164766367969571329[[#This Row],[Столбец6]]/Таблица9132738193340475461687582899682891101171241311381451521591661731801871945121926334047546168758289961031101171241311381451521591661741821902052131241361481601721922440627894110126142158174190334965819711312914516155957559160361763164766367969571329[[#This Row],[Столбец1]]</f>
        <v>0.53473214285714288</v>
      </c>
    </row>
    <row r="74" spans="1:8" outlineLevel="1" x14ac:dyDescent="0.2">
      <c r="A74" s="40"/>
      <c r="B74" s="40"/>
      <c r="C74" s="369"/>
      <c r="D74" s="40"/>
      <c r="E74" s="40"/>
      <c r="F74" s="40"/>
      <c r="G74" s="40"/>
      <c r="H74" s="86"/>
    </row>
    <row r="75" spans="1:8" outlineLevel="1" x14ac:dyDescent="0.2">
      <c r="A75" s="80">
        <v>46266</v>
      </c>
      <c r="B75" s="81" t="s">
        <v>21</v>
      </c>
      <c r="C75" s="81" t="s">
        <v>59</v>
      </c>
      <c r="D75" s="81" t="s">
        <v>60</v>
      </c>
      <c r="E75" s="81" t="s">
        <v>61</v>
      </c>
      <c r="F75" s="81" t="s">
        <v>62</v>
      </c>
      <c r="G75" s="81" t="s">
        <v>63</v>
      </c>
      <c r="H75" s="81" t="s">
        <v>64</v>
      </c>
    </row>
    <row r="76" spans="1:8" s="394" customFormat="1" ht="15" customHeight="1" outlineLevel="1" x14ac:dyDescent="0.25">
      <c r="A76" s="87"/>
      <c r="B76" s="396">
        <v>560000</v>
      </c>
      <c r="C76" s="396">
        <v>0</v>
      </c>
      <c r="D76" s="396">
        <v>0</v>
      </c>
      <c r="E76" s="396">
        <v>659000</v>
      </c>
      <c r="F76" s="396">
        <v>210000</v>
      </c>
      <c r="G76" s="397">
        <f>C76+D76+E76*0.5+F76*0.05</f>
        <v>340000</v>
      </c>
      <c r="H76" s="398">
        <f>Таблица9132738193340475461687582899682891101171241311381451521591661731801871945121926334047546168758289961031101171241311381451521591661741821902052131191251371491611731932541567288104120136152168184274359759110712313915555356958559961362764365967569325[[#This Row],[Столбец6]]/Таблица9132738193340475461687582899682891101171241311381451521591661731801871945121926334047546168758289961031101171241311381451521591661741821902052131191251371491611731932541567288104120136152168184274359759110712313915555356958559961362764365967569325[[#This Row],[Столбец1]]</f>
        <v>0.6071428571428571</v>
      </c>
    </row>
    <row r="77" spans="1:8" x14ac:dyDescent="0.2">
      <c r="A77" s="63"/>
      <c r="B77" s="51"/>
      <c r="C77" s="51"/>
      <c r="D77" s="52"/>
      <c r="E77" s="51"/>
    </row>
    <row r="78" spans="1:8" x14ac:dyDescent="0.2">
      <c r="A78" s="51"/>
      <c r="B78" s="51"/>
      <c r="C78" s="51"/>
      <c r="D78" s="52"/>
      <c r="E78" s="51"/>
    </row>
    <row r="79" spans="1:8" ht="15.75" x14ac:dyDescent="0.25">
      <c r="A79" s="88" t="s">
        <v>65</v>
      </c>
      <c r="B79" s="89"/>
    </row>
    <row r="80" spans="1:8" s="394" customFormat="1" ht="15" x14ac:dyDescent="0.25">
      <c r="A80" s="390" t="s">
        <v>66</v>
      </c>
      <c r="B80" s="390"/>
      <c r="C80" s="390"/>
      <c r="D80" s="390"/>
      <c r="E80" s="385"/>
      <c r="F80" s="385"/>
      <c r="G80" s="399">
        <f>SUM(Таблица4211720344148556269768390978390111118125132139146153160167174181188195613202734414855626976839097104111118125132139146153160167175183198206214123135147159171191233955718710311913515116718326425874901061221381545525685845986126266426586746907077324[Сумма, тыс. руб.])*1000</f>
        <v>19387000</v>
      </c>
      <c r="H80" s="400"/>
    </row>
    <row r="81" spans="1:10" outlineLevel="1" x14ac:dyDescent="0.2">
      <c r="A81" s="91" t="s">
        <v>67</v>
      </c>
      <c r="B81" s="91" t="s">
        <v>53</v>
      </c>
      <c r="C81" s="91" t="s">
        <v>4</v>
      </c>
      <c r="D81" s="91" t="s">
        <v>68</v>
      </c>
      <c r="E81" s="91" t="s">
        <v>69</v>
      </c>
      <c r="F81" s="91" t="s">
        <v>70</v>
      </c>
      <c r="G81" s="91" t="s">
        <v>71</v>
      </c>
      <c r="H81" s="91" t="s">
        <v>72</v>
      </c>
      <c r="I81" s="276"/>
      <c r="J81" s="276"/>
    </row>
    <row r="82" spans="1:10" ht="15" customHeight="1" outlineLevel="1" x14ac:dyDescent="0.2">
      <c r="A82" s="401" t="s">
        <v>2477</v>
      </c>
      <c r="B82" s="401" t="s">
        <v>2215</v>
      </c>
      <c r="C82" s="401" t="s">
        <v>94</v>
      </c>
      <c r="D82" s="401" t="s">
        <v>73</v>
      </c>
      <c r="E82" s="401" t="s">
        <v>2478</v>
      </c>
      <c r="F82" s="401" t="s">
        <v>2479</v>
      </c>
      <c r="G82" s="401">
        <v>4831</v>
      </c>
      <c r="H82" s="401" t="s">
        <v>168</v>
      </c>
      <c r="I82" s="276"/>
      <c r="J82" s="276"/>
    </row>
    <row r="83" spans="1:10" ht="15" outlineLevel="1" x14ac:dyDescent="0.2">
      <c r="A83" s="401" t="s">
        <v>2339</v>
      </c>
      <c r="B83" s="401" t="s">
        <v>2222</v>
      </c>
      <c r="C83" s="401" t="s">
        <v>94</v>
      </c>
      <c r="D83" s="401" t="s">
        <v>73</v>
      </c>
      <c r="E83" s="401" t="s">
        <v>1844</v>
      </c>
      <c r="F83" s="401" t="s">
        <v>2479</v>
      </c>
      <c r="G83" s="401">
        <v>4383</v>
      </c>
      <c r="H83" s="401" t="s">
        <v>168</v>
      </c>
      <c r="I83" s="276"/>
      <c r="J83" s="276"/>
    </row>
    <row r="84" spans="1:10" ht="15" outlineLevel="1" x14ac:dyDescent="0.2">
      <c r="A84" s="401" t="s">
        <v>2338</v>
      </c>
      <c r="B84" s="401" t="s">
        <v>2353</v>
      </c>
      <c r="C84" s="401" t="s">
        <v>94</v>
      </c>
      <c r="D84" s="401" t="s">
        <v>73</v>
      </c>
      <c r="E84" s="401" t="s">
        <v>2359</v>
      </c>
      <c r="F84" s="401" t="s">
        <v>2479</v>
      </c>
      <c r="G84" s="401">
        <v>2516</v>
      </c>
      <c r="H84" s="401" t="s">
        <v>168</v>
      </c>
      <c r="I84" s="276"/>
      <c r="J84" s="276"/>
    </row>
    <row r="85" spans="1:10" ht="15" outlineLevel="1" x14ac:dyDescent="0.2">
      <c r="A85" s="401" t="s">
        <v>2480</v>
      </c>
      <c r="B85" s="401" t="s">
        <v>2481</v>
      </c>
      <c r="C85" s="401" t="s">
        <v>94</v>
      </c>
      <c r="D85" s="401" t="s">
        <v>73</v>
      </c>
      <c r="E85" s="401" t="s">
        <v>2482</v>
      </c>
      <c r="F85" s="401" t="s">
        <v>2479</v>
      </c>
      <c r="G85" s="401">
        <v>2404</v>
      </c>
      <c r="H85" s="401" t="s">
        <v>168</v>
      </c>
      <c r="I85" s="276"/>
      <c r="J85" s="276"/>
    </row>
    <row r="86" spans="1:10" ht="15" outlineLevel="1" x14ac:dyDescent="0.2">
      <c r="A86" s="401" t="s">
        <v>2483</v>
      </c>
      <c r="B86" s="401" t="s">
        <v>1029</v>
      </c>
      <c r="C86" s="401" t="s">
        <v>94</v>
      </c>
      <c r="D86" s="401" t="s">
        <v>73</v>
      </c>
      <c r="E86" s="401" t="s">
        <v>2484</v>
      </c>
      <c r="F86" s="401" t="s">
        <v>2479</v>
      </c>
      <c r="G86" s="401">
        <v>1473</v>
      </c>
      <c r="H86" s="401" t="s">
        <v>168</v>
      </c>
      <c r="I86" s="276"/>
      <c r="J86" s="276"/>
    </row>
    <row r="87" spans="1:10" ht="15" outlineLevel="1" x14ac:dyDescent="0.2">
      <c r="A87" s="401" t="s">
        <v>2485</v>
      </c>
      <c r="B87" s="401" t="s">
        <v>1599</v>
      </c>
      <c r="C87" s="401" t="s">
        <v>94</v>
      </c>
      <c r="D87" s="401" t="s">
        <v>73</v>
      </c>
      <c r="E87" s="401" t="s">
        <v>2486</v>
      </c>
      <c r="F87" s="401" t="s">
        <v>2479</v>
      </c>
      <c r="G87" s="401">
        <v>927</v>
      </c>
      <c r="H87" s="401" t="s">
        <v>168</v>
      </c>
      <c r="I87" s="276"/>
      <c r="J87" s="276"/>
    </row>
    <row r="88" spans="1:10" ht="15" outlineLevel="1" x14ac:dyDescent="0.2">
      <c r="A88" s="401" t="s">
        <v>2468</v>
      </c>
      <c r="B88" s="401" t="s">
        <v>2353</v>
      </c>
      <c r="C88" s="401" t="s">
        <v>94</v>
      </c>
      <c r="D88" s="401" t="s">
        <v>73</v>
      </c>
      <c r="E88" s="401" t="s">
        <v>2258</v>
      </c>
      <c r="F88" s="401" t="s">
        <v>2479</v>
      </c>
      <c r="G88" s="401">
        <v>724</v>
      </c>
      <c r="H88" s="401" t="s">
        <v>168</v>
      </c>
      <c r="I88" s="276"/>
      <c r="J88" s="276"/>
    </row>
    <row r="89" spans="1:10" ht="15" outlineLevel="1" x14ac:dyDescent="0.2">
      <c r="A89" s="401" t="s">
        <v>2192</v>
      </c>
      <c r="B89" s="401" t="s">
        <v>2216</v>
      </c>
      <c r="C89" s="401" t="s">
        <v>94</v>
      </c>
      <c r="D89" s="401" t="s">
        <v>73</v>
      </c>
      <c r="E89" s="401" t="s">
        <v>2225</v>
      </c>
      <c r="F89" s="401" t="s">
        <v>2487</v>
      </c>
      <c r="G89" s="401">
        <v>605</v>
      </c>
      <c r="H89" s="401" t="s">
        <v>280</v>
      </c>
      <c r="I89" s="276"/>
      <c r="J89" s="276"/>
    </row>
    <row r="90" spans="1:10" ht="15" outlineLevel="1" x14ac:dyDescent="0.2">
      <c r="A90" s="401" t="s">
        <v>2488</v>
      </c>
      <c r="B90" s="401" t="s">
        <v>2489</v>
      </c>
      <c r="C90" s="401" t="s">
        <v>94</v>
      </c>
      <c r="D90" s="401" t="s">
        <v>73</v>
      </c>
      <c r="E90" s="401" t="s">
        <v>2490</v>
      </c>
      <c r="F90" s="401" t="s">
        <v>2479</v>
      </c>
      <c r="G90" s="401">
        <v>575</v>
      </c>
      <c r="H90" s="401" t="s">
        <v>168</v>
      </c>
      <c r="I90" s="276"/>
      <c r="J90" s="276"/>
    </row>
    <row r="91" spans="1:10" ht="15" outlineLevel="1" x14ac:dyDescent="0.2">
      <c r="A91" s="401" t="s">
        <v>2491</v>
      </c>
      <c r="B91" s="401" t="s">
        <v>2481</v>
      </c>
      <c r="C91" s="401" t="s">
        <v>94</v>
      </c>
      <c r="D91" s="401" t="s">
        <v>73</v>
      </c>
      <c r="E91" s="401" t="s">
        <v>2492</v>
      </c>
      <c r="F91" s="401" t="s">
        <v>2487</v>
      </c>
      <c r="G91" s="401">
        <v>556</v>
      </c>
      <c r="H91" s="401" t="s">
        <v>168</v>
      </c>
      <c r="I91" s="276"/>
      <c r="J91" s="276"/>
    </row>
    <row r="92" spans="1:10" ht="15" outlineLevel="1" x14ac:dyDescent="0.2">
      <c r="A92" s="401" t="s">
        <v>2493</v>
      </c>
      <c r="B92" s="401" t="s">
        <v>1599</v>
      </c>
      <c r="C92" s="401" t="s">
        <v>94</v>
      </c>
      <c r="D92" s="401" t="s">
        <v>73</v>
      </c>
      <c r="E92" s="401" t="s">
        <v>2494</v>
      </c>
      <c r="F92" s="401" t="s">
        <v>2479</v>
      </c>
      <c r="G92" s="401">
        <v>321</v>
      </c>
      <c r="H92" s="401" t="s">
        <v>280</v>
      </c>
      <c r="I92" s="276"/>
      <c r="J92" s="276"/>
    </row>
    <row r="93" spans="1:10" ht="15" outlineLevel="1" x14ac:dyDescent="0.2">
      <c r="A93" s="401" t="s">
        <v>1600</v>
      </c>
      <c r="B93" s="401" t="s">
        <v>104</v>
      </c>
      <c r="C93" s="401" t="s">
        <v>94</v>
      </c>
      <c r="D93" s="401" t="s">
        <v>73</v>
      </c>
      <c r="E93" s="401" t="s">
        <v>1640</v>
      </c>
      <c r="F93" s="401" t="s">
        <v>2479</v>
      </c>
      <c r="G93" s="401">
        <v>72</v>
      </c>
      <c r="H93" s="401" t="s">
        <v>280</v>
      </c>
      <c r="I93" s="276"/>
      <c r="J93" s="276"/>
    </row>
    <row r="94" spans="1:10" x14ac:dyDescent="0.2">
      <c r="A94" s="104"/>
      <c r="B94" s="104"/>
      <c r="C94" s="105"/>
      <c r="D94" s="106"/>
      <c r="E94" s="106"/>
      <c r="F94" s="107"/>
      <c r="G94" s="108"/>
      <c r="H94" s="106"/>
    </row>
    <row r="95" spans="1:10" s="394" customFormat="1" ht="15" x14ac:dyDescent="0.25">
      <c r="A95" s="390" t="s">
        <v>74</v>
      </c>
      <c r="B95" s="390"/>
      <c r="C95" s="390"/>
      <c r="D95" s="390"/>
      <c r="G95" s="399">
        <f>SUM(Таблица125138150162174194264257738910512113715316918528446076921081241401565545705866006146286446606766927097262641567186101116131146161191206191221236251266296311326[Сумма])*1000</f>
        <v>36812000</v>
      </c>
      <c r="H95" s="400"/>
    </row>
    <row r="96" spans="1:10" outlineLevel="1" x14ac:dyDescent="0.2">
      <c r="A96" s="91" t="s">
        <v>67</v>
      </c>
      <c r="B96" s="91" t="s">
        <v>53</v>
      </c>
      <c r="C96" s="91" t="s">
        <v>4</v>
      </c>
      <c r="D96" s="91" t="s">
        <v>68</v>
      </c>
      <c r="E96" s="91" t="s">
        <v>69</v>
      </c>
      <c r="F96" s="91" t="s">
        <v>70</v>
      </c>
      <c r="G96" s="91" t="s">
        <v>75</v>
      </c>
      <c r="H96" s="91" t="s">
        <v>72</v>
      </c>
    </row>
    <row r="97" spans="1:8" ht="24.95" customHeight="1" outlineLevel="1" x14ac:dyDescent="0.2">
      <c r="A97" s="401" t="s">
        <v>2495</v>
      </c>
      <c r="B97" s="401" t="s">
        <v>2496</v>
      </c>
      <c r="C97" s="401" t="s">
        <v>94</v>
      </c>
      <c r="D97" s="401" t="s">
        <v>73</v>
      </c>
      <c r="E97" s="401" t="s">
        <v>2497</v>
      </c>
      <c r="F97" s="401" t="s">
        <v>2498</v>
      </c>
      <c r="G97" s="401">
        <v>18801</v>
      </c>
      <c r="H97" s="401" t="s">
        <v>280</v>
      </c>
    </row>
    <row r="98" spans="1:8" ht="24.95" customHeight="1" outlineLevel="1" x14ac:dyDescent="0.2">
      <c r="A98" s="401" t="s">
        <v>2477</v>
      </c>
      <c r="B98" s="401" t="s">
        <v>2215</v>
      </c>
      <c r="C98" s="401" t="s">
        <v>94</v>
      </c>
      <c r="D98" s="401" t="s">
        <v>73</v>
      </c>
      <c r="E98" s="401" t="s">
        <v>2478</v>
      </c>
      <c r="F98" s="401" t="s">
        <v>2479</v>
      </c>
      <c r="G98" s="401">
        <v>4831</v>
      </c>
      <c r="H98" s="401" t="s">
        <v>168</v>
      </c>
    </row>
    <row r="99" spans="1:8" ht="24.95" customHeight="1" outlineLevel="1" x14ac:dyDescent="0.2">
      <c r="A99" s="401" t="s">
        <v>2480</v>
      </c>
      <c r="B99" s="401" t="s">
        <v>2481</v>
      </c>
      <c r="C99" s="401" t="s">
        <v>94</v>
      </c>
      <c r="D99" s="401" t="s">
        <v>73</v>
      </c>
      <c r="E99" s="401" t="s">
        <v>2482</v>
      </c>
      <c r="F99" s="401" t="s">
        <v>2479</v>
      </c>
      <c r="G99" s="401">
        <v>2404</v>
      </c>
      <c r="H99" s="401" t="s">
        <v>168</v>
      </c>
    </row>
    <row r="100" spans="1:8" ht="24.95" customHeight="1" outlineLevel="1" x14ac:dyDescent="0.2">
      <c r="A100" s="401" t="s">
        <v>2499</v>
      </c>
      <c r="B100" s="401" t="s">
        <v>2500</v>
      </c>
      <c r="C100" s="401" t="s">
        <v>94</v>
      </c>
      <c r="D100" s="401"/>
      <c r="E100" s="401" t="s">
        <v>2501</v>
      </c>
      <c r="F100" s="401" t="s">
        <v>2498</v>
      </c>
      <c r="G100" s="401">
        <v>1800</v>
      </c>
      <c r="H100" s="401" t="s">
        <v>996</v>
      </c>
    </row>
    <row r="101" spans="1:8" ht="24.95" customHeight="1" outlineLevel="1" x14ac:dyDescent="0.2">
      <c r="A101" s="401" t="s">
        <v>2502</v>
      </c>
      <c r="B101" s="401" t="s">
        <v>2500</v>
      </c>
      <c r="C101" s="401" t="s">
        <v>94</v>
      </c>
      <c r="D101" s="401" t="s">
        <v>73</v>
      </c>
      <c r="E101" s="401" t="s">
        <v>2503</v>
      </c>
      <c r="F101" s="401" t="s">
        <v>2498</v>
      </c>
      <c r="G101" s="401">
        <v>1800</v>
      </c>
      <c r="H101" s="401" t="s">
        <v>996</v>
      </c>
    </row>
    <row r="102" spans="1:8" ht="24.95" customHeight="1" outlineLevel="1" x14ac:dyDescent="0.2">
      <c r="A102" s="401" t="s">
        <v>2504</v>
      </c>
      <c r="B102" s="401" t="s">
        <v>1057</v>
      </c>
      <c r="C102" s="401" t="s">
        <v>94</v>
      </c>
      <c r="D102" s="401" t="s">
        <v>73</v>
      </c>
      <c r="E102" s="401" t="s">
        <v>2505</v>
      </c>
      <c r="F102" s="401" t="s">
        <v>2506</v>
      </c>
      <c r="G102" s="401">
        <v>1771</v>
      </c>
      <c r="H102" s="401" t="s">
        <v>168</v>
      </c>
    </row>
    <row r="103" spans="1:8" ht="24.95" customHeight="1" outlineLevel="1" x14ac:dyDescent="0.2">
      <c r="A103" s="401" t="s">
        <v>2483</v>
      </c>
      <c r="B103" s="401" t="s">
        <v>1029</v>
      </c>
      <c r="C103" s="401" t="s">
        <v>94</v>
      </c>
      <c r="D103" s="401" t="s">
        <v>73</v>
      </c>
      <c r="E103" s="401" t="s">
        <v>2484</v>
      </c>
      <c r="F103" s="401" t="s">
        <v>2479</v>
      </c>
      <c r="G103" s="401">
        <v>1473</v>
      </c>
      <c r="H103" s="401" t="s">
        <v>168</v>
      </c>
    </row>
    <row r="104" spans="1:8" ht="24.95" customHeight="1" outlineLevel="1" x14ac:dyDescent="0.2">
      <c r="A104" s="401" t="s">
        <v>2507</v>
      </c>
      <c r="B104" s="401" t="s">
        <v>2148</v>
      </c>
      <c r="C104" s="401" t="s">
        <v>94</v>
      </c>
      <c r="D104" s="401" t="s">
        <v>73</v>
      </c>
      <c r="E104" s="401" t="s">
        <v>2368</v>
      </c>
      <c r="F104" s="401" t="s">
        <v>2508</v>
      </c>
      <c r="G104" s="401">
        <v>1088</v>
      </c>
      <c r="H104" s="401" t="s">
        <v>284</v>
      </c>
    </row>
    <row r="105" spans="1:8" ht="24.95" customHeight="1" outlineLevel="1" x14ac:dyDescent="0.2">
      <c r="A105" s="401" t="s">
        <v>2468</v>
      </c>
      <c r="B105" s="401" t="s">
        <v>2353</v>
      </c>
      <c r="C105" s="401" t="s">
        <v>94</v>
      </c>
      <c r="D105" s="401" t="s">
        <v>73</v>
      </c>
      <c r="E105" s="401" t="s">
        <v>2258</v>
      </c>
      <c r="F105" s="401" t="s">
        <v>2479</v>
      </c>
      <c r="G105" s="401">
        <v>724</v>
      </c>
      <c r="H105" s="401" t="s">
        <v>168</v>
      </c>
    </row>
    <row r="106" spans="1:8" ht="24.95" customHeight="1" outlineLevel="1" x14ac:dyDescent="0.2">
      <c r="A106" s="401" t="s">
        <v>2488</v>
      </c>
      <c r="B106" s="401" t="s">
        <v>2489</v>
      </c>
      <c r="C106" s="401" t="s">
        <v>94</v>
      </c>
      <c r="D106" s="401" t="s">
        <v>73</v>
      </c>
      <c r="E106" s="401" t="s">
        <v>2490</v>
      </c>
      <c r="F106" s="401" t="s">
        <v>2479</v>
      </c>
      <c r="G106" s="401">
        <v>575</v>
      </c>
      <c r="H106" s="401" t="s">
        <v>168</v>
      </c>
    </row>
    <row r="107" spans="1:8" ht="24.95" customHeight="1" outlineLevel="1" x14ac:dyDescent="0.2">
      <c r="A107" s="401" t="s">
        <v>2491</v>
      </c>
      <c r="B107" s="401" t="s">
        <v>2481</v>
      </c>
      <c r="C107" s="401" t="s">
        <v>94</v>
      </c>
      <c r="D107" s="401" t="s">
        <v>73</v>
      </c>
      <c r="E107" s="401" t="s">
        <v>2492</v>
      </c>
      <c r="F107" s="401" t="s">
        <v>2487</v>
      </c>
      <c r="G107" s="401">
        <v>556</v>
      </c>
      <c r="H107" s="401" t="s">
        <v>168</v>
      </c>
    </row>
    <row r="108" spans="1:8" ht="24.95" customHeight="1" outlineLevel="1" x14ac:dyDescent="0.2">
      <c r="A108" s="401" t="s">
        <v>2469</v>
      </c>
      <c r="B108" s="401" t="s">
        <v>2148</v>
      </c>
      <c r="C108" s="401" t="s">
        <v>94</v>
      </c>
      <c r="D108" s="401" t="s">
        <v>73</v>
      </c>
      <c r="E108" s="401" t="s">
        <v>2470</v>
      </c>
      <c r="F108" s="401" t="s">
        <v>2508</v>
      </c>
      <c r="G108" s="401">
        <v>375</v>
      </c>
      <c r="H108" s="401" t="s">
        <v>284</v>
      </c>
    </row>
    <row r="109" spans="1:8" ht="24.95" customHeight="1" outlineLevel="1" x14ac:dyDescent="0.2">
      <c r="A109" s="401" t="s">
        <v>2493</v>
      </c>
      <c r="B109" s="401" t="s">
        <v>1599</v>
      </c>
      <c r="C109" s="401" t="s">
        <v>94</v>
      </c>
      <c r="D109" s="401" t="s">
        <v>73</v>
      </c>
      <c r="E109" s="401" t="s">
        <v>2494</v>
      </c>
      <c r="F109" s="401" t="s">
        <v>2479</v>
      </c>
      <c r="G109" s="401">
        <v>321</v>
      </c>
      <c r="H109" s="401" t="s">
        <v>280</v>
      </c>
    </row>
    <row r="110" spans="1:8" ht="24.95" customHeight="1" outlineLevel="1" x14ac:dyDescent="0.2">
      <c r="A110" s="401" t="s">
        <v>2509</v>
      </c>
      <c r="B110" s="401" t="s">
        <v>1729</v>
      </c>
      <c r="C110" s="401" t="s">
        <v>94</v>
      </c>
      <c r="D110" s="401" t="s">
        <v>73</v>
      </c>
      <c r="E110" s="401" t="s">
        <v>2510</v>
      </c>
      <c r="F110" s="401" t="s">
        <v>2508</v>
      </c>
      <c r="G110" s="401">
        <v>200</v>
      </c>
      <c r="H110" s="401" t="s">
        <v>107</v>
      </c>
    </row>
    <row r="111" spans="1:8" ht="24.95" customHeight="1" outlineLevel="1" x14ac:dyDescent="0.2">
      <c r="A111" s="401" t="s">
        <v>2511</v>
      </c>
      <c r="B111" s="401" t="s">
        <v>1254</v>
      </c>
      <c r="C111" s="401" t="s">
        <v>94</v>
      </c>
      <c r="D111" s="401" t="s">
        <v>73</v>
      </c>
      <c r="E111" s="401" t="s">
        <v>2512</v>
      </c>
      <c r="F111" s="401" t="s">
        <v>2508</v>
      </c>
      <c r="G111" s="401">
        <v>93</v>
      </c>
      <c r="H111" s="401" t="s">
        <v>107</v>
      </c>
    </row>
    <row r="112" spans="1:8" ht="24.95" customHeight="1" outlineLevel="1" x14ac:dyDescent="0.2">
      <c r="A112" s="401" t="s">
        <v>2513</v>
      </c>
      <c r="B112" s="401" t="s">
        <v>2514</v>
      </c>
      <c r="C112" s="401" t="s">
        <v>94</v>
      </c>
      <c r="D112" s="401" t="s">
        <v>73</v>
      </c>
      <c r="E112" s="401" t="s">
        <v>2515</v>
      </c>
      <c r="F112" s="401" t="s">
        <v>2516</v>
      </c>
      <c r="G112" s="401">
        <v>0</v>
      </c>
      <c r="H112" s="401" t="s">
        <v>996</v>
      </c>
    </row>
    <row r="113" spans="1:8" ht="24.95" customHeight="1" outlineLevel="1" x14ac:dyDescent="0.2">
      <c r="A113" s="401" t="s">
        <v>2517</v>
      </c>
      <c r="B113" s="401" t="s">
        <v>2514</v>
      </c>
      <c r="C113" s="401" t="s">
        <v>94</v>
      </c>
      <c r="D113" s="401" t="s">
        <v>73</v>
      </c>
      <c r="E113" s="401" t="s">
        <v>2518</v>
      </c>
      <c r="F113" s="401" t="s">
        <v>2498</v>
      </c>
      <c r="G113" s="401">
        <v>0</v>
      </c>
      <c r="H113" s="401" t="s">
        <v>996</v>
      </c>
    </row>
    <row r="114" spans="1:8" ht="24.95" customHeight="1" outlineLevel="1" x14ac:dyDescent="0.2">
      <c r="A114" s="401" t="s">
        <v>2519</v>
      </c>
      <c r="B114" s="401" t="s">
        <v>2514</v>
      </c>
      <c r="C114" s="401" t="s">
        <v>94</v>
      </c>
      <c r="D114" s="401" t="s">
        <v>73</v>
      </c>
      <c r="E114" s="401" t="s">
        <v>2520</v>
      </c>
      <c r="F114" s="401" t="s">
        <v>2521</v>
      </c>
      <c r="G114" s="401">
        <v>0</v>
      </c>
      <c r="H114" s="401" t="s">
        <v>996</v>
      </c>
    </row>
    <row r="115" spans="1:8" ht="24.95" customHeight="1" outlineLevel="1" x14ac:dyDescent="0.2">
      <c r="A115" s="401" t="s">
        <v>2522</v>
      </c>
      <c r="B115" s="401" t="s">
        <v>2514</v>
      </c>
      <c r="C115" s="401" t="s">
        <v>94</v>
      </c>
      <c r="D115" s="401" t="s">
        <v>73</v>
      </c>
      <c r="E115" s="401" t="s">
        <v>2523</v>
      </c>
      <c r="F115" s="401" t="s">
        <v>2524</v>
      </c>
      <c r="G115" s="401">
        <v>0</v>
      </c>
      <c r="H115" s="401" t="s">
        <v>996</v>
      </c>
    </row>
    <row r="116" spans="1:8" ht="24.95" customHeight="1" outlineLevel="1" x14ac:dyDescent="0.2">
      <c r="A116" s="401" t="s">
        <v>2525</v>
      </c>
      <c r="B116" s="401" t="s">
        <v>2148</v>
      </c>
      <c r="C116" s="401" t="s">
        <v>94</v>
      </c>
      <c r="D116" s="401" t="s">
        <v>73</v>
      </c>
      <c r="E116" s="401" t="s">
        <v>2526</v>
      </c>
      <c r="F116" s="401" t="s">
        <v>2524</v>
      </c>
      <c r="G116" s="401">
        <v>0</v>
      </c>
      <c r="H116" s="401" t="s">
        <v>280</v>
      </c>
    </row>
    <row r="117" spans="1:8" ht="15" customHeight="1" x14ac:dyDescent="0.2"/>
    <row r="118" spans="1:8" ht="15.75" x14ac:dyDescent="0.25">
      <c r="A118" s="1" t="s">
        <v>76</v>
      </c>
    </row>
    <row r="119" spans="1:8" ht="15" x14ac:dyDescent="0.25">
      <c r="A119" s="387" t="s">
        <v>77</v>
      </c>
      <c r="B119" s="387"/>
      <c r="C119" s="387"/>
      <c r="D119" s="387"/>
      <c r="G119" s="235"/>
      <c r="H119" s="276"/>
    </row>
    <row r="120" spans="1:8" s="104" customFormat="1" outlineLevel="1" x14ac:dyDescent="0.25">
      <c r="A120" s="112" t="s">
        <v>78</v>
      </c>
      <c r="B120" s="112" t="s">
        <v>53</v>
      </c>
      <c r="C120" s="91" t="s">
        <v>4</v>
      </c>
      <c r="D120" s="112" t="s">
        <v>79</v>
      </c>
      <c r="E120" s="91" t="s">
        <v>80</v>
      </c>
      <c r="F120" s="112" t="s">
        <v>81</v>
      </c>
      <c r="G120" s="112" t="s">
        <v>82</v>
      </c>
    </row>
    <row r="121" spans="1:8" s="104" customFormat="1" ht="24" customHeight="1" outlineLevel="1" x14ac:dyDescent="0.25">
      <c r="A121" s="401" t="s">
        <v>2527</v>
      </c>
      <c r="B121" s="401" t="s">
        <v>1599</v>
      </c>
      <c r="C121" s="401" t="s">
        <v>94</v>
      </c>
      <c r="D121" s="401" t="s">
        <v>2528</v>
      </c>
      <c r="E121" s="401" t="s">
        <v>2529</v>
      </c>
      <c r="F121" s="401" t="s">
        <v>1671</v>
      </c>
      <c r="G121" s="401" t="s">
        <v>2530</v>
      </c>
    </row>
    <row r="122" spans="1:8" s="104" customFormat="1" ht="24" customHeight="1" outlineLevel="1" x14ac:dyDescent="0.25">
      <c r="A122" s="401" t="s">
        <v>2531</v>
      </c>
      <c r="B122" s="401" t="s">
        <v>2500</v>
      </c>
      <c r="C122" s="401" t="s">
        <v>94</v>
      </c>
      <c r="D122" s="401" t="s">
        <v>2532</v>
      </c>
      <c r="E122" s="401" t="s">
        <v>2533</v>
      </c>
      <c r="F122" s="401" t="s">
        <v>2534</v>
      </c>
      <c r="G122" s="401" t="s">
        <v>2535</v>
      </c>
    </row>
    <row r="123" spans="1:8" ht="24" customHeight="1" outlineLevel="1" x14ac:dyDescent="0.2">
      <c r="A123" s="401" t="s">
        <v>2536</v>
      </c>
      <c r="B123" s="401" t="s">
        <v>2148</v>
      </c>
      <c r="C123" s="401" t="s">
        <v>94</v>
      </c>
      <c r="D123" s="401" t="s">
        <v>2537</v>
      </c>
      <c r="E123" s="401" t="s">
        <v>2538</v>
      </c>
      <c r="F123" s="401" t="s">
        <v>2539</v>
      </c>
      <c r="G123" s="401" t="s">
        <v>2540</v>
      </c>
    </row>
    <row r="124" spans="1:8" ht="24" customHeight="1" outlineLevel="1" x14ac:dyDescent="0.2">
      <c r="B124" s="118"/>
    </row>
    <row r="125" spans="1:8" ht="24" customHeight="1" outlineLevel="1" x14ac:dyDescent="0.2">
      <c r="A125" s="118"/>
      <c r="B125" s="118"/>
    </row>
    <row r="126" spans="1:8" ht="15" x14ac:dyDescent="0.25">
      <c r="A126" s="387" t="s">
        <v>83</v>
      </c>
      <c r="B126" s="387"/>
      <c r="C126" s="387"/>
      <c r="D126" s="387"/>
      <c r="G126" s="235"/>
    </row>
    <row r="127" spans="1:8" s="17" customFormat="1" hidden="1" outlineLevel="1" x14ac:dyDescent="0.2">
      <c r="A127" s="112" t="s">
        <v>78</v>
      </c>
      <c r="B127" s="112" t="s">
        <v>53</v>
      </c>
      <c r="C127" s="91" t="s">
        <v>4</v>
      </c>
      <c r="D127" s="112" t="s">
        <v>79</v>
      </c>
      <c r="E127" s="91" t="s">
        <v>80</v>
      </c>
      <c r="F127" s="112" t="s">
        <v>81</v>
      </c>
      <c r="G127" s="112" t="s">
        <v>82</v>
      </c>
    </row>
    <row r="128" spans="1:8" collapsed="1" x14ac:dyDescent="0.2">
      <c r="A128" s="91"/>
      <c r="B128" s="91"/>
      <c r="C128" s="278"/>
      <c r="D128" s="280"/>
      <c r="E128" s="91"/>
      <c r="F128" s="91"/>
      <c r="G128" s="91"/>
    </row>
    <row r="129" spans="1:15" ht="12.6" customHeight="1" outlineLevel="1" x14ac:dyDescent="0.2"/>
    <row r="130" spans="1:15" ht="33" customHeight="1" outlineLevel="1" x14ac:dyDescent="0.2"/>
    <row r="131" spans="1:15" ht="14.25" customHeight="1" outlineLevel="1" x14ac:dyDescent="0.25">
      <c r="A131" s="1" t="s">
        <v>84</v>
      </c>
    </row>
    <row r="132" spans="1:15" ht="14.25" customHeight="1" outlineLevel="1" x14ac:dyDescent="0.25">
      <c r="A132" s="386" t="s">
        <v>85</v>
      </c>
      <c r="B132" s="386"/>
      <c r="C132" s="386"/>
      <c r="D132" s="386"/>
    </row>
    <row r="133" spans="1:15" ht="63" customHeight="1" x14ac:dyDescent="0.2">
      <c r="A133" s="120" t="s">
        <v>81</v>
      </c>
      <c r="B133" s="120" t="s">
        <v>86</v>
      </c>
      <c r="C133" s="120" t="s">
        <v>87</v>
      </c>
      <c r="D133" s="120" t="s">
        <v>88</v>
      </c>
      <c r="E133" s="120" t="s">
        <v>89</v>
      </c>
      <c r="F133" s="120" t="s">
        <v>4</v>
      </c>
      <c r="G133" s="120" t="s">
        <v>90</v>
      </c>
    </row>
    <row r="134" spans="1:15" s="124" customFormat="1" ht="74.25" customHeight="1" outlineLevel="1" x14ac:dyDescent="0.2">
      <c r="A134" s="94"/>
      <c r="B134" s="402" t="s">
        <v>2541</v>
      </c>
      <c r="C134" s="238" t="s">
        <v>160</v>
      </c>
      <c r="D134" s="402" t="s">
        <v>2545</v>
      </c>
      <c r="E134" s="125">
        <v>4500</v>
      </c>
      <c r="F134" s="74" t="s">
        <v>94</v>
      </c>
      <c r="G134" s="125">
        <v>4500</v>
      </c>
      <c r="H134" s="2"/>
      <c r="I134" s="2"/>
      <c r="J134" s="2"/>
      <c r="K134" s="2"/>
      <c r="L134" s="2"/>
      <c r="M134" s="2"/>
      <c r="N134" s="2"/>
      <c r="O134" s="2"/>
    </row>
    <row r="135" spans="1:15" ht="154.5" customHeight="1" outlineLevel="1" x14ac:dyDescent="0.2">
      <c r="A135" s="94"/>
      <c r="B135" s="402" t="s">
        <v>2542</v>
      </c>
      <c r="C135" s="238" t="s">
        <v>160</v>
      </c>
      <c r="D135" s="402" t="s">
        <v>2544</v>
      </c>
      <c r="E135" s="125">
        <v>7000</v>
      </c>
      <c r="F135" s="74" t="s">
        <v>94</v>
      </c>
      <c r="G135" s="125">
        <v>7000</v>
      </c>
    </row>
    <row r="136" spans="1:15" ht="187.5" customHeight="1" x14ac:dyDescent="0.2">
      <c r="A136" s="94"/>
      <c r="B136" s="402" t="s">
        <v>2543</v>
      </c>
      <c r="C136" s="238" t="s">
        <v>91</v>
      </c>
      <c r="D136" s="125" t="s">
        <v>2434</v>
      </c>
      <c r="E136" s="125">
        <v>3500</v>
      </c>
      <c r="F136" s="74" t="s">
        <v>94</v>
      </c>
      <c r="G136" s="125">
        <v>0</v>
      </c>
    </row>
    <row r="137" spans="1:15" ht="50.1" customHeight="1" x14ac:dyDescent="0.2">
      <c r="B137" s="122"/>
      <c r="C137" s="123"/>
      <c r="F137" s="122"/>
    </row>
    <row r="138" spans="1:15" ht="50.1" customHeight="1" x14ac:dyDescent="0.25">
      <c r="A138" s="386" t="s">
        <v>92</v>
      </c>
      <c r="B138" s="386"/>
      <c r="C138" s="386"/>
      <c r="D138" s="386"/>
    </row>
    <row r="139" spans="1:15" ht="50.1" customHeight="1" x14ac:dyDescent="0.2">
      <c r="A139" s="120" t="s">
        <v>81</v>
      </c>
      <c r="B139" s="120" t="s">
        <v>86</v>
      </c>
      <c r="C139" s="120" t="s">
        <v>87</v>
      </c>
      <c r="D139" s="120" t="s">
        <v>88</v>
      </c>
      <c r="E139" s="120" t="s">
        <v>89</v>
      </c>
      <c r="F139" s="120" t="s">
        <v>4</v>
      </c>
      <c r="G139" s="120" t="s">
        <v>90</v>
      </c>
    </row>
    <row r="140" spans="1:15" ht="214.5" customHeight="1" x14ac:dyDescent="0.2">
      <c r="A140" s="125" t="s">
        <v>109</v>
      </c>
      <c r="B140" s="402" t="s">
        <v>2433</v>
      </c>
      <c r="C140" s="292"/>
      <c r="D140" s="292"/>
      <c r="E140" s="125">
        <v>6000</v>
      </c>
      <c r="F140" s="125" t="s">
        <v>94</v>
      </c>
      <c r="G140" s="292"/>
    </row>
    <row r="141" spans="1:15" ht="114.75" customHeight="1" x14ac:dyDescent="0.2">
      <c r="A141" s="125" t="s">
        <v>109</v>
      </c>
      <c r="B141" s="402" t="s">
        <v>2431</v>
      </c>
      <c r="C141" s="125"/>
      <c r="D141" s="125"/>
      <c r="E141" s="125">
        <v>2000</v>
      </c>
      <c r="F141" s="125" t="s">
        <v>94</v>
      </c>
      <c r="G141" s="126"/>
    </row>
    <row r="142" spans="1:15" ht="105" x14ac:dyDescent="0.2">
      <c r="A142" s="125" t="s">
        <v>109</v>
      </c>
      <c r="B142" s="402" t="s">
        <v>2542</v>
      </c>
      <c r="C142" s="125"/>
      <c r="D142" s="125"/>
      <c r="E142" s="125">
        <v>7000</v>
      </c>
      <c r="F142" s="125" t="s">
        <v>94</v>
      </c>
      <c r="G142" s="126"/>
    </row>
    <row r="143" spans="1:15" ht="30" x14ac:dyDescent="0.2">
      <c r="A143" s="125" t="s">
        <v>109</v>
      </c>
      <c r="B143" s="402" t="s">
        <v>2541</v>
      </c>
      <c r="C143" s="125"/>
      <c r="D143" s="125"/>
      <c r="E143" s="125">
        <v>4000</v>
      </c>
      <c r="F143" s="125" t="s">
        <v>94</v>
      </c>
      <c r="G143" s="126"/>
    </row>
  </sheetData>
  <mergeCells count="14">
    <mergeCell ref="A44:D44"/>
    <mergeCell ref="A5:D5"/>
    <mergeCell ref="A10:D10"/>
    <mergeCell ref="A15:D15"/>
    <mergeCell ref="A20:D20"/>
    <mergeCell ref="A38:D38"/>
    <mergeCell ref="A132:D132"/>
    <mergeCell ref="A138:D138"/>
    <mergeCell ref="A57:D57"/>
    <mergeCell ref="A71:D71"/>
    <mergeCell ref="A80:D80"/>
    <mergeCell ref="A95:D95"/>
    <mergeCell ref="A119:D119"/>
    <mergeCell ref="A126:D126"/>
  </mergeCells>
  <conditionalFormatting sqref="G134:G136 C134:C136">
    <cfRule type="cellIs" dxfId="125" priority="7" operator="equal">
      <formula>"ДА"</formula>
    </cfRule>
    <cfRule type="cellIs" dxfId="124" priority="8" operator="equal">
      <formula>"НЕТ"</formula>
    </cfRule>
    <cfRule type="cellIs" dxfId="123" priority="9" operator="equal">
      <formula>"Нет"</formula>
    </cfRule>
    <cfRule type="cellIs" dxfId="122" priority="10" operator="equal">
      <formula>"нет"</formula>
    </cfRule>
    <cfRule type="cellIs" dxfId="121" priority="11" operator="equal">
      <formula>"ДА"</formula>
    </cfRule>
    <cfRule type="containsText" dxfId="120" priority="12" operator="containsText" text="Да">
      <formula>NOT(ISERROR(SEARCH("Да",C134)))</formula>
    </cfRule>
  </conditionalFormatting>
  <conditionalFormatting sqref="E7 E12">
    <cfRule type="cellIs" dxfId="119" priority="19" operator="lessThan">
      <formula>0</formula>
    </cfRule>
    <cfRule type="cellIs" dxfId="118" priority="20" operator="greaterThan">
      <formula>0</formula>
    </cfRule>
  </conditionalFormatting>
  <conditionalFormatting sqref="D7 D12 E17">
    <cfRule type="cellIs" dxfId="117" priority="17" operator="lessThan">
      <formula>0</formula>
    </cfRule>
    <cfRule type="cellIs" dxfId="116" priority="18" operator="greaterThan">
      <formula>0</formula>
    </cfRule>
  </conditionalFormatting>
  <conditionalFormatting sqref="H73">
    <cfRule type="cellIs" dxfId="115" priority="15" operator="lessThan">
      <formula>1</formula>
    </cfRule>
    <cfRule type="cellIs" dxfId="114" priority="16" operator="greaterThan">
      <formula>1</formula>
    </cfRule>
  </conditionalFormatting>
  <conditionalFormatting sqref="H76">
    <cfRule type="cellIs" dxfId="113" priority="13" operator="lessThan">
      <formula>1</formula>
    </cfRule>
    <cfRule type="cellIs" dxfId="112" priority="14" operator="greaterThan">
      <formula>1</formula>
    </cfRule>
  </conditionalFormatting>
  <conditionalFormatting sqref="G141:G143">
    <cfRule type="cellIs" dxfId="111" priority="1" operator="equal">
      <formula>"ДА"</formula>
    </cfRule>
    <cfRule type="cellIs" dxfId="110" priority="2" operator="equal">
      <formula>"НЕТ"</formula>
    </cfRule>
    <cfRule type="cellIs" dxfId="109" priority="3" operator="equal">
      <formula>"Нет"</formula>
    </cfRule>
    <cfRule type="cellIs" dxfId="108" priority="4" operator="equal">
      <formula>"нет"</formula>
    </cfRule>
    <cfRule type="cellIs" dxfId="107" priority="5" operator="equal">
      <formula>"ДА"</formula>
    </cfRule>
  </conditionalFormatting>
  <pageMargins left="0.7" right="0.7" top="0.75" bottom="0.75" header="0.3" footer="0.3"/>
  <pageSetup paperSize="9" orientation="portrait" r:id="rId1"/>
  <legacy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extLst>
    <ext xmlns:x14="http://schemas.microsoft.com/office/spreadsheetml/2009/9/main" uri="{78C0D931-6437-407d-A8EE-F0AAD7539E65}">
      <x14:conditionalFormattings>
        <x14:conditionalFormatting xmlns:xm="http://schemas.microsoft.com/office/excel/2006/main">
          <x14:cfRule type="containsText" priority="6" operator="containsText" text="Да" id="{1F18920F-E82A-41AF-B94F-E28CB426BCFD}">
            <xm:f>NOT(ISERROR(SEARCH("Да",'Август. 25'!G256)))</xm:f>
            <x14:dxf>
              <font>
                <color rgb="FF006100"/>
              </font>
              <fill>
                <patternFill>
                  <bgColor rgb="FFC6EFCE"/>
                </patternFill>
              </fill>
            </x14:dxf>
          </x14:cfRule>
          <xm:sqref>G141:G142</xm:sqref>
        </x14:conditionalFormatting>
        <x14:conditionalFormatting xmlns:xm="http://schemas.microsoft.com/office/excel/2006/main">
          <x14:cfRule type="containsText" priority="21" operator="containsText" text="Да" id="{1BE93C80-8571-47B6-90ED-157F49368289}">
            <xm:f>NOT(ISERROR(SEARCH("Да",'Август. 25'!G257)))</xm:f>
            <x14:dxf>
              <font>
                <color rgb="FF006100"/>
              </font>
              <fill>
                <patternFill>
                  <bgColor rgb="FFC6EFCE"/>
                </patternFill>
              </fill>
            </x14:dxf>
          </x14:cfRule>
          <xm:sqref>G143</xm:sqref>
        </x14:conditionalFormatting>
      </x14:conditionalFormattings>
    </ext>
  </extLs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C8A3F-6A10-46F5-A93D-A5774F29BBF5}">
  <dimension ref="A1:O122"/>
  <sheetViews>
    <sheetView zoomScale="85" zoomScaleNormal="85" workbookViewId="0">
      <selection activeCell="B28" sqref="B28"/>
    </sheetView>
  </sheetViews>
  <sheetFormatPr defaultColWidth="9.140625" defaultRowHeight="12.75" outlineLevelRow="1" x14ac:dyDescent="0.2"/>
  <cols>
    <col min="1" max="1" width="28" style="2" customWidth="1"/>
    <col min="2" max="2" width="47.140625" style="2" customWidth="1"/>
    <col min="3" max="3" width="23.5703125" style="2" customWidth="1"/>
    <col min="4" max="4" width="65.5703125" style="2" customWidth="1"/>
    <col min="5" max="5" width="35.7109375" style="2" customWidth="1"/>
    <col min="6" max="6" width="27.140625" style="2" customWidth="1"/>
    <col min="7" max="7" width="35.140625" style="2" customWidth="1"/>
    <col min="8" max="8" width="36" style="2" customWidth="1"/>
    <col min="9" max="16384" width="9.140625" style="2"/>
  </cols>
  <sheetData>
    <row r="1" spans="1:7" ht="24.75" customHeight="1" x14ac:dyDescent="0.25">
      <c r="A1" s="134" t="s">
        <v>94</v>
      </c>
    </row>
    <row r="2" spans="1:7" ht="15.75" x14ac:dyDescent="0.25">
      <c r="A2" s="134" t="s">
        <v>2436</v>
      </c>
    </row>
    <row r="3" spans="1:7" x14ac:dyDescent="0.2">
      <c r="A3" s="3"/>
    </row>
    <row r="4" spans="1:7" ht="15.75" x14ac:dyDescent="0.25">
      <c r="A4" s="1" t="s">
        <v>0</v>
      </c>
      <c r="B4" s="2" t="s">
        <v>1</v>
      </c>
      <c r="C4" s="2" t="s">
        <v>2</v>
      </c>
    </row>
    <row r="5" spans="1:7" ht="15" x14ac:dyDescent="0.25">
      <c r="A5" s="386" t="s">
        <v>3</v>
      </c>
      <c r="B5" s="386"/>
      <c r="C5" s="386"/>
      <c r="D5" s="386"/>
      <c r="F5" s="4"/>
    </row>
    <row r="6" spans="1:7" s="6" customFormat="1" outlineLevel="1" x14ac:dyDescent="0.2">
      <c r="A6" s="5" t="s">
        <v>4</v>
      </c>
      <c r="B6" s="5" t="s">
        <v>5</v>
      </c>
      <c r="C6" s="5" t="s">
        <v>6</v>
      </c>
      <c r="D6" s="5" t="s">
        <v>7</v>
      </c>
      <c r="E6" s="5" t="s">
        <v>8</v>
      </c>
      <c r="F6" s="5" t="s">
        <v>10</v>
      </c>
      <c r="G6" s="186"/>
    </row>
    <row r="7" spans="1:7" outlineLevel="1" x14ac:dyDescent="0.2">
      <c r="A7" s="7" t="s">
        <v>94</v>
      </c>
      <c r="B7" s="8">
        <f>C25</f>
        <v>505000</v>
      </c>
      <c r="C7" s="9">
        <f>B25</f>
        <v>397243.6</v>
      </c>
      <c r="D7" s="10">
        <f>Таблица11029163037445158657223303744515865727986931009223548627690104107127139151163183152947637995111127143159175183450668298114130146545561577589605619635651667683700717163247627792107122137152182197182212227242257287302317332[Факт, руб.]/Таблица11029163037445158657223303744515865727986931009223548627690104107127139151163183152947637995111127143159175183450668298114130146545561577589605619635651667683700717163247627792107122137152182197182212227242257287302317332[План, руб.]-100%</f>
        <v>-0.21337900990099012</v>
      </c>
      <c r="E7" s="11">
        <f>Таблица11029163037445158657223303744515865727986931009223548627690104107127139151163183152947637995111127143159175183450668298114130146545561577589605619635651667683700717163247627792107122137152182197182212227242257287302317332[Факт, руб.]-Таблица11029163037445158657223303744515865727986931009223548627690104107127139151163183152947637995111127143159175183450668298114130146545561577589605619635651667683700717163247627792107122137152182197182212227242257287302317332[План, руб.]</f>
        <v>-107756.40000000002</v>
      </c>
      <c r="F7" s="9">
        <f>B24</f>
        <v>467007</v>
      </c>
      <c r="G7" s="185"/>
    </row>
    <row r="8" spans="1:7" x14ac:dyDescent="0.2">
      <c r="A8" s="12"/>
      <c r="B8" s="13"/>
      <c r="C8" s="13"/>
      <c r="D8" s="14"/>
      <c r="F8" s="15"/>
      <c r="G8" s="16"/>
    </row>
    <row r="9" spans="1:7" ht="15" customHeight="1" x14ac:dyDescent="0.2">
      <c r="A9" s="12"/>
      <c r="B9" s="13"/>
      <c r="C9" s="13"/>
      <c r="D9" s="14"/>
      <c r="F9" s="17"/>
    </row>
    <row r="10" spans="1:7" ht="15" x14ac:dyDescent="0.25">
      <c r="A10" s="386" t="s">
        <v>11</v>
      </c>
      <c r="B10" s="386"/>
      <c r="C10" s="386"/>
      <c r="D10" s="386"/>
      <c r="F10" s="17"/>
    </row>
    <row r="11" spans="1:7" s="6" customFormat="1" outlineLevel="1" x14ac:dyDescent="0.2">
      <c r="A11" s="18" t="s">
        <v>4</v>
      </c>
      <c r="B11" s="19" t="s">
        <v>12</v>
      </c>
      <c r="C11" s="19" t="s">
        <v>13</v>
      </c>
      <c r="D11" s="19" t="s">
        <v>7</v>
      </c>
      <c r="E11" s="19" t="s">
        <v>8</v>
      </c>
      <c r="F11" s="20"/>
    </row>
    <row r="12" spans="1:7" outlineLevel="1" x14ac:dyDescent="0.2">
      <c r="A12" s="7" t="s">
        <v>94</v>
      </c>
      <c r="B12" s="8">
        <f>SUM(C22:C25)</f>
        <v>1910000</v>
      </c>
      <c r="C12" s="8">
        <f>B34</f>
        <v>1818977.12</v>
      </c>
      <c r="D12" s="21">
        <f>C12/B12-100%</f>
        <v>-4.7655958115183195E-2</v>
      </c>
      <c r="E12" s="8">
        <f>C12-B12</f>
        <v>-91022.879999999888</v>
      </c>
      <c r="F12" s="17"/>
      <c r="G12" s="22"/>
    </row>
    <row r="13" spans="1:7" x14ac:dyDescent="0.2">
      <c r="A13" s="12"/>
      <c r="B13" s="368"/>
      <c r="C13" s="13"/>
      <c r="D13" s="14"/>
      <c r="F13" s="17"/>
    </row>
    <row r="14" spans="1:7" x14ac:dyDescent="0.2">
      <c r="A14" s="13"/>
      <c r="B14" s="13"/>
      <c r="C14" s="13"/>
      <c r="D14" s="14"/>
      <c r="F14" s="17"/>
      <c r="G14" s="22"/>
    </row>
    <row r="15" spans="1:7" ht="15" x14ac:dyDescent="0.25">
      <c r="A15" s="386" t="s">
        <v>2384</v>
      </c>
      <c r="B15" s="386"/>
      <c r="C15" s="386"/>
      <c r="D15" s="386"/>
      <c r="F15" s="17"/>
    </row>
    <row r="16" spans="1:7" s="6" customFormat="1" outlineLevel="1" x14ac:dyDescent="0.2">
      <c r="A16" s="5" t="s">
        <v>4</v>
      </c>
      <c r="B16" s="5" t="s">
        <v>93</v>
      </c>
      <c r="C16" s="5" t="s">
        <v>1037</v>
      </c>
      <c r="D16" s="5" t="s">
        <v>2334</v>
      </c>
      <c r="E16" s="5" t="s">
        <v>17</v>
      </c>
      <c r="F16" s="23"/>
    </row>
    <row r="17" spans="1:5" outlineLevel="1" x14ac:dyDescent="0.2">
      <c r="A17" s="7" t="s">
        <v>94</v>
      </c>
      <c r="B17" s="8">
        <v>0</v>
      </c>
      <c r="C17" s="8">
        <v>402089</v>
      </c>
      <c r="D17" s="8">
        <f>B34</f>
        <v>1818977.12</v>
      </c>
      <c r="E17" s="21">
        <f>Таблица211301731384552596673243138455259667380879410110233649637791105109128140152164184163248648096112128144160176193551678399115131147546562578590606620636652668684701718173348637893108123138153183198183213228243258288303318333[Профит ФГ 26-27]/Таблица211301731384552596673243138455259667380879410110233649637791105109128140152164184163248648096112128144160176193551678399115131147546562578590606620636652668684701718173348637893108123138153183198183213228243258288303318333[Профит ФГ 25-26]</f>
        <v>4.5238171648565366</v>
      </c>
    </row>
    <row r="20" spans="1:5" ht="15" x14ac:dyDescent="0.25">
      <c r="A20" s="386" t="s">
        <v>18</v>
      </c>
      <c r="B20" s="386"/>
      <c r="C20" s="386"/>
      <c r="D20" s="386"/>
    </row>
    <row r="21" spans="1:5" outlineLevel="1" x14ac:dyDescent="0.2">
      <c r="A21" s="25" t="s">
        <v>19</v>
      </c>
      <c r="B21" s="26" t="s">
        <v>20</v>
      </c>
      <c r="C21" s="26" t="s">
        <v>21</v>
      </c>
      <c r="D21" s="25" t="s">
        <v>22</v>
      </c>
    </row>
    <row r="22" spans="1:5" outlineLevel="1" x14ac:dyDescent="0.2">
      <c r="A22" s="30" t="s">
        <v>23</v>
      </c>
      <c r="B22" s="31">
        <v>105780.6</v>
      </c>
      <c r="C22" s="31">
        <v>450000</v>
      </c>
      <c r="D22" s="32">
        <f>Таблица4936997167333146617691106121136151166196211196226241256271301316331346[[#This Row],[Профит]]/Таблица4936997167333146617691106121136151166196211196226241256271301316331346[[#This Row],[План]]</f>
        <v>0.235068</v>
      </c>
    </row>
    <row r="23" spans="1:5" outlineLevel="1" x14ac:dyDescent="0.2">
      <c r="A23" s="30" t="s">
        <v>25</v>
      </c>
      <c r="B23" s="135">
        <v>848945.92</v>
      </c>
      <c r="C23" s="31">
        <v>450000</v>
      </c>
      <c r="D23" s="32">
        <f>Таблица4936997167333146617691106121136151166196211196226241256271301316331346[[#This Row],[Профит]]/Таблица4936997167333146617691106121136151166196211196226241256271301316331346[[#This Row],[План]]</f>
        <v>1.886546488888889</v>
      </c>
    </row>
    <row r="24" spans="1:5" outlineLevel="1" x14ac:dyDescent="0.2">
      <c r="A24" s="30" t="s">
        <v>26</v>
      </c>
      <c r="B24" s="135">
        <v>467007</v>
      </c>
      <c r="C24" s="31">
        <v>505000</v>
      </c>
      <c r="D24" s="32">
        <f>Таблица4936997167333146617691106121136151166196211196226241256271301316331346[[#This Row],[Профит]]/Таблица4936997167333146617691106121136151166196211196226241256271301316331346[[#This Row],[План]]</f>
        <v>0.92476633663366337</v>
      </c>
    </row>
    <row r="25" spans="1:5" outlineLevel="1" x14ac:dyDescent="0.2">
      <c r="A25" s="30" t="s">
        <v>27</v>
      </c>
      <c r="B25" s="135">
        <v>397243.6</v>
      </c>
      <c r="C25" s="31">
        <v>505000</v>
      </c>
      <c r="D25" s="32">
        <f>Таблица4936997167333146617691106121136151166196211196226241256271301316331346[[#This Row],[Профит]]/Таблица4936997167333146617691106121136151166196211196226241256271301316331346[[#This Row],[План]]</f>
        <v>0.78662099009900988</v>
      </c>
    </row>
    <row r="26" spans="1:5" outlineLevel="1" x14ac:dyDescent="0.2">
      <c r="A26" s="30" t="s">
        <v>28</v>
      </c>
      <c r="B26" s="135"/>
      <c r="C26" s="31">
        <v>560000</v>
      </c>
      <c r="D26" s="32">
        <f>Таблица4936997167333146617691106121136151166196211196226241256271301316331346[[#This Row],[Профит]]/Таблица4936997167333146617691106121136151166196211196226241256271301316331346[[#This Row],[План]]</f>
        <v>0</v>
      </c>
    </row>
    <row r="27" spans="1:5" outlineLevel="1" x14ac:dyDescent="0.2">
      <c r="A27" s="30" t="s">
        <v>29</v>
      </c>
      <c r="B27" s="135"/>
      <c r="C27" s="31">
        <v>560000</v>
      </c>
      <c r="D27" s="32">
        <f>Таблица4936997167333146617691106121136151166196211196226241256271301316331346[[#This Row],[Профит]]/Таблица4936997167333146617691106121136151166196211196226241256271301316331346[[#This Row],[План]]</f>
        <v>0</v>
      </c>
    </row>
    <row r="28" spans="1:5" outlineLevel="1" x14ac:dyDescent="0.2">
      <c r="A28" s="30" t="s">
        <v>30</v>
      </c>
      <c r="B28" s="135"/>
      <c r="C28" s="31">
        <v>620000</v>
      </c>
      <c r="D28" s="32">
        <f>Таблица4936997167333146617691106121136151166196211196226241256271301316331346[[#This Row],[Профит]]/Таблица4936997167333146617691106121136151166196211196226241256271301316331346[[#This Row],[План]]</f>
        <v>0</v>
      </c>
    </row>
    <row r="29" spans="1:5" outlineLevel="1" x14ac:dyDescent="0.2">
      <c r="A29" s="30" t="s">
        <v>31</v>
      </c>
      <c r="B29" s="31"/>
      <c r="C29" s="31">
        <v>675000</v>
      </c>
      <c r="D29" s="32">
        <f>Таблица4936997167333146617691106121136151166196211196226241256271301316331346[[#This Row],[Профит]]/Таблица4936997167333146617691106121136151166196211196226241256271301316331346[[#This Row],[План]]</f>
        <v>0</v>
      </c>
    </row>
    <row r="30" spans="1:5" outlineLevel="1" x14ac:dyDescent="0.2">
      <c r="A30" s="30" t="s">
        <v>32</v>
      </c>
      <c r="B30" s="34"/>
      <c r="C30" s="34">
        <v>785000</v>
      </c>
      <c r="D30" s="32">
        <f>Таблица4936997167333146617691106121136151166196211196226241256271301316331346[[#This Row],[Профит]]/Таблица4936997167333146617691106121136151166196211196226241256271301316331346[[#This Row],[План]]</f>
        <v>0</v>
      </c>
    </row>
    <row r="31" spans="1:5" outlineLevel="1" x14ac:dyDescent="0.2">
      <c r="A31" s="30" t="s">
        <v>33</v>
      </c>
      <c r="B31" s="34"/>
      <c r="C31" s="34">
        <v>505000</v>
      </c>
      <c r="D31" s="32">
        <f>Таблица4936997167333146617691106121136151166196211196226241256271301316331346[[#This Row],[Профит]]/Таблица4936997167333146617691106121136151166196211196226241256271301316331346[[#This Row],[План]]</f>
        <v>0</v>
      </c>
    </row>
    <row r="32" spans="1:5" outlineLevel="1" x14ac:dyDescent="0.2">
      <c r="A32" s="30" t="s">
        <v>34</v>
      </c>
      <c r="B32" s="34"/>
      <c r="C32" s="34">
        <v>560000</v>
      </c>
      <c r="D32" s="32">
        <f>Таблица4936997167333146617691106121136151166196211196226241256271301316331346[[#This Row],[Профит]]/Таблица4936997167333146617691106121136151166196211196226241256271301316331346[[#This Row],[План]]</f>
        <v>0</v>
      </c>
    </row>
    <row r="33" spans="1:8" outlineLevel="1" x14ac:dyDescent="0.2">
      <c r="A33" s="33" t="s">
        <v>35</v>
      </c>
      <c r="B33" s="34"/>
      <c r="C33" s="34">
        <v>560000</v>
      </c>
      <c r="D33" s="32">
        <f>Таблица4936997167333146617691106121136151166196211196226241256271301316331346[[#This Row],[Профит]]/Таблица4936997167333146617691106121136151166196211196226241256271301316331346[[#This Row],[План]]</f>
        <v>0</v>
      </c>
      <c r="H33" s="35"/>
    </row>
    <row r="34" spans="1:8" ht="15" outlineLevel="1" x14ac:dyDescent="0.25">
      <c r="A34" s="36" t="s">
        <v>36</v>
      </c>
      <c r="B34" s="37">
        <f>SUM(B22:B33)</f>
        <v>1818977.12</v>
      </c>
      <c r="C34" s="38">
        <f>SUM(C22:C33)</f>
        <v>6735000</v>
      </c>
      <c r="D34" s="39"/>
    </row>
    <row r="35" spans="1:8" outlineLevel="1" x14ac:dyDescent="0.2">
      <c r="A35" s="41" t="s">
        <v>37</v>
      </c>
      <c r="B35" s="42">
        <f>AVERAGE(B22:B33)</f>
        <v>454744.28</v>
      </c>
      <c r="C35" s="42">
        <f>AVERAGE(C22:C33)</f>
        <v>561250</v>
      </c>
      <c r="D35" s="367">
        <f>B35/C35</f>
        <v>0.81023479732739423</v>
      </c>
    </row>
    <row r="38" spans="1:8" ht="15" x14ac:dyDescent="0.25">
      <c r="A38" s="386" t="s">
        <v>38</v>
      </c>
      <c r="B38" s="386"/>
      <c r="C38" s="386"/>
      <c r="D38" s="386"/>
    </row>
    <row r="39" spans="1:8" s="45" customFormat="1" outlineLevel="1" x14ac:dyDescent="0.2">
      <c r="A39" s="44" t="s">
        <v>39</v>
      </c>
      <c r="B39" s="44" t="s">
        <v>40</v>
      </c>
      <c r="C39" s="44" t="s">
        <v>41</v>
      </c>
      <c r="D39" s="44" t="s">
        <v>42</v>
      </c>
      <c r="E39" s="44" t="s">
        <v>43</v>
      </c>
      <c r="F39" s="2"/>
    </row>
    <row r="40" spans="1:8" ht="15" outlineLevel="1" x14ac:dyDescent="0.25">
      <c r="A40" s="8">
        <f>B25</f>
        <v>397243.6</v>
      </c>
      <c r="B40" s="46">
        <f>50000</f>
        <v>50000</v>
      </c>
      <c r="C40" s="136">
        <f>A40*0.1*0.9</f>
        <v>35751.923999999999</v>
      </c>
      <c r="D40" s="361">
        <f>SUM(G113:G115)</f>
        <v>11500</v>
      </c>
      <c r="E40" s="48">
        <v>0</v>
      </c>
    </row>
    <row r="41" spans="1:8" outlineLevel="1" x14ac:dyDescent="0.2">
      <c r="A41" s="49" t="s">
        <v>44</v>
      </c>
      <c r="B41" s="137">
        <f>Таблица294459759110712313915517118730466278941101261421585565725886026166306466626786947117282843587388103118133148163193208193223238253268298313328343[Оклад]+Таблица294459759110712313915517118730466278941101261421585565725886026166306466626786947117282843587388103118133148163193208193223238253268298313328343[Премия]+Таблица294459759110712313915517118730466278941101261421585565725886026166306466626786947117282843587388103118133148163193208193223238253268298313328343[Штрафы]+Таблица294459759110712313915517118730466278941101261421585565725886026166306466626786947117282843587388103118133148163193208193223238253268298313328343[Доплата за Задачи]</f>
        <v>97251.923999999999</v>
      </c>
      <c r="C41" s="50"/>
    </row>
    <row r="42" spans="1:8" x14ac:dyDescent="0.2">
      <c r="A42" s="40"/>
      <c r="B42" s="40"/>
    </row>
    <row r="43" spans="1:8" x14ac:dyDescent="0.2">
      <c r="A43" s="51"/>
      <c r="B43" s="51"/>
      <c r="C43" s="51"/>
      <c r="D43" s="52"/>
      <c r="E43" s="53"/>
      <c r="F43" s="53"/>
      <c r="H43" s="22"/>
    </row>
    <row r="44" spans="1:8" ht="15" x14ac:dyDescent="0.25">
      <c r="A44" s="386" t="s">
        <v>45</v>
      </c>
      <c r="B44" s="386"/>
      <c r="C44" s="386"/>
      <c r="D44" s="386"/>
      <c r="E44" s="53"/>
      <c r="F44" s="53"/>
      <c r="H44" s="22"/>
    </row>
    <row r="45" spans="1:8" outlineLevel="1" x14ac:dyDescent="0.2">
      <c r="A45" s="5" t="s">
        <v>46</v>
      </c>
      <c r="B45" s="5" t="s">
        <v>47</v>
      </c>
      <c r="C45" s="5" t="s">
        <v>48</v>
      </c>
      <c r="D45" s="54" t="s">
        <v>49</v>
      </c>
      <c r="G45" s="40"/>
    </row>
    <row r="46" spans="1:8" ht="24.95" customHeight="1" outlineLevel="1" x14ac:dyDescent="0.2">
      <c r="A46" s="74" t="s">
        <v>1838</v>
      </c>
      <c r="B46" s="364">
        <v>0</v>
      </c>
      <c r="C46" s="364">
        <v>4450170</v>
      </c>
      <c r="D46" s="92">
        <v>0</v>
      </c>
      <c r="G46" s="40"/>
    </row>
    <row r="47" spans="1:8" ht="24.95" customHeight="1" outlineLevel="1" x14ac:dyDescent="0.2">
      <c r="A47" s="74" t="s">
        <v>2134</v>
      </c>
      <c r="B47" s="364">
        <v>0</v>
      </c>
      <c r="C47" s="364">
        <v>2004050</v>
      </c>
      <c r="D47" s="92">
        <f>Таблица546243318323946536067742532394653606774818895102112437506478921061101291411531651851733496581971131291451611772036526884100116132148547563579593607621637653669685702719193449647994109124139154184199184214229244259289304319334[[#This Row],[Сумма просроченного долга]]/Таблица546243318323946536067742532394653606774818895102112437506478921061101291411531651851733496581971131291451611772036526884100116132148547563579593607621637653669685702719193449647994109124139154184199184214229244259289304319334[[#This Row],[Общая сумма долга]]</f>
        <v>0</v>
      </c>
      <c r="G47" s="40"/>
    </row>
    <row r="48" spans="1:8" ht="24.95" customHeight="1" outlineLevel="1" x14ac:dyDescent="0.2">
      <c r="A48" s="74" t="s">
        <v>2353</v>
      </c>
      <c r="B48" s="364">
        <v>1297250</v>
      </c>
      <c r="C48" s="364">
        <v>1297250</v>
      </c>
      <c r="D48" s="92">
        <f>Таблица546243318323946536067742532394653606774818895102112437506478921061101291411531651851733496581971131291451611772036526884100116132148547563579593607621637653669685702719193449647994109124139154184199184214229244259289304319334[[#This Row],[Сумма просроченного долга]]/Таблица546243318323946536067742532394653606774818895102112437506478921061101291411531651851733496581971131291451611772036526884100116132148547563579593607621637653669685702719193449647994109124139154184199184214229244259289304319334[[#This Row],[Общая сумма долга]]</f>
        <v>1</v>
      </c>
      <c r="G48" s="40"/>
    </row>
    <row r="49" spans="1:8" ht="24.95" customHeight="1" outlineLevel="1" x14ac:dyDescent="0.2">
      <c r="A49" s="74" t="s">
        <v>2437</v>
      </c>
      <c r="B49" s="364">
        <v>0</v>
      </c>
      <c r="C49" s="364">
        <v>508022</v>
      </c>
      <c r="D49" s="92">
        <f>Таблица546243318323946536067742532394653606774818895102112437506478921061101291411531651851733496581971131291451611772036526884100116132148547563579593607621637653669685702719193449647994109124139154184199184214229244259289304319334[[#This Row],[Сумма просроченного долга]]/Таблица546243318323946536067742532394653606774818895102112437506478921061101291411531651851733496581971131291451611772036526884100116132148547563579593607621637653669685702719193449647994109124139154184199184214229244259289304319334[[#This Row],[Общая сумма долга]]</f>
        <v>0</v>
      </c>
      <c r="G49" s="40"/>
    </row>
    <row r="50" spans="1:8" ht="24.95" customHeight="1" outlineLevel="1" x14ac:dyDescent="0.2">
      <c r="A50" s="74" t="s">
        <v>2170</v>
      </c>
      <c r="B50" s="364">
        <v>36600</v>
      </c>
      <c r="C50" s="364">
        <v>36600</v>
      </c>
      <c r="D50" s="92">
        <f>Таблица546243318323946536067742532394653606774818895102112437506478921061101291411531651851733496581971131291451611772036526884100116132148547563579593607621637653669685702719193449647994109124139154184199184214229244259289304319334[[#This Row],[Сумма просроченного долга]]/Таблица546243318323946536067742532394653606774818895102112437506478921061101291411531651851733496581971131291451611772036526884100116132148547563579593607621637653669685702719193449647994109124139154184199184214229244259289304319334[[#This Row],[Общая сумма долга]]</f>
        <v>1</v>
      </c>
      <c r="G50" s="40"/>
    </row>
    <row r="51" spans="1:8" outlineLevel="1" x14ac:dyDescent="0.2">
      <c r="A51" s="63"/>
      <c r="B51" s="64" t="s">
        <v>50</v>
      </c>
      <c r="C51" s="65">
        <f>SUM(Таблица546243318323946536067742532394653606774818895102112437506478921061101291411531651851733496581971131291451611772036526884100116132148547563579593607621637653669685702719193449647994109124139154184199184214229244259289304319334[Общая сумма долга])</f>
        <v>8296092</v>
      </c>
      <c r="D51" s="66">
        <v>0.1066</v>
      </c>
      <c r="E51" s="67" t="s">
        <v>51</v>
      </c>
      <c r="F51" s="51"/>
      <c r="G51" s="51"/>
      <c r="H51" s="51"/>
    </row>
    <row r="52" spans="1:8" outlineLevel="1" x14ac:dyDescent="0.2">
      <c r="A52" s="63"/>
      <c r="B52" s="64"/>
      <c r="C52" s="65"/>
      <c r="D52" s="51"/>
      <c r="E52" s="51"/>
      <c r="F52" s="51"/>
      <c r="G52" s="51"/>
      <c r="H52" s="51"/>
    </row>
    <row r="53" spans="1:8" x14ac:dyDescent="0.2">
      <c r="A53" s="63"/>
      <c r="B53" s="51"/>
      <c r="C53" s="51"/>
      <c r="D53" s="52"/>
      <c r="E53" s="51"/>
      <c r="F53" s="53"/>
      <c r="G53" s="51"/>
      <c r="H53" s="68"/>
    </row>
    <row r="54" spans="1:8" x14ac:dyDescent="0.2">
      <c r="A54" s="63"/>
      <c r="B54" s="51"/>
      <c r="C54" s="51"/>
      <c r="D54" s="52"/>
      <c r="E54" s="51"/>
      <c r="F54" s="53"/>
      <c r="G54" s="51"/>
      <c r="H54" s="68"/>
    </row>
    <row r="55" spans="1:8" ht="15" x14ac:dyDescent="0.25">
      <c r="A55" s="387" t="s">
        <v>52</v>
      </c>
      <c r="B55" s="387"/>
      <c r="C55" s="387"/>
      <c r="D55" s="387"/>
      <c r="E55" s="53"/>
      <c r="F55" s="53"/>
      <c r="G55" s="51"/>
    </row>
    <row r="56" spans="1:8" s="6" customFormat="1" outlineLevel="1" x14ac:dyDescent="0.2">
      <c r="A56" s="18" t="s">
        <v>53</v>
      </c>
      <c r="B56" s="19" t="s">
        <v>54</v>
      </c>
      <c r="C56" s="19" t="s">
        <v>55</v>
      </c>
      <c r="D56" s="69" t="s">
        <v>56</v>
      </c>
      <c r="E56" s="69" t="s">
        <v>4</v>
      </c>
      <c r="F56" s="70" t="s">
        <v>57</v>
      </c>
      <c r="G56" s="375" t="s">
        <v>9</v>
      </c>
    </row>
    <row r="57" spans="1:8" s="6" customFormat="1" ht="26.25" customHeight="1" outlineLevel="1" x14ac:dyDescent="0.2">
      <c r="A57" s="173"/>
      <c r="B57" s="246"/>
      <c r="C57" s="131"/>
      <c r="D57" s="249"/>
      <c r="E57" s="177"/>
      <c r="F57" s="250"/>
      <c r="G57" s="374"/>
    </row>
    <row r="58" spans="1:8" s="6" customFormat="1" ht="26.25" customHeight="1" outlineLevel="1" x14ac:dyDescent="0.2">
      <c r="A58" s="173"/>
      <c r="B58" s="246"/>
      <c r="C58" s="131"/>
      <c r="D58" s="249"/>
      <c r="E58" s="177"/>
      <c r="F58" s="250"/>
      <c r="G58" s="374"/>
    </row>
    <row r="59" spans="1:8" s="6" customFormat="1" ht="26.25" customHeight="1" outlineLevel="1" x14ac:dyDescent="0.2">
      <c r="A59" s="173"/>
      <c r="B59" s="246"/>
      <c r="C59" s="131"/>
      <c r="D59" s="249"/>
      <c r="E59" s="177"/>
      <c r="F59" s="250"/>
      <c r="G59" s="374"/>
    </row>
    <row r="60" spans="1:8" s="6" customFormat="1" ht="26.25" customHeight="1" outlineLevel="1" x14ac:dyDescent="0.2">
      <c r="A60" s="173" t="s">
        <v>1154</v>
      </c>
      <c r="B60" s="246">
        <v>39832</v>
      </c>
      <c r="C60" s="131">
        <v>39832</v>
      </c>
      <c r="D60" s="249">
        <v>1</v>
      </c>
      <c r="E60" s="177" t="s">
        <v>94</v>
      </c>
      <c r="F60" s="250" t="s">
        <v>2000</v>
      </c>
      <c r="G60" s="374"/>
    </row>
    <row r="61" spans="1:8" s="6" customFormat="1" ht="26.25" customHeight="1" outlineLevel="1" x14ac:dyDescent="0.2">
      <c r="A61" s="173" t="s">
        <v>2458</v>
      </c>
      <c r="B61" s="230">
        <v>79650</v>
      </c>
      <c r="C61" s="131">
        <v>13270</v>
      </c>
      <c r="D61" s="249">
        <f>Таблица16334659738710111512213414615817019022385470861021181341501661822541577389105121137153551567583597611625641657673689706723233853688398113128143158188203188218233248263293308323338[[#This Row],[Оборот]]/100/Таблица16334659738710111512213414615817019022385470861021181341501661822541577389105121137153551567583597611625641657673689706723233853688398113128143158188203188218233248263293308323338[[#This Row],[Профит ]]</f>
        <v>6.0022607385079127E-2</v>
      </c>
      <c r="E61" s="177" t="s">
        <v>94</v>
      </c>
      <c r="F61" s="250" t="s">
        <v>2459</v>
      </c>
      <c r="G61" s="374"/>
    </row>
    <row r="62" spans="1:8" s="6" customFormat="1" ht="26.25" customHeight="1" outlineLevel="1" x14ac:dyDescent="0.2">
      <c r="A62" s="173"/>
      <c r="B62" s="246"/>
      <c r="C62" s="131"/>
      <c r="D62" s="249"/>
      <c r="E62" s="177"/>
      <c r="F62" s="250"/>
      <c r="G62" s="376"/>
    </row>
    <row r="63" spans="1:8" s="6" customFormat="1" ht="26.25" customHeight="1" outlineLevel="1" x14ac:dyDescent="0.2">
      <c r="A63" s="306"/>
      <c r="B63" s="370"/>
      <c r="C63" s="371"/>
      <c r="D63" s="372"/>
      <c r="E63" s="307"/>
      <c r="F63" s="373"/>
      <c r="G63" s="376"/>
    </row>
    <row r="64" spans="1:8" s="6" customFormat="1" ht="26.25" customHeight="1" outlineLevel="1" x14ac:dyDescent="0.2">
      <c r="A64" s="173"/>
      <c r="B64" s="246"/>
      <c r="C64" s="131"/>
      <c r="D64" s="249"/>
      <c r="E64" s="177"/>
      <c r="F64" s="250"/>
      <c r="G64" s="376"/>
    </row>
    <row r="65" spans="1:10" s="6" customFormat="1" ht="26.25" customHeight="1" outlineLevel="1" x14ac:dyDescent="0.2">
      <c r="A65" s="173"/>
      <c r="B65" s="246"/>
      <c r="C65" s="131"/>
      <c r="D65" s="249"/>
      <c r="E65" s="177"/>
      <c r="F65" s="250"/>
      <c r="G65" s="376"/>
    </row>
    <row r="66" spans="1:10" s="6" customFormat="1" ht="26.25" customHeight="1" outlineLevel="1" x14ac:dyDescent="0.2">
      <c r="A66" s="173"/>
      <c r="B66" s="246"/>
      <c r="C66" s="131"/>
      <c r="D66" s="249"/>
      <c r="E66" s="177"/>
      <c r="F66" s="250"/>
      <c r="G66" s="376"/>
    </row>
    <row r="67" spans="1:10" x14ac:dyDescent="0.2">
      <c r="A67" s="51"/>
      <c r="B67" s="51"/>
      <c r="C67" s="51"/>
      <c r="D67" s="52"/>
      <c r="E67" s="51"/>
      <c r="F67" s="53"/>
      <c r="G67" s="51"/>
    </row>
    <row r="68" spans="1:10" ht="15" x14ac:dyDescent="0.25">
      <c r="A68" s="386" t="s">
        <v>58</v>
      </c>
      <c r="B68" s="386"/>
      <c r="C68" s="386"/>
      <c r="D68" s="386"/>
      <c r="E68" s="79"/>
      <c r="F68" s="79"/>
    </row>
    <row r="69" spans="1:10" ht="15" customHeight="1" outlineLevel="1" x14ac:dyDescent="0.2">
      <c r="A69" s="80">
        <v>46204</v>
      </c>
      <c r="B69" s="81" t="s">
        <v>21</v>
      </c>
      <c r="C69" s="81" t="s">
        <v>59</v>
      </c>
      <c r="D69" s="81" t="s">
        <v>60</v>
      </c>
      <c r="E69" s="81" t="s">
        <v>61</v>
      </c>
      <c r="F69" s="81" t="s">
        <v>62</v>
      </c>
      <c r="G69" s="81" t="s">
        <v>63</v>
      </c>
      <c r="H69" s="81" t="s">
        <v>64</v>
      </c>
    </row>
    <row r="70" spans="1:10" s="347" customFormat="1" outlineLevel="1" x14ac:dyDescent="0.2">
      <c r="A70" s="377"/>
      <c r="B70" s="378">
        <v>505000</v>
      </c>
      <c r="C70" s="379">
        <v>0</v>
      </c>
      <c r="D70" s="378">
        <v>511000</v>
      </c>
      <c r="E70" s="378">
        <v>30000</v>
      </c>
      <c r="F70" s="378">
        <v>167000</v>
      </c>
      <c r="G70" s="378">
        <f>C70+D70+E70*0.5+F70*0.05</f>
        <v>534350</v>
      </c>
      <c r="H70" s="380">
        <f>Таблица9132738193340475461687582899682891101171241311381451521591661731801871945121926334047546168758289961031101171241311381451521591661741821902052131241361481601721922440627894110126142158174190334965819711312914516155957559160361763164766367969571344[[#This Row],[Столбец6]]/Таблица9132738193340475461687582899682891101171241311381451521591661731801871945121926334047546168758289961031101171241311381451521591661741821902052131241361481601721922440627894110126142158174190334965819711312914516155957559160361763164766367969571344[[#This Row],[Столбец1]]</f>
        <v>1.0581188118811882</v>
      </c>
    </row>
    <row r="71" spans="1:10" outlineLevel="1" x14ac:dyDescent="0.2">
      <c r="A71" s="40"/>
      <c r="B71" s="40"/>
      <c r="C71" s="369"/>
      <c r="D71" s="40"/>
      <c r="E71" s="40"/>
      <c r="F71" s="40"/>
      <c r="G71" s="40"/>
      <c r="H71" s="86"/>
    </row>
    <row r="72" spans="1:10" outlineLevel="1" x14ac:dyDescent="0.2">
      <c r="A72" s="80">
        <v>46235</v>
      </c>
      <c r="B72" s="81" t="s">
        <v>21</v>
      </c>
      <c r="C72" s="81" t="s">
        <v>59</v>
      </c>
      <c r="D72" s="81" t="s">
        <v>60</v>
      </c>
      <c r="E72" s="81" t="s">
        <v>61</v>
      </c>
      <c r="F72" s="81" t="s">
        <v>62</v>
      </c>
      <c r="G72" s="81" t="s">
        <v>63</v>
      </c>
      <c r="H72" s="81" t="s">
        <v>64</v>
      </c>
    </row>
    <row r="73" spans="1:10" s="347" customFormat="1" ht="15" customHeight="1" outlineLevel="1" x14ac:dyDescent="0.2">
      <c r="A73" s="377"/>
      <c r="B73" s="378">
        <v>560000</v>
      </c>
      <c r="C73" s="379">
        <v>0</v>
      </c>
      <c r="D73" s="379">
        <v>0</v>
      </c>
      <c r="E73" s="379">
        <v>669000</v>
      </c>
      <c r="F73" s="378">
        <v>50000</v>
      </c>
      <c r="G73" s="378">
        <f>C73+D73+E73*0.5+F73*0.05</f>
        <v>337000</v>
      </c>
      <c r="H73" s="380">
        <f>Таблица9132738193340475461687582899682891101171241311381451521591661731801871945121926334047546168758289961031101171241311381451521591661741821902052131191251371491611731932541567288104120136152168184274359759110712313915555356958559961362764365967569340[[#This Row],[Столбец6]]/Таблица9132738193340475461687582899682891101171241311381451521591661731801871945121926334047546168758289961031101171241311381451521591661741821902052131191251371491611731932541567288104120136152168184274359759110712313915555356958559961362764365967569340[[#This Row],[Столбец1]]</f>
        <v>0.60178571428571426</v>
      </c>
    </row>
    <row r="74" spans="1:10" x14ac:dyDescent="0.2">
      <c r="A74" s="63"/>
      <c r="B74" s="51"/>
      <c r="C74" s="51"/>
      <c r="D74" s="52"/>
      <c r="E74" s="51"/>
    </row>
    <row r="75" spans="1:10" x14ac:dyDescent="0.2">
      <c r="A75" s="51"/>
      <c r="B75" s="51"/>
      <c r="C75" s="51"/>
      <c r="D75" s="52"/>
      <c r="E75" s="51"/>
    </row>
    <row r="76" spans="1:10" ht="15.75" x14ac:dyDescent="0.25">
      <c r="A76" s="88" t="s">
        <v>65</v>
      </c>
      <c r="B76" s="89"/>
    </row>
    <row r="77" spans="1:10" s="347" customFormat="1" ht="15" x14ac:dyDescent="0.25">
      <c r="A77" s="391" t="s">
        <v>66</v>
      </c>
      <c r="B77" s="391"/>
      <c r="C77" s="391"/>
      <c r="D77" s="391"/>
      <c r="E77" s="381"/>
      <c r="F77" s="381"/>
      <c r="G77" s="382">
        <f>SUM(Таблица4211720344148556269768390978390111118125132139146153160167174181188195613202734414855626976839097104111118125132139146153160167175183198206214123135147159171191233955718710311913515116718326425874901061221381545525685845986126266426586746907077339[Сумма, тыс. руб.])*1000</f>
        <v>653384000</v>
      </c>
      <c r="H77" s="383"/>
    </row>
    <row r="78" spans="1:10" outlineLevel="1" x14ac:dyDescent="0.2">
      <c r="A78" s="91" t="s">
        <v>67</v>
      </c>
      <c r="B78" s="91" t="s">
        <v>53</v>
      </c>
      <c r="C78" s="91" t="s">
        <v>4</v>
      </c>
      <c r="D78" s="91" t="s">
        <v>68</v>
      </c>
      <c r="E78" s="91" t="s">
        <v>69</v>
      </c>
      <c r="F78" s="91" t="s">
        <v>70</v>
      </c>
      <c r="G78" s="91" t="s">
        <v>71</v>
      </c>
      <c r="H78" s="91" t="s">
        <v>72</v>
      </c>
      <c r="I78" s="276"/>
      <c r="J78" s="276"/>
    </row>
    <row r="79" spans="1:10" ht="25.5" customHeight="1" outlineLevel="1" x14ac:dyDescent="0.2">
      <c r="A79" s="173" t="s">
        <v>2417</v>
      </c>
      <c r="B79" s="173" t="s">
        <v>2352</v>
      </c>
      <c r="C79" s="173" t="s">
        <v>94</v>
      </c>
      <c r="D79" s="173" t="s">
        <v>73</v>
      </c>
      <c r="E79" s="173" t="s">
        <v>2425</v>
      </c>
      <c r="F79" s="173" t="s">
        <v>2245</v>
      </c>
      <c r="G79" s="225">
        <v>624961</v>
      </c>
      <c r="H79" s="173" t="s">
        <v>390</v>
      </c>
      <c r="I79" s="276"/>
      <c r="J79" s="276"/>
    </row>
    <row r="80" spans="1:10" ht="24" customHeight="1" outlineLevel="1" x14ac:dyDescent="0.2">
      <c r="A80" s="173" t="s">
        <v>2438</v>
      </c>
      <c r="B80" s="173" t="s">
        <v>2439</v>
      </c>
      <c r="C80" s="173" t="s">
        <v>94</v>
      </c>
      <c r="D80" s="173" t="s">
        <v>73</v>
      </c>
      <c r="E80" s="173" t="s">
        <v>2448</v>
      </c>
      <c r="F80" s="173" t="s">
        <v>2247</v>
      </c>
      <c r="G80" s="225">
        <v>24314</v>
      </c>
      <c r="H80" s="173" t="s">
        <v>390</v>
      </c>
      <c r="I80" s="276"/>
      <c r="J80" s="276"/>
    </row>
    <row r="81" spans="1:10" ht="25.5" outlineLevel="1" x14ac:dyDescent="0.2">
      <c r="A81" s="173" t="s">
        <v>2339</v>
      </c>
      <c r="B81" s="173" t="s">
        <v>2222</v>
      </c>
      <c r="C81" s="173" t="s">
        <v>94</v>
      </c>
      <c r="D81" s="173" t="s">
        <v>73</v>
      </c>
      <c r="E81" s="173" t="s">
        <v>1844</v>
      </c>
      <c r="F81" s="173" t="s">
        <v>2245</v>
      </c>
      <c r="G81" s="225">
        <v>1845</v>
      </c>
      <c r="H81" s="173" t="s">
        <v>168</v>
      </c>
      <c r="I81" s="276"/>
      <c r="J81" s="276"/>
    </row>
    <row r="82" spans="1:10" s="258" customFormat="1" ht="24.95" customHeight="1" outlineLevel="1" x14ac:dyDescent="0.2">
      <c r="A82" s="230" t="s">
        <v>2419</v>
      </c>
      <c r="B82" s="230" t="s">
        <v>1029</v>
      </c>
      <c r="C82" s="177" t="s">
        <v>94</v>
      </c>
      <c r="D82" s="173" t="s">
        <v>73</v>
      </c>
      <c r="E82" s="230" t="s">
        <v>572</v>
      </c>
      <c r="F82" s="224" t="s">
        <v>2247</v>
      </c>
      <c r="G82" s="131">
        <v>1123</v>
      </c>
      <c r="H82" s="173" t="s">
        <v>390</v>
      </c>
    </row>
    <row r="83" spans="1:10" s="258" customFormat="1" ht="24.95" customHeight="1" outlineLevel="1" x14ac:dyDescent="0.2">
      <c r="A83" s="230" t="s">
        <v>2440</v>
      </c>
      <c r="B83" s="230" t="s">
        <v>2441</v>
      </c>
      <c r="C83" s="177" t="s">
        <v>94</v>
      </c>
      <c r="D83" s="173" t="s">
        <v>73</v>
      </c>
      <c r="E83" s="230" t="s">
        <v>2449</v>
      </c>
      <c r="F83" s="224" t="s">
        <v>2247</v>
      </c>
      <c r="G83" s="131">
        <v>719</v>
      </c>
      <c r="H83" s="173" t="s">
        <v>280</v>
      </c>
    </row>
    <row r="84" spans="1:10" s="258" customFormat="1" ht="24.95" customHeight="1" outlineLevel="1" x14ac:dyDescent="0.2">
      <c r="A84" s="230" t="s">
        <v>2338</v>
      </c>
      <c r="B84" s="230" t="s">
        <v>2353</v>
      </c>
      <c r="C84" s="177" t="s">
        <v>94</v>
      </c>
      <c r="D84" s="173" t="s">
        <v>73</v>
      </c>
      <c r="E84" s="230" t="s">
        <v>2359</v>
      </c>
      <c r="F84" s="224" t="s">
        <v>2247</v>
      </c>
      <c r="G84" s="131">
        <v>149</v>
      </c>
      <c r="H84" s="173" t="s">
        <v>168</v>
      </c>
    </row>
    <row r="85" spans="1:10" s="258" customFormat="1" ht="24.95" customHeight="1" outlineLevel="1" x14ac:dyDescent="0.2">
      <c r="A85" s="230" t="s">
        <v>2445</v>
      </c>
      <c r="B85" s="230" t="s">
        <v>2250</v>
      </c>
      <c r="C85" s="177" t="s">
        <v>94</v>
      </c>
      <c r="D85" s="173" t="s">
        <v>73</v>
      </c>
      <c r="E85" s="230" t="s">
        <v>2451</v>
      </c>
      <c r="F85" s="224" t="s">
        <v>2247</v>
      </c>
      <c r="G85" s="131">
        <v>119</v>
      </c>
      <c r="H85" s="173" t="s">
        <v>168</v>
      </c>
    </row>
    <row r="86" spans="1:10" s="258" customFormat="1" ht="24.95" customHeight="1" outlineLevel="1" x14ac:dyDescent="0.2">
      <c r="A86" s="230" t="s">
        <v>2200</v>
      </c>
      <c r="B86" s="230" t="s">
        <v>2175</v>
      </c>
      <c r="C86" s="177" t="s">
        <v>94</v>
      </c>
      <c r="D86" s="173" t="s">
        <v>1646</v>
      </c>
      <c r="E86" s="230" t="s">
        <v>2231</v>
      </c>
      <c r="F86" s="224" t="s">
        <v>2245</v>
      </c>
      <c r="G86" s="131">
        <v>82</v>
      </c>
      <c r="H86" s="173" t="s">
        <v>280</v>
      </c>
    </row>
    <row r="87" spans="1:10" s="258" customFormat="1" ht="24.95" customHeight="1" outlineLevel="1" x14ac:dyDescent="0.2">
      <c r="A87" s="230" t="s">
        <v>1600</v>
      </c>
      <c r="B87" s="230" t="s">
        <v>104</v>
      </c>
      <c r="C87" s="177" t="s">
        <v>94</v>
      </c>
      <c r="D87" s="173" t="s">
        <v>73</v>
      </c>
      <c r="E87" s="230" t="s">
        <v>1640</v>
      </c>
      <c r="F87" s="224" t="s">
        <v>2247</v>
      </c>
      <c r="G87" s="131">
        <v>72</v>
      </c>
      <c r="H87" s="173" t="s">
        <v>168</v>
      </c>
    </row>
    <row r="88" spans="1:10" x14ac:dyDescent="0.2">
      <c r="A88" s="104"/>
      <c r="B88" s="104"/>
      <c r="C88" s="105"/>
      <c r="D88" s="106"/>
      <c r="E88" s="106"/>
      <c r="F88" s="107"/>
      <c r="G88" s="108"/>
      <c r="H88" s="106"/>
    </row>
    <row r="89" spans="1:10" s="347" customFormat="1" ht="15" x14ac:dyDescent="0.25">
      <c r="A89" s="391" t="s">
        <v>74</v>
      </c>
      <c r="B89" s="391"/>
      <c r="C89" s="391"/>
      <c r="D89" s="391"/>
      <c r="G89" s="382">
        <f>SUM(Таблица125138150162174194264257738910512113715316918528446076921081241401565545705866006146286446606766927097262641567186101116131146161191206191221236251266296311326341[Сумма])*1000</f>
        <v>26167000</v>
      </c>
      <c r="H89" s="383"/>
    </row>
    <row r="90" spans="1:10" outlineLevel="1" x14ac:dyDescent="0.2">
      <c r="A90" s="91" t="s">
        <v>67</v>
      </c>
      <c r="B90" s="91" t="s">
        <v>53</v>
      </c>
      <c r="C90" s="91" t="s">
        <v>4</v>
      </c>
      <c r="D90" s="91" t="s">
        <v>68</v>
      </c>
      <c r="E90" s="91" t="s">
        <v>69</v>
      </c>
      <c r="F90" s="91" t="s">
        <v>70</v>
      </c>
      <c r="G90" s="91" t="s">
        <v>75</v>
      </c>
      <c r="H90" s="91" t="s">
        <v>72</v>
      </c>
    </row>
    <row r="91" spans="1:10" ht="24.95" customHeight="1" outlineLevel="1" x14ac:dyDescent="0.2">
      <c r="A91" s="74" t="s">
        <v>2438</v>
      </c>
      <c r="B91" s="74" t="s">
        <v>2439</v>
      </c>
      <c r="C91" s="177" t="s">
        <v>94</v>
      </c>
      <c r="D91" s="94" t="s">
        <v>73</v>
      </c>
      <c r="E91" s="74" t="s">
        <v>2448</v>
      </c>
      <c r="F91" s="218" t="s">
        <v>2247</v>
      </c>
      <c r="G91" s="72">
        <v>24314</v>
      </c>
      <c r="H91" s="94" t="s">
        <v>390</v>
      </c>
    </row>
    <row r="92" spans="1:10" ht="24.95" customHeight="1" outlineLevel="1" x14ac:dyDescent="0.2">
      <c r="A92" s="74" t="s">
        <v>2440</v>
      </c>
      <c r="B92" s="74" t="s">
        <v>2441</v>
      </c>
      <c r="C92" s="177" t="s">
        <v>94</v>
      </c>
      <c r="D92" s="94" t="s">
        <v>73</v>
      </c>
      <c r="E92" s="74" t="s">
        <v>2449</v>
      </c>
      <c r="F92" s="218" t="s">
        <v>2247</v>
      </c>
      <c r="G92" s="72">
        <v>719</v>
      </c>
      <c r="H92" s="94" t="s">
        <v>280</v>
      </c>
    </row>
    <row r="93" spans="1:10" ht="24.95" customHeight="1" outlineLevel="1" x14ac:dyDescent="0.2">
      <c r="A93" s="74" t="s">
        <v>2442</v>
      </c>
      <c r="B93" s="74" t="s">
        <v>2443</v>
      </c>
      <c r="C93" s="177" t="s">
        <v>94</v>
      </c>
      <c r="D93" s="94" t="s">
        <v>73</v>
      </c>
      <c r="E93" s="74" t="s">
        <v>2450</v>
      </c>
      <c r="F93" s="218" t="s">
        <v>2452</v>
      </c>
      <c r="G93" s="72">
        <v>627</v>
      </c>
      <c r="H93" s="94" t="s">
        <v>280</v>
      </c>
    </row>
    <row r="94" spans="1:10" ht="24.95" customHeight="1" outlineLevel="1" x14ac:dyDescent="0.2">
      <c r="A94" s="74" t="s">
        <v>2444</v>
      </c>
      <c r="B94" s="74" t="s">
        <v>2353</v>
      </c>
      <c r="C94" s="177" t="s">
        <v>94</v>
      </c>
      <c r="D94" s="94" t="s">
        <v>73</v>
      </c>
      <c r="E94" s="74" t="s">
        <v>1248</v>
      </c>
      <c r="F94" s="218" t="s">
        <v>2244</v>
      </c>
      <c r="G94" s="72">
        <v>298</v>
      </c>
      <c r="H94" s="94" t="s">
        <v>284</v>
      </c>
    </row>
    <row r="95" spans="1:10" ht="24.95" customHeight="1" outlineLevel="1" x14ac:dyDescent="0.2">
      <c r="A95" s="74" t="s">
        <v>2445</v>
      </c>
      <c r="B95" s="74" t="s">
        <v>2250</v>
      </c>
      <c r="C95" s="177" t="s">
        <v>94</v>
      </c>
      <c r="D95" s="94" t="s">
        <v>73</v>
      </c>
      <c r="E95" s="74" t="s">
        <v>2451</v>
      </c>
      <c r="F95" s="218" t="s">
        <v>2247</v>
      </c>
      <c r="G95" s="72">
        <v>119</v>
      </c>
      <c r="H95" s="94" t="s">
        <v>168</v>
      </c>
    </row>
    <row r="96" spans="1:10" ht="24.95" customHeight="1" outlineLevel="1" x14ac:dyDescent="0.2">
      <c r="A96" s="74" t="s">
        <v>2446</v>
      </c>
      <c r="B96" s="74" t="s">
        <v>2400</v>
      </c>
      <c r="C96" s="177" t="s">
        <v>94</v>
      </c>
      <c r="D96" s="94" t="s">
        <v>73</v>
      </c>
      <c r="E96" s="74" t="s">
        <v>2225</v>
      </c>
      <c r="F96" s="218" t="s">
        <v>2244</v>
      </c>
      <c r="G96" s="72">
        <v>90</v>
      </c>
      <c r="H96" s="94" t="s">
        <v>107</v>
      </c>
    </row>
    <row r="97" spans="1:8" ht="24.95" customHeight="1" outlineLevel="1" x14ac:dyDescent="0.2">
      <c r="A97" s="74" t="s">
        <v>2447</v>
      </c>
      <c r="B97" s="74" t="s">
        <v>1823</v>
      </c>
      <c r="C97" s="177" t="s">
        <v>94</v>
      </c>
      <c r="D97" s="94" t="s">
        <v>73</v>
      </c>
      <c r="E97" s="74" t="s">
        <v>2368</v>
      </c>
      <c r="F97" s="218" t="s">
        <v>2248</v>
      </c>
      <c r="G97" s="72">
        <v>0</v>
      </c>
      <c r="H97" s="94" t="s">
        <v>996</v>
      </c>
    </row>
    <row r="98" spans="1:8" ht="15" customHeight="1" x14ac:dyDescent="0.2"/>
    <row r="99" spans="1:8" ht="15.75" x14ac:dyDescent="0.25">
      <c r="A99" s="1" t="s">
        <v>76</v>
      </c>
    </row>
    <row r="100" spans="1:8" ht="15" x14ac:dyDescent="0.25">
      <c r="A100" s="387" t="s">
        <v>77</v>
      </c>
      <c r="B100" s="387"/>
      <c r="C100" s="387"/>
      <c r="D100" s="387"/>
      <c r="G100" s="235"/>
      <c r="H100" s="276"/>
    </row>
    <row r="101" spans="1:8" s="104" customFormat="1" outlineLevel="1" x14ac:dyDescent="0.25">
      <c r="A101" s="112" t="s">
        <v>78</v>
      </c>
      <c r="B101" s="112" t="s">
        <v>53</v>
      </c>
      <c r="C101" s="91" t="s">
        <v>4</v>
      </c>
      <c r="D101" s="112" t="s">
        <v>79</v>
      </c>
      <c r="E101" s="91" t="s">
        <v>80</v>
      </c>
      <c r="F101" s="112" t="s">
        <v>81</v>
      </c>
      <c r="G101" s="112" t="s">
        <v>82</v>
      </c>
    </row>
    <row r="102" spans="1:8" s="104" customFormat="1" ht="24.95" customHeight="1" outlineLevel="1" x14ac:dyDescent="0.25">
      <c r="A102" s="171"/>
      <c r="B102" s="173"/>
      <c r="C102" s="177"/>
      <c r="D102" s="173"/>
      <c r="E102" s="173"/>
      <c r="F102" s="173"/>
      <c r="G102" s="173"/>
    </row>
    <row r="103" spans="1:8" s="104" customFormat="1" ht="12" customHeight="1" outlineLevel="1" x14ac:dyDescent="0.2">
      <c r="A103" s="2"/>
      <c r="B103" s="118"/>
      <c r="C103" s="2"/>
      <c r="D103" s="2"/>
      <c r="E103" s="2"/>
      <c r="F103" s="2"/>
      <c r="G103" s="2"/>
    </row>
    <row r="104" spans="1:8" ht="24" customHeight="1" outlineLevel="1" x14ac:dyDescent="0.2">
      <c r="A104" s="118"/>
      <c r="B104" s="118"/>
    </row>
    <row r="105" spans="1:8" ht="15" x14ac:dyDescent="0.25">
      <c r="A105" s="387" t="s">
        <v>83</v>
      </c>
      <c r="B105" s="387"/>
      <c r="C105" s="387"/>
      <c r="D105" s="387"/>
      <c r="G105" s="235"/>
      <c r="H105" s="276"/>
    </row>
    <row r="106" spans="1:8" ht="24" customHeight="1" outlineLevel="1" x14ac:dyDescent="0.2">
      <c r="A106" s="112" t="s">
        <v>78</v>
      </c>
      <c r="B106" s="112" t="s">
        <v>53</v>
      </c>
      <c r="C106" s="91" t="s">
        <v>4</v>
      </c>
      <c r="D106" s="112" t="s">
        <v>79</v>
      </c>
      <c r="E106" s="91" t="s">
        <v>80</v>
      </c>
      <c r="F106" s="112" t="s">
        <v>81</v>
      </c>
      <c r="G106" s="112" t="s">
        <v>82</v>
      </c>
    </row>
    <row r="107" spans="1:8" ht="24" customHeight="1" outlineLevel="1" x14ac:dyDescent="0.2">
      <c r="A107" s="91"/>
      <c r="B107" s="91"/>
      <c r="C107" s="278"/>
      <c r="D107" s="280"/>
      <c r="E107" s="91"/>
      <c r="F107" s="91"/>
      <c r="G107" s="91"/>
    </row>
    <row r="109" spans="1:8" s="17" customFormat="1" outlineLevel="1" x14ac:dyDescent="0.2">
      <c r="A109" s="2"/>
      <c r="B109" s="2"/>
      <c r="C109" s="2"/>
      <c r="D109" s="2"/>
      <c r="E109" s="2"/>
      <c r="F109" s="2"/>
      <c r="G109" s="2"/>
    </row>
    <row r="110" spans="1:8" ht="15.75" x14ac:dyDescent="0.25">
      <c r="A110" s="1" t="s">
        <v>84</v>
      </c>
    </row>
    <row r="111" spans="1:8" ht="12.6" customHeight="1" outlineLevel="1" x14ac:dyDescent="0.25">
      <c r="A111" s="386" t="s">
        <v>85</v>
      </c>
      <c r="B111" s="386"/>
      <c r="C111" s="386"/>
      <c r="D111" s="386"/>
    </row>
    <row r="112" spans="1:8" ht="33" customHeight="1" outlineLevel="1" x14ac:dyDescent="0.2">
      <c r="A112" s="120" t="s">
        <v>81</v>
      </c>
      <c r="B112" s="120" t="s">
        <v>86</v>
      </c>
      <c r="C112" s="120" t="s">
        <v>87</v>
      </c>
      <c r="D112" s="120" t="s">
        <v>88</v>
      </c>
      <c r="E112" s="120" t="s">
        <v>89</v>
      </c>
      <c r="F112" s="120" t="s">
        <v>4</v>
      </c>
      <c r="G112" s="120" t="s">
        <v>90</v>
      </c>
    </row>
    <row r="113" spans="1:15" ht="144" customHeight="1" outlineLevel="1" x14ac:dyDescent="0.2">
      <c r="A113" s="94"/>
      <c r="B113" s="219" t="s">
        <v>2462</v>
      </c>
      <c r="C113" s="238" t="s">
        <v>160</v>
      </c>
      <c r="D113" s="225" t="s">
        <v>2471</v>
      </c>
      <c r="E113" s="132" t="s">
        <v>2463</v>
      </c>
      <c r="F113" s="74" t="s">
        <v>94</v>
      </c>
      <c r="G113" s="72">
        <v>4500</v>
      </c>
    </row>
    <row r="114" spans="1:15" ht="232.5" customHeight="1" outlineLevel="1" x14ac:dyDescent="0.2">
      <c r="A114" s="94"/>
      <c r="B114" s="219" t="s">
        <v>2464</v>
      </c>
      <c r="C114" s="238" t="s">
        <v>160</v>
      </c>
      <c r="D114" s="225" t="s">
        <v>2472</v>
      </c>
      <c r="E114" s="132" t="s">
        <v>2465</v>
      </c>
      <c r="F114" s="74" t="s">
        <v>94</v>
      </c>
      <c r="G114" s="72">
        <v>7000</v>
      </c>
    </row>
    <row r="115" spans="1:15" ht="165" customHeight="1" x14ac:dyDescent="0.2">
      <c r="A115" s="94"/>
      <c r="B115" s="219" t="s">
        <v>2466</v>
      </c>
      <c r="C115" s="238" t="s">
        <v>91</v>
      </c>
      <c r="D115" s="225" t="s">
        <v>2434</v>
      </c>
      <c r="E115" s="132" t="s">
        <v>2467</v>
      </c>
      <c r="F115" s="74" t="s">
        <v>94</v>
      </c>
      <c r="G115" s="72">
        <v>0</v>
      </c>
    </row>
    <row r="116" spans="1:15" s="124" customFormat="1" ht="12.75" customHeight="1" outlineLevel="1" x14ac:dyDescent="0.2">
      <c r="A116" s="2"/>
      <c r="B116" s="122"/>
      <c r="C116" s="123"/>
      <c r="D116" s="2"/>
      <c r="E116" s="2"/>
      <c r="F116" s="122"/>
      <c r="G116" s="2"/>
      <c r="H116" s="2"/>
      <c r="I116" s="2"/>
      <c r="J116" s="2"/>
      <c r="K116" s="2"/>
      <c r="L116" s="2"/>
      <c r="M116" s="2"/>
      <c r="N116" s="2"/>
      <c r="O116" s="2"/>
    </row>
    <row r="117" spans="1:15" ht="12.6" customHeight="1" outlineLevel="1" x14ac:dyDescent="0.25">
      <c r="A117" s="386" t="s">
        <v>92</v>
      </c>
      <c r="B117" s="386"/>
      <c r="C117" s="386"/>
      <c r="D117" s="386"/>
    </row>
    <row r="118" spans="1:15" x14ac:dyDescent="0.2">
      <c r="A118" s="120" t="s">
        <v>81</v>
      </c>
      <c r="B118" s="120" t="s">
        <v>86</v>
      </c>
      <c r="C118" s="120" t="s">
        <v>87</v>
      </c>
      <c r="D118" s="120" t="s">
        <v>88</v>
      </c>
      <c r="E118" s="120" t="s">
        <v>89</v>
      </c>
      <c r="F118" s="120" t="s">
        <v>4</v>
      </c>
      <c r="G118" s="120" t="s">
        <v>90</v>
      </c>
    </row>
    <row r="119" spans="1:15" ht="50.1" customHeight="1" x14ac:dyDescent="0.2">
      <c r="A119" s="230" t="s">
        <v>109</v>
      </c>
      <c r="B119" s="219" t="s">
        <v>2432</v>
      </c>
      <c r="C119" s="292"/>
      <c r="D119" s="292"/>
      <c r="E119" s="132" t="s">
        <v>2429</v>
      </c>
      <c r="F119" s="74" t="s">
        <v>94</v>
      </c>
      <c r="G119" s="292"/>
    </row>
    <row r="120" spans="1:15" ht="50.1" customHeight="1" x14ac:dyDescent="0.25">
      <c r="A120" s="230" t="s">
        <v>109</v>
      </c>
      <c r="B120" s="148" t="s">
        <v>1741</v>
      </c>
      <c r="C120" s="125"/>
      <c r="D120"/>
      <c r="E120" s="132" t="s">
        <v>2435</v>
      </c>
      <c r="F120" s="74" t="s">
        <v>94</v>
      </c>
      <c r="G120" s="126"/>
    </row>
    <row r="121" spans="1:15" ht="50.1" customHeight="1" x14ac:dyDescent="0.25">
      <c r="A121" s="230" t="s">
        <v>109</v>
      </c>
      <c r="B121" s="148" t="s">
        <v>2433</v>
      </c>
      <c r="C121" s="125"/>
      <c r="D121"/>
      <c r="E121" s="132" t="s">
        <v>2430</v>
      </c>
      <c r="F121" s="74" t="s">
        <v>94</v>
      </c>
      <c r="G121" s="126"/>
    </row>
    <row r="122" spans="1:15" ht="50.1" customHeight="1" x14ac:dyDescent="0.25">
      <c r="A122" s="230" t="s">
        <v>109</v>
      </c>
      <c r="B122" s="148" t="s">
        <v>2431</v>
      </c>
      <c r="C122" s="125"/>
      <c r="D122"/>
      <c r="E122" s="132" t="s">
        <v>1516</v>
      </c>
      <c r="F122" s="74" t="s">
        <v>94</v>
      </c>
      <c r="G122" s="126"/>
    </row>
  </sheetData>
  <mergeCells count="14">
    <mergeCell ref="A44:D44"/>
    <mergeCell ref="A5:D5"/>
    <mergeCell ref="A10:D10"/>
    <mergeCell ref="A15:D15"/>
    <mergeCell ref="A20:D20"/>
    <mergeCell ref="A38:D38"/>
    <mergeCell ref="A111:D111"/>
    <mergeCell ref="A117:D117"/>
    <mergeCell ref="A55:D55"/>
    <mergeCell ref="A68:D68"/>
    <mergeCell ref="A77:D77"/>
    <mergeCell ref="A89:D89"/>
    <mergeCell ref="A100:D100"/>
    <mergeCell ref="A105:D105"/>
  </mergeCells>
  <conditionalFormatting sqref="G113:G115 C113:C115">
    <cfRule type="cellIs" dxfId="104" priority="7" operator="equal">
      <formula>"ДА"</formula>
    </cfRule>
    <cfRule type="cellIs" dxfId="103" priority="8" operator="equal">
      <formula>"НЕТ"</formula>
    </cfRule>
    <cfRule type="cellIs" dxfId="102" priority="9" operator="equal">
      <formula>"Нет"</formula>
    </cfRule>
    <cfRule type="cellIs" dxfId="101" priority="10" operator="equal">
      <formula>"нет"</formula>
    </cfRule>
    <cfRule type="cellIs" dxfId="100" priority="11" operator="equal">
      <formula>"ДА"</formula>
    </cfRule>
    <cfRule type="containsText" dxfId="99" priority="12" operator="containsText" text="Да">
      <formula>NOT(ISERROR(SEARCH("Да",C113)))</formula>
    </cfRule>
  </conditionalFormatting>
  <conditionalFormatting sqref="E7 E12">
    <cfRule type="cellIs" dxfId="98" priority="19" operator="lessThan">
      <formula>0</formula>
    </cfRule>
    <cfRule type="cellIs" dxfId="97" priority="20" operator="greaterThan">
      <formula>0</formula>
    </cfRule>
  </conditionalFormatting>
  <conditionalFormatting sqref="D7 D12 E17">
    <cfRule type="cellIs" dxfId="96" priority="17" operator="lessThan">
      <formula>0</formula>
    </cfRule>
    <cfRule type="cellIs" dxfId="95" priority="18" operator="greaterThan">
      <formula>0</formula>
    </cfRule>
  </conditionalFormatting>
  <conditionalFormatting sqref="H70">
    <cfRule type="cellIs" dxfId="94" priority="15" operator="lessThan">
      <formula>1</formula>
    </cfRule>
    <cfRule type="cellIs" dxfId="93" priority="16" operator="greaterThan">
      <formula>1</formula>
    </cfRule>
  </conditionalFormatting>
  <conditionalFormatting sqref="H73">
    <cfRule type="cellIs" dxfId="92" priority="13" operator="lessThan">
      <formula>1</formula>
    </cfRule>
    <cfRule type="cellIs" dxfId="91" priority="14" operator="greaterThan">
      <formula>1</formula>
    </cfRule>
  </conditionalFormatting>
  <conditionalFormatting sqref="G120:G122">
    <cfRule type="cellIs" dxfId="90" priority="1" operator="equal">
      <formula>"ДА"</formula>
    </cfRule>
    <cfRule type="cellIs" dxfId="89" priority="2" operator="equal">
      <formula>"НЕТ"</formula>
    </cfRule>
    <cfRule type="cellIs" dxfId="88" priority="3" operator="equal">
      <formula>"Нет"</formula>
    </cfRule>
    <cfRule type="cellIs" dxfId="87" priority="4" operator="equal">
      <formula>"нет"</formula>
    </cfRule>
    <cfRule type="cellIs" dxfId="86" priority="5" operator="equal">
      <formula>"ДА"</formula>
    </cfRule>
  </conditionalFormatting>
  <pageMargins left="0.7" right="0.7" top="0.75" bottom="0.75" header="0.3" footer="0.3"/>
  <pageSetup paperSize="9" orientation="portrait" r:id="rId1"/>
  <legacy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extLst>
    <ext xmlns:x14="http://schemas.microsoft.com/office/spreadsheetml/2009/9/main" uri="{78C0D931-6437-407d-A8EE-F0AAD7539E65}">
      <x14:conditionalFormattings>
        <x14:conditionalFormatting xmlns:xm="http://schemas.microsoft.com/office/excel/2006/main">
          <x14:cfRule type="containsText" priority="6" operator="containsText" text="Да" id="{3B988B77-4991-48ED-B91C-B521B6EDD06B}">
            <xm:f>NOT(ISERROR(SEARCH("Да",'Август. 25'!G256)))</xm:f>
            <x14:dxf>
              <font>
                <color rgb="FF006100"/>
              </font>
              <fill>
                <patternFill>
                  <bgColor rgb="FFC6EFCE"/>
                </patternFill>
              </fill>
            </x14:dxf>
          </x14:cfRule>
          <xm:sqref>G120:G121</xm:sqref>
        </x14:conditionalFormatting>
        <x14:conditionalFormatting xmlns:xm="http://schemas.microsoft.com/office/excel/2006/main">
          <x14:cfRule type="containsText" priority="21" operator="containsText" text="Да" id="{7C7A5602-7A16-4279-B04A-81A4C4E89F25}">
            <xm:f>NOT(ISERROR(SEARCH("Да",'Август. 25'!G257)))</xm:f>
            <x14:dxf>
              <font>
                <color rgb="FF006100"/>
              </font>
              <fill>
                <patternFill>
                  <bgColor rgb="FFC6EFCE"/>
                </patternFill>
              </fill>
            </x14:dxf>
          </x14:cfRule>
          <xm:sqref>G122</xm:sqref>
        </x14:conditionalFormatting>
      </x14:conditionalFormattings>
    </ext>
  </extLs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924E0-19F6-4F50-BC36-E6D1D6C8EBFF}">
  <dimension ref="A1:O283"/>
  <sheetViews>
    <sheetView topLeftCell="A154" zoomScale="85" zoomScaleNormal="85" workbookViewId="0">
      <selection activeCell="D182" sqref="D182"/>
    </sheetView>
  </sheetViews>
  <sheetFormatPr defaultColWidth="9.140625" defaultRowHeight="12.75" outlineLevelRow="1" x14ac:dyDescent="0.2"/>
  <cols>
    <col min="1" max="1" width="30.28515625" style="2" customWidth="1"/>
    <col min="2" max="2" width="35.7109375" style="2" customWidth="1"/>
    <col min="3" max="3" width="31.5703125" style="2" bestFit="1" customWidth="1"/>
    <col min="4" max="4" width="74" style="2" customWidth="1"/>
    <col min="5" max="5" width="34.85546875" style="2" customWidth="1"/>
    <col min="6" max="6" width="27.140625" style="2" customWidth="1"/>
    <col min="7" max="7" width="27.42578125" style="2" customWidth="1"/>
    <col min="8" max="8" width="36" style="2" customWidth="1"/>
    <col min="9" max="16384" width="9.140625" style="2"/>
  </cols>
  <sheetData>
    <row r="1" spans="1:7" ht="24.75" customHeight="1" x14ac:dyDescent="0.25">
      <c r="A1" s="134" t="s">
        <v>94</v>
      </c>
    </row>
    <row r="2" spans="1:7" ht="15.75" x14ac:dyDescent="0.25">
      <c r="A2" s="134" t="s">
        <v>2311</v>
      </c>
    </row>
    <row r="3" spans="1:7" x14ac:dyDescent="0.2">
      <c r="A3" s="3"/>
    </row>
    <row r="4" spans="1:7" ht="15.75" x14ac:dyDescent="0.25">
      <c r="A4" s="1" t="s">
        <v>0</v>
      </c>
      <c r="B4" s="2" t="s">
        <v>1</v>
      </c>
      <c r="C4" s="2" t="s">
        <v>2</v>
      </c>
    </row>
    <row r="5" spans="1:7" ht="15" x14ac:dyDescent="0.25">
      <c r="A5" s="386" t="s">
        <v>3</v>
      </c>
      <c r="B5" s="386"/>
      <c r="C5" s="386"/>
      <c r="D5" s="386"/>
      <c r="F5" s="4"/>
    </row>
    <row r="6" spans="1:7" s="6" customFormat="1" outlineLevel="1" x14ac:dyDescent="0.2">
      <c r="A6" s="5" t="s">
        <v>4</v>
      </c>
      <c r="B6" s="5" t="s">
        <v>5</v>
      </c>
      <c r="C6" s="5" t="s">
        <v>6</v>
      </c>
      <c r="D6" s="5" t="s">
        <v>7</v>
      </c>
      <c r="E6" s="5" t="s">
        <v>8</v>
      </c>
      <c r="F6" s="5" t="s">
        <v>10</v>
      </c>
      <c r="G6" s="186"/>
    </row>
    <row r="7" spans="1:7" outlineLevel="1" x14ac:dyDescent="0.2">
      <c r="A7" s="7" t="s">
        <v>94</v>
      </c>
      <c r="B7" s="8">
        <f>C33</f>
        <v>360000</v>
      </c>
      <c r="C7" s="9">
        <f>B33</f>
        <v>0</v>
      </c>
      <c r="D7" s="10">
        <f>Таблица11029163037445158657223303744515865727986931009223548627690104107127139151163183152947637995111127143159175183450668298114130146545561577589605619635651667683700717163247627792107122137152182197182212227242257272[Факт, руб.]/Таблица11029163037445158657223303744515865727986931009223548627690104107127139151163183152947637995111127143159175183450668298114130146545561577589605619635651667683700717163247627792107122137152182197182212227242257272[План, руб.]-100%</f>
        <v>-1</v>
      </c>
      <c r="E7" s="11">
        <f>Таблица11029163037445158657223303744515865727986931009223548627690104107127139151163183152947637995111127143159175183450668298114130146545561577589605619635651667683700717163247627792107122137152182197182212227242257272[Факт, руб.]-Таблица11029163037445158657223303744515865727986931009223548627690104107127139151163183152947637995111127143159175183450668298114130146545561577589605619635651667683700717163247627792107122137152182197182212227242257272[План, руб.]</f>
        <v>-360000</v>
      </c>
      <c r="F7" s="9">
        <f>B32</f>
        <v>0</v>
      </c>
      <c r="G7" s="185"/>
    </row>
    <row r="8" spans="1:7" x14ac:dyDescent="0.2">
      <c r="A8" s="12"/>
      <c r="B8" s="13"/>
      <c r="C8" s="13"/>
      <c r="D8" s="14"/>
      <c r="F8" s="15"/>
      <c r="G8" s="16"/>
    </row>
    <row r="9" spans="1:7" ht="15" customHeight="1" x14ac:dyDescent="0.2">
      <c r="A9" s="12"/>
      <c r="B9" s="13"/>
      <c r="C9" s="13"/>
      <c r="D9" s="14"/>
      <c r="F9" s="17"/>
    </row>
    <row r="10" spans="1:7" ht="15" x14ac:dyDescent="0.25">
      <c r="A10" s="386" t="s">
        <v>11</v>
      </c>
      <c r="B10" s="386"/>
      <c r="C10" s="386"/>
      <c r="D10" s="386"/>
      <c r="F10" s="17"/>
    </row>
    <row r="11" spans="1:7" s="6" customFormat="1" outlineLevel="1" x14ac:dyDescent="0.2">
      <c r="A11" s="18" t="s">
        <v>4</v>
      </c>
      <c r="B11" s="19" t="s">
        <v>12</v>
      </c>
      <c r="C11" s="19" t="s">
        <v>13</v>
      </c>
      <c r="D11" s="19" t="s">
        <v>7</v>
      </c>
      <c r="E11" s="19" t="s">
        <v>8</v>
      </c>
      <c r="F11" s="20"/>
    </row>
    <row r="12" spans="1:7" outlineLevel="1" x14ac:dyDescent="0.2">
      <c r="A12" s="7" t="s">
        <v>94</v>
      </c>
      <c r="B12" s="8">
        <f>SUM(C22:C33)</f>
        <v>3290000</v>
      </c>
      <c r="C12" s="8">
        <f>B34</f>
        <v>105780.6</v>
      </c>
      <c r="D12" s="21">
        <f>C12/B12-100%</f>
        <v>-0.96784784194528872</v>
      </c>
      <c r="E12" s="8">
        <f>C12-B12</f>
        <v>-3184219.4</v>
      </c>
      <c r="F12" s="17"/>
      <c r="G12" s="22"/>
    </row>
    <row r="13" spans="1:7" x14ac:dyDescent="0.2">
      <c r="A13" s="12"/>
      <c r="B13" s="13"/>
      <c r="C13" s="13"/>
      <c r="D13" s="14"/>
      <c r="F13" s="17"/>
    </row>
    <row r="14" spans="1:7" x14ac:dyDescent="0.2">
      <c r="A14" s="13"/>
      <c r="B14" s="13"/>
      <c r="C14" s="13"/>
      <c r="D14" s="14"/>
      <c r="F14" s="17"/>
      <c r="G14" s="22"/>
    </row>
    <row r="15" spans="1:7" ht="15" x14ac:dyDescent="0.25">
      <c r="A15" s="386" t="s">
        <v>393</v>
      </c>
      <c r="B15" s="386"/>
      <c r="C15" s="386"/>
      <c r="D15" s="386"/>
      <c r="F15" s="17"/>
    </row>
    <row r="16" spans="1:7" s="6" customFormat="1" outlineLevel="1" x14ac:dyDescent="0.2">
      <c r="A16" s="5" t="s">
        <v>4</v>
      </c>
      <c r="B16" s="5" t="s">
        <v>16</v>
      </c>
      <c r="C16" s="5" t="s">
        <v>93</v>
      </c>
      <c r="D16" s="5" t="s">
        <v>1037</v>
      </c>
      <c r="E16" s="5" t="s">
        <v>17</v>
      </c>
      <c r="F16" s="23"/>
    </row>
    <row r="17" spans="1:5" outlineLevel="1" x14ac:dyDescent="0.2">
      <c r="A17" s="7" t="s">
        <v>94</v>
      </c>
      <c r="B17" s="8">
        <v>0</v>
      </c>
      <c r="C17" s="24">
        <v>178483</v>
      </c>
      <c r="D17" s="24">
        <f>B34</f>
        <v>105780.6</v>
      </c>
      <c r="E17" s="21">
        <f>Таблица211301731384552596673243138455259667380879410110233649637791105109128140152164184163248648096112128144160176193551678399115131147546562578590606620636652668684701718173348637893108123138153183198183213228243258273[Профит ФГ 25-26]/Таблица211301731384552596673243138455259667380879410110233649637791105109128140152164184163248648096112128144160176193551678399115131147546562578590606620636652668684701718173348637893108123138153183198183213228243258273[Профит ФГ 24-25]</f>
        <v>0.59266484763254768</v>
      </c>
    </row>
    <row r="20" spans="1:5" ht="15" x14ac:dyDescent="0.25">
      <c r="A20" s="386" t="s">
        <v>18</v>
      </c>
      <c r="B20" s="386"/>
      <c r="C20" s="386"/>
      <c r="D20" s="386"/>
    </row>
    <row r="21" spans="1:5" outlineLevel="1" x14ac:dyDescent="0.2">
      <c r="A21" s="25" t="s">
        <v>19</v>
      </c>
      <c r="B21" s="26" t="s">
        <v>20</v>
      </c>
      <c r="C21" s="26" t="s">
        <v>21</v>
      </c>
      <c r="D21" s="25" t="s">
        <v>22</v>
      </c>
    </row>
    <row r="22" spans="1:5" outlineLevel="1" x14ac:dyDescent="0.2">
      <c r="A22" s="30" t="s">
        <v>23</v>
      </c>
      <c r="B22" s="31">
        <v>105780.6</v>
      </c>
      <c r="C22" s="31">
        <v>170000</v>
      </c>
      <c r="D22" s="32">
        <f>Таблица4936997167333146617691106121136151166196211196226241256271286[[#This Row],[Профит]]/Таблица4936997167333146617691106121136151166196211196226241256271286[[#This Row],[План]]</f>
        <v>0.62223882352941184</v>
      </c>
    </row>
    <row r="23" spans="1:5" outlineLevel="1" x14ac:dyDescent="0.2">
      <c r="A23" s="30" t="s">
        <v>25</v>
      </c>
      <c r="B23" s="135"/>
      <c r="C23" s="31">
        <v>190000</v>
      </c>
      <c r="D23" s="32">
        <f>Таблица4936997167333146617691106121136151166196211196226241256271286[[#This Row],[Профит]]/Таблица4936997167333146617691106121136151166196211196226241256271286[[#This Row],[План]]</f>
        <v>0</v>
      </c>
    </row>
    <row r="24" spans="1:5" outlineLevel="1" x14ac:dyDescent="0.2">
      <c r="A24" s="30" t="s">
        <v>26</v>
      </c>
      <c r="B24" s="135"/>
      <c r="C24" s="31">
        <v>210000</v>
      </c>
      <c r="D24" s="32">
        <f>Таблица4936997167333146617691106121136151166196211196226241256271286[[#This Row],[Профит]]/Таблица4936997167333146617691106121136151166196211196226241256271286[[#This Row],[План]]</f>
        <v>0</v>
      </c>
    </row>
    <row r="25" spans="1:5" outlineLevel="1" x14ac:dyDescent="0.2">
      <c r="A25" s="30" t="s">
        <v>27</v>
      </c>
      <c r="B25" s="135"/>
      <c r="C25" s="31">
        <v>220000</v>
      </c>
      <c r="D25" s="32">
        <f>Таблица4936997167333146617691106121136151166196211196226241256271286[[#This Row],[Профит]]/Таблица4936997167333146617691106121136151166196211196226241256271286[[#This Row],[План]]</f>
        <v>0</v>
      </c>
    </row>
    <row r="26" spans="1:5" outlineLevel="1" x14ac:dyDescent="0.2">
      <c r="A26" s="30" t="s">
        <v>28</v>
      </c>
      <c r="B26" s="135"/>
      <c r="C26" s="31">
        <v>250000</v>
      </c>
      <c r="D26" s="32">
        <f>Таблица4936997167333146617691106121136151166196211196226241256271286[[#This Row],[Профит]]/Таблица4936997167333146617691106121136151166196211196226241256271286[[#This Row],[План]]</f>
        <v>0</v>
      </c>
    </row>
    <row r="27" spans="1:5" outlineLevel="1" x14ac:dyDescent="0.2">
      <c r="A27" s="30" t="s">
        <v>29</v>
      </c>
      <c r="B27" s="135"/>
      <c r="C27" s="31">
        <v>270000</v>
      </c>
      <c r="D27" s="32">
        <f>Таблица4936997167333146617691106121136151166196211196226241256271286[[#This Row],[Профит]]/Таблица4936997167333146617691106121136151166196211196226241256271286[[#This Row],[План]]</f>
        <v>0</v>
      </c>
    </row>
    <row r="28" spans="1:5" outlineLevel="1" x14ac:dyDescent="0.2">
      <c r="A28" s="30" t="s">
        <v>30</v>
      </c>
      <c r="B28" s="135"/>
      <c r="C28" s="31">
        <v>270000</v>
      </c>
      <c r="D28" s="32">
        <f>Таблица4936997167333146617691106121136151166196211196226241256271286[[#This Row],[Профит]]/Таблица4936997167333146617691106121136151166196211196226241256271286[[#This Row],[План]]</f>
        <v>0</v>
      </c>
    </row>
    <row r="29" spans="1:5" outlineLevel="1" x14ac:dyDescent="0.2">
      <c r="A29" s="30" t="s">
        <v>31</v>
      </c>
      <c r="B29" s="31"/>
      <c r="C29" s="31">
        <v>330000</v>
      </c>
      <c r="D29" s="32">
        <f>Таблица4936997167333146617691106121136151166196211196226241256271286[[#This Row],[Профит]]/Таблица4936997167333146617691106121136151166196211196226241256271286[[#This Row],[План]]</f>
        <v>0</v>
      </c>
    </row>
    <row r="30" spans="1:5" outlineLevel="1" x14ac:dyDescent="0.2">
      <c r="A30" s="30" t="s">
        <v>32</v>
      </c>
      <c r="B30" s="34"/>
      <c r="C30" s="34">
        <v>390000</v>
      </c>
      <c r="D30" s="32">
        <f>Таблица4936997167333146617691106121136151166196211196226241256271286[[#This Row],[Профит]]/Таблица4936997167333146617691106121136151166196211196226241256271286[[#This Row],[План]]</f>
        <v>0</v>
      </c>
    </row>
    <row r="31" spans="1:5" outlineLevel="1" x14ac:dyDescent="0.2">
      <c r="A31" s="30" t="s">
        <v>33</v>
      </c>
      <c r="B31" s="34"/>
      <c r="C31" s="34">
        <v>300000</v>
      </c>
      <c r="D31" s="32">
        <f>Таблица4936997167333146617691106121136151166196211196226241256271286[[#This Row],[Профит]]/Таблица4936997167333146617691106121136151166196211196226241256271286[[#This Row],[План]]</f>
        <v>0</v>
      </c>
    </row>
    <row r="32" spans="1:5" outlineLevel="1" x14ac:dyDescent="0.2">
      <c r="A32" s="30" t="s">
        <v>34</v>
      </c>
      <c r="B32" s="34"/>
      <c r="C32" s="34">
        <v>330000</v>
      </c>
      <c r="D32" s="32">
        <f>Таблица4936997167333146617691106121136151166196211196226241256271286[[#This Row],[Профит]]/Таблица4936997167333146617691106121136151166196211196226241256271286[[#This Row],[План]]</f>
        <v>0</v>
      </c>
    </row>
    <row r="33" spans="1:8" outlineLevel="1" x14ac:dyDescent="0.2">
      <c r="A33" s="33" t="s">
        <v>35</v>
      </c>
      <c r="B33" s="34"/>
      <c r="C33" s="34">
        <v>360000</v>
      </c>
      <c r="D33" s="32">
        <f>Таблица4936997167333146617691106121136151166196211196226241256271286[[#This Row],[Профит]]/Таблица4936997167333146617691106121136151166196211196226241256271286[[#This Row],[План]]</f>
        <v>0</v>
      </c>
      <c r="H33" s="35"/>
    </row>
    <row r="34" spans="1:8" ht="15" outlineLevel="1" x14ac:dyDescent="0.25">
      <c r="A34" s="36" t="s">
        <v>36</v>
      </c>
      <c r="B34" s="37">
        <f>SUM(B22:B33)</f>
        <v>105780.6</v>
      </c>
      <c r="C34" s="38">
        <f>SUM(C22:C33)</f>
        <v>3290000</v>
      </c>
      <c r="D34" s="39"/>
    </row>
    <row r="35" spans="1:8" outlineLevel="1" x14ac:dyDescent="0.2">
      <c r="A35" s="41" t="s">
        <v>37</v>
      </c>
      <c r="B35" s="42">
        <f>AVERAGE(B22:B33)</f>
        <v>105780.6</v>
      </c>
      <c r="C35" s="42">
        <f>AVERAGE(C22:C33)</f>
        <v>274166.66666666669</v>
      </c>
      <c r="D35" s="43" t="e">
        <f>B35/C459</f>
        <v>#DIV/0!</v>
      </c>
    </row>
    <row r="38" spans="1:8" ht="15" x14ac:dyDescent="0.25">
      <c r="A38" s="386" t="s">
        <v>38</v>
      </c>
      <c r="B38" s="386"/>
      <c r="C38" s="386"/>
      <c r="D38" s="386"/>
    </row>
    <row r="39" spans="1:8" s="45" customFormat="1" outlineLevel="1" x14ac:dyDescent="0.2">
      <c r="A39" s="44" t="s">
        <v>39</v>
      </c>
      <c r="B39" s="44" t="s">
        <v>40</v>
      </c>
      <c r="C39" s="44" t="s">
        <v>41</v>
      </c>
      <c r="D39" s="44" t="s">
        <v>42</v>
      </c>
      <c r="E39" s="44" t="s">
        <v>43</v>
      </c>
      <c r="F39" s="2"/>
    </row>
    <row r="40" spans="1:8" ht="15" outlineLevel="1" x14ac:dyDescent="0.25">
      <c r="A40" s="8">
        <f>B22</f>
        <v>105780.6</v>
      </c>
      <c r="B40" s="46">
        <f>50000</f>
        <v>50000</v>
      </c>
      <c r="C40" s="136">
        <f>A40*0.07*1.1</f>
        <v>8145.1062000000011</v>
      </c>
      <c r="D40" s="361">
        <f>SUM(G273:G275)</f>
        <v>13560</v>
      </c>
      <c r="E40" s="48">
        <v>0</v>
      </c>
    </row>
    <row r="41" spans="1:8" outlineLevel="1" x14ac:dyDescent="0.2">
      <c r="A41" s="49" t="s">
        <v>44</v>
      </c>
      <c r="B41" s="137">
        <f>Таблица294459759110712313915517118730466278941101261421585565725886026166306466626786947117282843587388103118133148163193208193223238253268283[Оклад]+Таблица294459759110712313915517118730466278941101261421585565725886026166306466626786947117282843587388103118133148163193208193223238253268283[Премия]+Таблица294459759110712313915517118730466278941101261421585565725886026166306466626786947117282843587388103118133148163193208193223238253268283[Штрафы]+Таблица294459759110712313915517118730466278941101261421585565725886026166306466626786947117282843587388103118133148163193208193223238253268283[Доплата за Задачи]</f>
        <v>71705.106200000009</v>
      </c>
      <c r="C41" s="50"/>
    </row>
    <row r="42" spans="1:8" x14ac:dyDescent="0.2">
      <c r="A42" s="40"/>
      <c r="B42" s="40"/>
    </row>
    <row r="43" spans="1:8" x14ac:dyDescent="0.2">
      <c r="A43" s="51"/>
      <c r="B43" s="51"/>
      <c r="C43" s="51"/>
      <c r="D43" s="52"/>
      <c r="E43" s="53"/>
      <c r="F43" s="53"/>
      <c r="H43" s="22"/>
    </row>
    <row r="44" spans="1:8" ht="15" x14ac:dyDescent="0.25">
      <c r="A44" s="386" t="s">
        <v>45</v>
      </c>
      <c r="B44" s="386"/>
      <c r="C44" s="386"/>
      <c r="D44" s="386"/>
      <c r="E44" s="53"/>
      <c r="F44" s="53"/>
      <c r="H44" s="22"/>
    </row>
    <row r="45" spans="1:8" outlineLevel="1" x14ac:dyDescent="0.2">
      <c r="A45" s="5" t="s">
        <v>46</v>
      </c>
      <c r="B45" s="5" t="s">
        <v>47</v>
      </c>
      <c r="C45" s="5" t="s">
        <v>48</v>
      </c>
      <c r="D45" s="54" t="s">
        <v>49</v>
      </c>
      <c r="G45" s="40"/>
    </row>
    <row r="46" spans="1:8" ht="24.95" customHeight="1" outlineLevel="1" x14ac:dyDescent="0.2">
      <c r="A46" s="55" t="s">
        <v>2037</v>
      </c>
      <c r="B46" s="58">
        <v>4785895.5999999996</v>
      </c>
      <c r="C46" s="58">
        <v>278550</v>
      </c>
      <c r="D46" s="57"/>
      <c r="G46" s="62"/>
      <c r="H46" s="6"/>
    </row>
    <row r="47" spans="1:8" outlineLevel="1" x14ac:dyDescent="0.2">
      <c r="A47" s="63"/>
      <c r="B47" s="64" t="s">
        <v>50</v>
      </c>
      <c r="C47" s="65">
        <f>SUM(Таблица546243318323946536067742532394653606774818895102112437506478921061101291411531651851733496581971131291451611772036526884100116132148547563579593607621637653669685702719193449647994109124139154184199184214229244259274[Общая сумма долга])</f>
        <v>278550</v>
      </c>
      <c r="D47" s="66">
        <v>0</v>
      </c>
      <c r="E47" s="67" t="s">
        <v>51</v>
      </c>
      <c r="F47" s="51"/>
      <c r="G47" s="51"/>
      <c r="H47" s="51"/>
    </row>
    <row r="48" spans="1:8" outlineLevel="1" x14ac:dyDescent="0.2">
      <c r="A48" s="63"/>
      <c r="B48" s="64"/>
      <c r="C48" s="65"/>
      <c r="D48" s="51"/>
      <c r="E48" s="51"/>
      <c r="F48" s="51"/>
      <c r="G48" s="51"/>
      <c r="H48" s="51"/>
    </row>
    <row r="49" spans="1:8" x14ac:dyDescent="0.2">
      <c r="A49" s="63"/>
      <c r="B49" s="51"/>
      <c r="C49" s="51"/>
      <c r="D49" s="52"/>
      <c r="E49" s="51"/>
      <c r="F49" s="53"/>
      <c r="G49" s="51"/>
      <c r="H49" s="68"/>
    </row>
    <row r="50" spans="1:8" x14ac:dyDescent="0.2">
      <c r="A50" s="63"/>
      <c r="B50" s="51"/>
      <c r="C50" s="51"/>
      <c r="D50" s="52"/>
      <c r="E50" s="51"/>
      <c r="F50" s="53"/>
      <c r="G50" s="51"/>
      <c r="H50" s="68"/>
    </row>
    <row r="51" spans="1:8" ht="15" x14ac:dyDescent="0.25">
      <c r="A51" s="387" t="s">
        <v>52</v>
      </c>
      <c r="B51" s="387"/>
      <c r="C51" s="387"/>
      <c r="D51" s="387"/>
      <c r="E51" s="53"/>
      <c r="F51" s="53"/>
      <c r="G51" s="51"/>
    </row>
    <row r="52" spans="1:8" s="6" customFormat="1" outlineLevel="1" x14ac:dyDescent="0.2">
      <c r="A52" s="18" t="s">
        <v>53</v>
      </c>
      <c r="B52" s="19" t="s">
        <v>54</v>
      </c>
      <c r="C52" s="19" t="s">
        <v>55</v>
      </c>
      <c r="D52" s="69" t="s">
        <v>56</v>
      </c>
      <c r="E52" s="69" t="s">
        <v>4</v>
      </c>
      <c r="F52" s="70" t="s">
        <v>57</v>
      </c>
      <c r="G52" s="277"/>
    </row>
    <row r="53" spans="1:8" s="6" customFormat="1" ht="26.25" customHeight="1" outlineLevel="1" x14ac:dyDescent="0.2">
      <c r="A53" s="173" t="s">
        <v>2148</v>
      </c>
      <c r="B53" s="246">
        <v>1358108</v>
      </c>
      <c r="C53" s="131">
        <v>82350.039999999994</v>
      </c>
      <c r="D53" s="249">
        <v>6.5000000000000002E-2</v>
      </c>
      <c r="E53" s="177" t="s">
        <v>94</v>
      </c>
      <c r="F53" s="250"/>
    </row>
    <row r="54" spans="1:8" s="6" customFormat="1" ht="26.25" customHeight="1" outlineLevel="1" x14ac:dyDescent="0.2">
      <c r="A54" s="173" t="s">
        <v>1254</v>
      </c>
      <c r="B54" s="246">
        <v>180996</v>
      </c>
      <c r="C54" s="131">
        <v>3532.57</v>
      </c>
      <c r="D54" s="249">
        <v>0.02</v>
      </c>
      <c r="E54" s="177" t="s">
        <v>94</v>
      </c>
      <c r="F54" s="250"/>
    </row>
    <row r="55" spans="1:8" s="6" customFormat="1" ht="26.25" customHeight="1" outlineLevel="1" x14ac:dyDescent="0.2">
      <c r="A55" s="173" t="s">
        <v>2175</v>
      </c>
      <c r="B55" s="246">
        <v>134265.19</v>
      </c>
      <c r="C55" s="131">
        <v>9502.9</v>
      </c>
      <c r="D55" s="249">
        <v>7.5999999999999998E-2</v>
      </c>
      <c r="E55" s="177" t="s">
        <v>94</v>
      </c>
      <c r="F55" s="250"/>
    </row>
    <row r="56" spans="1:8" s="6" customFormat="1" ht="26.25" customHeight="1" outlineLevel="1" x14ac:dyDescent="0.2">
      <c r="A56" s="173" t="s">
        <v>2029</v>
      </c>
      <c r="B56" s="246">
        <v>69700</v>
      </c>
      <c r="C56" s="131">
        <v>4590.91</v>
      </c>
      <c r="D56" s="249">
        <v>7.0999999999999994E-2</v>
      </c>
      <c r="E56" s="177" t="s">
        <v>94</v>
      </c>
      <c r="F56" s="250"/>
    </row>
    <row r="57" spans="1:8" s="6" customFormat="1" ht="26.25" customHeight="1" outlineLevel="1" x14ac:dyDescent="0.2">
      <c r="A57" s="173" t="s">
        <v>2169</v>
      </c>
      <c r="B57" s="246">
        <v>73963.929999999993</v>
      </c>
      <c r="C57" s="131">
        <v>24499.93</v>
      </c>
      <c r="D57" s="249">
        <v>0.495</v>
      </c>
      <c r="E57" s="177" t="s">
        <v>94</v>
      </c>
      <c r="F57" s="250"/>
    </row>
    <row r="58" spans="1:8" s="6" customFormat="1" ht="26.25" customHeight="1" outlineLevel="1" x14ac:dyDescent="0.2">
      <c r="A58" s="173" t="s">
        <v>2218</v>
      </c>
      <c r="B58" s="246">
        <v>48470</v>
      </c>
      <c r="C58" s="131">
        <v>5769.24</v>
      </c>
      <c r="D58" s="249">
        <v>0.13500000000000001</v>
      </c>
      <c r="E58" s="177" t="s">
        <v>94</v>
      </c>
      <c r="F58" s="250"/>
    </row>
    <row r="59" spans="1:8" s="6" customFormat="1" ht="26.25" customHeight="1" outlineLevel="1" x14ac:dyDescent="0.2">
      <c r="A59" s="173" t="s">
        <v>1154</v>
      </c>
      <c r="B59" s="246">
        <v>39832</v>
      </c>
      <c r="C59" s="131">
        <v>39832</v>
      </c>
      <c r="D59" s="249">
        <v>1</v>
      </c>
      <c r="E59" s="177" t="s">
        <v>94</v>
      </c>
      <c r="F59" s="250"/>
    </row>
    <row r="60" spans="1:8" s="6" customFormat="1" ht="26.25" customHeight="1" outlineLevel="1" x14ac:dyDescent="0.2">
      <c r="A60" s="173" t="s">
        <v>1729</v>
      </c>
      <c r="B60" s="246">
        <v>17280</v>
      </c>
      <c r="C60" s="131">
        <v>1667.76</v>
      </c>
      <c r="D60" s="249">
        <v>0.107</v>
      </c>
      <c r="E60" s="177" t="s">
        <v>94</v>
      </c>
      <c r="F60" s="250"/>
    </row>
    <row r="61" spans="1:8" s="6" customFormat="1" ht="26.25" customHeight="1" outlineLevel="1" x14ac:dyDescent="0.2">
      <c r="A61" s="173" t="s">
        <v>1730</v>
      </c>
      <c r="B61" s="246">
        <v>8000</v>
      </c>
      <c r="C61" s="131">
        <v>1133</v>
      </c>
      <c r="D61" s="249">
        <v>0.16500000000000001</v>
      </c>
      <c r="E61" s="177" t="s">
        <v>94</v>
      </c>
      <c r="F61" s="250"/>
    </row>
    <row r="62" spans="1:8" s="6" customFormat="1" ht="26.25" customHeight="1" outlineLevel="1" x14ac:dyDescent="0.2">
      <c r="A62" s="173" t="s">
        <v>2314</v>
      </c>
      <c r="B62" s="246">
        <v>8550</v>
      </c>
      <c r="C62" s="131">
        <v>2250</v>
      </c>
      <c r="D62" s="249">
        <v>0.35699999999999998</v>
      </c>
      <c r="E62" s="177" t="s">
        <v>94</v>
      </c>
      <c r="F62" s="250"/>
    </row>
    <row r="63" spans="1:8" s="6" customFormat="1" ht="26.25" customHeight="1" outlineLevel="1" x14ac:dyDescent="0.2">
      <c r="A63" s="173" t="s">
        <v>1838</v>
      </c>
      <c r="B63" s="246">
        <v>0</v>
      </c>
      <c r="C63" s="131">
        <v>-3587</v>
      </c>
      <c r="D63" s="249">
        <v>-1</v>
      </c>
      <c r="E63" s="177" t="s">
        <v>94</v>
      </c>
      <c r="F63" s="250"/>
    </row>
    <row r="64" spans="1:8" s="6" customFormat="1" ht="24.75" customHeight="1" outlineLevel="1" x14ac:dyDescent="0.2">
      <c r="A64" s="173" t="s">
        <v>2250</v>
      </c>
      <c r="B64" s="246">
        <v>3600</v>
      </c>
      <c r="C64" s="131">
        <v>391.83</v>
      </c>
      <c r="D64" s="249">
        <v>0.122</v>
      </c>
      <c r="E64" s="177" t="s">
        <v>94</v>
      </c>
      <c r="F64" s="250"/>
    </row>
    <row r="65" spans="1:10" s="6" customFormat="1" ht="24" customHeight="1" outlineLevel="1" x14ac:dyDescent="0.2">
      <c r="A65" s="173" t="s">
        <v>104</v>
      </c>
      <c r="B65" s="246">
        <v>1801.95</v>
      </c>
      <c r="C65" s="131">
        <v>1801.95</v>
      </c>
      <c r="D65" s="249">
        <v>1</v>
      </c>
      <c r="E65" s="177" t="s">
        <v>94</v>
      </c>
      <c r="F65" s="250"/>
    </row>
    <row r="66" spans="1:10" x14ac:dyDescent="0.2">
      <c r="A66" s="51"/>
      <c r="B66" s="51"/>
      <c r="C66" s="51"/>
      <c r="D66" s="52"/>
      <c r="E66" s="51"/>
      <c r="F66" s="53"/>
      <c r="G66" s="51"/>
    </row>
    <row r="67" spans="1:10" ht="15" x14ac:dyDescent="0.25">
      <c r="A67" s="386" t="s">
        <v>58</v>
      </c>
      <c r="B67" s="386"/>
      <c r="C67" s="386"/>
      <c r="D67" s="386"/>
      <c r="E67" s="79"/>
      <c r="F67" s="79"/>
    </row>
    <row r="68" spans="1:10" ht="15" customHeight="1" outlineLevel="1" x14ac:dyDescent="0.2">
      <c r="A68" s="80">
        <v>46023</v>
      </c>
      <c r="B68" s="81" t="s">
        <v>21</v>
      </c>
      <c r="C68" s="81" t="s">
        <v>59</v>
      </c>
      <c r="D68" s="81" t="s">
        <v>60</v>
      </c>
      <c r="E68" s="81" t="s">
        <v>61</v>
      </c>
      <c r="F68" s="81" t="s">
        <v>62</v>
      </c>
      <c r="G68" s="81" t="s">
        <v>63</v>
      </c>
      <c r="H68" s="81" t="s">
        <v>64</v>
      </c>
    </row>
    <row r="69" spans="1:10" outlineLevel="1" x14ac:dyDescent="0.2">
      <c r="A69" s="82"/>
      <c r="B69" s="282">
        <v>330000</v>
      </c>
      <c r="C69" s="283"/>
      <c r="D69" s="282">
        <v>39000</v>
      </c>
      <c r="E69" s="282">
        <v>118000</v>
      </c>
      <c r="F69" s="282">
        <v>871000</v>
      </c>
      <c r="G69" s="282">
        <f>C69+D69+E69*0.5+F69*0.05</f>
        <v>141550</v>
      </c>
      <c r="H69" s="284">
        <f>Таблица9132738193340475461687582899682891101171241311381451521591661731801871945121926334047546168758289961031101171241311381451521591661741821902052131241361481601721922440627894110126142158174190334965819711312914516155957559160361763164766367969571284[[#This Row],[Столбец6]]/Таблица9132738193340475461687582899682891101171241311381451521591661731801871945121926334047546168758289961031101171241311381451521591661741821902052131241361481601721922440627894110126142158174190334965819711312914516155957559160361763164766367969571284[[#This Row],[Столбец1]]</f>
        <v>0.42893939393939395</v>
      </c>
    </row>
    <row r="70" spans="1:10" outlineLevel="1" x14ac:dyDescent="0.2">
      <c r="A70" s="40"/>
      <c r="B70" s="40"/>
      <c r="C70" s="40"/>
      <c r="D70" s="40"/>
      <c r="E70" s="40"/>
      <c r="F70" s="40"/>
      <c r="G70" s="40"/>
      <c r="H70" s="86"/>
    </row>
    <row r="71" spans="1:10" outlineLevel="1" x14ac:dyDescent="0.2">
      <c r="A71" s="80">
        <v>46054</v>
      </c>
      <c r="B71" s="81" t="s">
        <v>21</v>
      </c>
      <c r="C71" s="81" t="s">
        <v>59</v>
      </c>
      <c r="D71" s="81" t="s">
        <v>60</v>
      </c>
      <c r="E71" s="81" t="s">
        <v>61</v>
      </c>
      <c r="F71" s="81" t="s">
        <v>62</v>
      </c>
      <c r="G71" s="81" t="s">
        <v>63</v>
      </c>
      <c r="H71" s="81" t="s">
        <v>64</v>
      </c>
    </row>
    <row r="72" spans="1:10" ht="15" customHeight="1" outlineLevel="1" x14ac:dyDescent="0.2">
      <c r="A72" s="87"/>
      <c r="B72" s="282">
        <v>360000</v>
      </c>
      <c r="C72" s="283">
        <v>0</v>
      </c>
      <c r="D72" s="285">
        <v>0</v>
      </c>
      <c r="E72" s="283">
        <v>39000</v>
      </c>
      <c r="F72" s="286">
        <v>132000</v>
      </c>
      <c r="G72" s="282">
        <f>C72+D72+E72*0.5+F72*0.05</f>
        <v>26100</v>
      </c>
      <c r="H72" s="284">
        <f>Таблица9132738193340475461687582899682891101171241311381451521591661731801871945121926334047546168758289961031101171241311381451521591661741821902052131191251371491611731932541567288104120136152168184274359759110712313915555356958559961362764365967569280[[#This Row],[Столбец6]]/Таблица9132738193340475461687582899682891101171241311381451521591661731801871945121926334047546168758289961031101171241311381451521591661741821902052131191251371491611731932541567288104120136152168184274359759110712313915555356958559961362764365967569280[[#This Row],[Столбец1]]</f>
        <v>7.2499999999999995E-2</v>
      </c>
    </row>
    <row r="73" spans="1:10" x14ac:dyDescent="0.2">
      <c r="A73" s="63"/>
      <c r="B73" s="51"/>
      <c r="C73" s="51"/>
      <c r="D73" s="52"/>
      <c r="E73" s="51"/>
    </row>
    <row r="74" spans="1:10" x14ac:dyDescent="0.2">
      <c r="A74" s="51"/>
      <c r="B74" s="51"/>
      <c r="C74" s="51"/>
      <c r="D74" s="52"/>
      <c r="E74" s="51"/>
    </row>
    <row r="75" spans="1:10" ht="15.75" x14ac:dyDescent="0.25">
      <c r="A75" s="88" t="s">
        <v>65</v>
      </c>
      <c r="B75" s="89"/>
    </row>
    <row r="76" spans="1:10" ht="15" x14ac:dyDescent="0.25">
      <c r="A76" s="387" t="s">
        <v>66</v>
      </c>
      <c r="B76" s="387"/>
      <c r="C76" s="387"/>
      <c r="D76" s="387"/>
      <c r="E76" s="90"/>
      <c r="F76" s="90"/>
      <c r="G76" s="235">
        <f>SUM(Таблица4211720344148556269768390978390111118125132139146153160167174181188195613202734414855626976839097104111118125132139146153160167175183198206214123135147159171191233955718710311913515116718326425874901061221381545525685845986126266426586746907077279[Сумма, тыс. руб.])*1000</f>
        <v>0</v>
      </c>
      <c r="H76" s="276"/>
    </row>
    <row r="77" spans="1:10" outlineLevel="1" x14ac:dyDescent="0.2">
      <c r="A77" s="91" t="s">
        <v>67</v>
      </c>
      <c r="B77" s="91" t="s">
        <v>53</v>
      </c>
      <c r="C77" s="91" t="s">
        <v>4</v>
      </c>
      <c r="D77" s="91" t="s">
        <v>68</v>
      </c>
      <c r="E77" s="91" t="s">
        <v>69</v>
      </c>
      <c r="F77" s="91" t="s">
        <v>70</v>
      </c>
      <c r="G77" s="91" t="s">
        <v>71</v>
      </c>
      <c r="H77" s="91" t="s">
        <v>72</v>
      </c>
      <c r="I77" s="276"/>
      <c r="J77" s="276"/>
    </row>
    <row r="78" spans="1:10" s="258" customFormat="1" ht="24.95" customHeight="1" outlineLevel="1" x14ac:dyDescent="0.2">
      <c r="A78" s="230"/>
      <c r="B78" s="230"/>
      <c r="C78" s="177"/>
      <c r="D78" s="173"/>
      <c r="E78" s="230"/>
      <c r="F78" s="218"/>
      <c r="G78" s="131"/>
      <c r="H78" s="173"/>
    </row>
    <row r="79" spans="1:10" s="258" customFormat="1" ht="24.95" customHeight="1" outlineLevel="1" x14ac:dyDescent="0.2">
      <c r="A79" s="190"/>
      <c r="B79" s="176"/>
      <c r="C79" s="177"/>
      <c r="D79" s="173"/>
      <c r="E79" s="178"/>
      <c r="F79" s="218"/>
      <c r="G79" s="131"/>
      <c r="H79" s="173"/>
    </row>
    <row r="80" spans="1:10" s="258" customFormat="1" ht="24.95" customHeight="1" outlineLevel="1" x14ac:dyDescent="0.2">
      <c r="A80" s="190"/>
      <c r="B80" s="176"/>
      <c r="C80" s="177"/>
      <c r="D80" s="173"/>
      <c r="E80" s="178"/>
      <c r="F80" s="218"/>
      <c r="G80" s="131"/>
      <c r="H80" s="173"/>
    </row>
    <row r="81" spans="1:9" s="258" customFormat="1" ht="24.95" customHeight="1" outlineLevel="1" x14ac:dyDescent="0.2">
      <c r="A81" s="190"/>
      <c r="B81" s="176"/>
      <c r="C81" s="177"/>
      <c r="D81" s="173"/>
      <c r="E81" s="178"/>
      <c r="F81" s="218"/>
      <c r="G81" s="131"/>
      <c r="H81" s="173"/>
    </row>
    <row r="82" spans="1:9" s="258" customFormat="1" ht="24.95" customHeight="1" outlineLevel="1" x14ac:dyDescent="0.2">
      <c r="A82" s="190"/>
      <c r="B82" s="176"/>
      <c r="C82" s="177"/>
      <c r="D82" s="173"/>
      <c r="E82" s="178"/>
      <c r="F82" s="218"/>
      <c r="G82" s="131"/>
      <c r="H82" s="173"/>
    </row>
    <row r="83" spans="1:9" s="258" customFormat="1" ht="24.95" customHeight="1" outlineLevel="1" x14ac:dyDescent="0.2">
      <c r="A83" s="190"/>
      <c r="B83" s="176"/>
      <c r="C83" s="177"/>
      <c r="D83" s="173"/>
      <c r="E83" s="178"/>
      <c r="F83" s="218"/>
      <c r="G83" s="131"/>
      <c r="H83" s="173"/>
    </row>
    <row r="84" spans="1:9" s="258" customFormat="1" ht="24.95" customHeight="1" outlineLevel="1" x14ac:dyDescent="0.2">
      <c r="A84" s="190"/>
      <c r="B84" s="176"/>
      <c r="C84" s="177"/>
      <c r="D84" s="173"/>
      <c r="E84" s="178"/>
      <c r="F84" s="218"/>
      <c r="G84" s="131"/>
      <c r="H84" s="173"/>
    </row>
    <row r="85" spans="1:9" s="258" customFormat="1" ht="24.95" customHeight="1" outlineLevel="1" x14ac:dyDescent="0.2">
      <c r="A85" s="190"/>
      <c r="B85" s="176"/>
      <c r="C85" s="177"/>
      <c r="D85" s="173"/>
      <c r="E85" s="178"/>
      <c r="F85" s="218"/>
      <c r="G85" s="131"/>
      <c r="H85" s="173"/>
    </row>
    <row r="86" spans="1:9" ht="24.95" customHeight="1" outlineLevel="1" x14ac:dyDescent="0.2">
      <c r="A86" s="74"/>
      <c r="B86" s="74"/>
      <c r="C86" s="177"/>
      <c r="D86" s="94"/>
      <c r="E86" s="94"/>
      <c r="F86" s="218"/>
      <c r="G86" s="72"/>
      <c r="H86" s="94"/>
      <c r="I86" s="236"/>
    </row>
    <row r="87" spans="1:9" ht="24.95" customHeight="1" outlineLevel="1" x14ac:dyDescent="0.2">
      <c r="A87" s="190"/>
      <c r="B87" s="176"/>
      <c r="C87" s="177"/>
      <c r="D87" s="177"/>
      <c r="E87" s="178"/>
      <c r="F87" s="218"/>
      <c r="G87" s="131"/>
      <c r="H87" s="173"/>
      <c r="I87" s="236"/>
    </row>
    <row r="88" spans="1:9" ht="24.95" customHeight="1" outlineLevel="1" x14ac:dyDescent="0.2">
      <c r="A88" s="190"/>
      <c r="B88" s="176"/>
      <c r="C88" s="177"/>
      <c r="D88" s="177"/>
      <c r="E88" s="178"/>
      <c r="F88" s="218"/>
      <c r="G88" s="131"/>
      <c r="H88" s="173"/>
      <c r="I88" s="236"/>
    </row>
    <row r="89" spans="1:9" ht="24.95" customHeight="1" outlineLevel="1" x14ac:dyDescent="0.2">
      <c r="A89" s="190"/>
      <c r="B89" s="176"/>
      <c r="C89" s="177"/>
      <c r="D89" s="177"/>
      <c r="E89" s="178"/>
      <c r="F89" s="218"/>
      <c r="G89" s="131"/>
      <c r="H89" s="173"/>
      <c r="I89" s="236"/>
    </row>
    <row r="90" spans="1:9" ht="24.95" customHeight="1" outlineLevel="1" x14ac:dyDescent="0.2">
      <c r="A90" s="190"/>
      <c r="B90" s="176"/>
      <c r="C90" s="177"/>
      <c r="D90" s="177"/>
      <c r="E90" s="178"/>
      <c r="F90" s="218"/>
      <c r="G90" s="131"/>
      <c r="H90" s="173"/>
      <c r="I90" s="236"/>
    </row>
    <row r="91" spans="1:9" ht="24.95" customHeight="1" outlineLevel="1" x14ac:dyDescent="0.2">
      <c r="A91" s="190"/>
      <c r="B91" s="176"/>
      <c r="C91" s="177"/>
      <c r="D91" s="177"/>
      <c r="E91" s="178"/>
      <c r="F91" s="218"/>
      <c r="G91" s="131"/>
      <c r="H91" s="173"/>
      <c r="I91" s="236"/>
    </row>
    <row r="92" spans="1:9" ht="24.95" customHeight="1" outlineLevel="1" x14ac:dyDescent="0.2">
      <c r="A92" s="190"/>
      <c r="B92" s="176"/>
      <c r="C92" s="177"/>
      <c r="D92" s="177"/>
      <c r="E92" s="178"/>
      <c r="F92" s="218"/>
      <c r="G92" s="131"/>
      <c r="H92" s="173"/>
      <c r="I92" s="236"/>
    </row>
    <row r="93" spans="1:9" x14ac:dyDescent="0.2">
      <c r="A93" s="223"/>
      <c r="B93" s="104"/>
      <c r="C93" s="105"/>
      <c r="D93" s="106"/>
      <c r="E93" s="106"/>
      <c r="F93" s="107"/>
      <c r="G93" s="108"/>
      <c r="H93" s="106"/>
    </row>
    <row r="94" spans="1:9" x14ac:dyDescent="0.2">
      <c r="A94" s="104"/>
      <c r="B94" s="104"/>
      <c r="C94" s="105"/>
      <c r="D94" s="106"/>
      <c r="E94" s="106"/>
      <c r="F94" s="107"/>
      <c r="G94" s="108"/>
      <c r="H94" s="106"/>
    </row>
    <row r="95" spans="1:9" ht="15" x14ac:dyDescent="0.25">
      <c r="A95" s="387" t="s">
        <v>74</v>
      </c>
      <c r="B95" s="387"/>
      <c r="C95" s="387"/>
      <c r="D95" s="387"/>
      <c r="G95" s="235">
        <f>SUM(Таблица125138150162174194264257738910512113715316918528446076921081241401565545705866006146286446606766927097262641567186101116131146161191206191221236251266281[Сумма])*1000</f>
        <v>1807000</v>
      </c>
      <c r="H95" s="276"/>
    </row>
    <row r="96" spans="1:9" outlineLevel="1" x14ac:dyDescent="0.2">
      <c r="A96" s="91" t="s">
        <v>67</v>
      </c>
      <c r="B96" s="91" t="s">
        <v>53</v>
      </c>
      <c r="C96" s="91" t="s">
        <v>4</v>
      </c>
      <c r="D96" s="91" t="s">
        <v>68</v>
      </c>
      <c r="E96" s="91" t="s">
        <v>69</v>
      </c>
      <c r="F96" s="91" t="s">
        <v>70</v>
      </c>
      <c r="G96" s="91" t="s">
        <v>75</v>
      </c>
      <c r="H96" s="91" t="s">
        <v>72</v>
      </c>
    </row>
    <row r="97" spans="1:8" ht="24.95" customHeight="1" outlineLevel="1" x14ac:dyDescent="0.2">
      <c r="A97" s="74" t="s">
        <v>1576</v>
      </c>
      <c r="B97" s="74" t="s">
        <v>1579</v>
      </c>
      <c r="C97" s="177" t="s">
        <v>94</v>
      </c>
      <c r="D97" s="94" t="s">
        <v>73</v>
      </c>
      <c r="E97" s="74" t="s">
        <v>1582</v>
      </c>
      <c r="F97" s="218" t="s">
        <v>1498</v>
      </c>
      <c r="G97" s="72">
        <v>1807</v>
      </c>
      <c r="H97" s="94" t="s">
        <v>1019</v>
      </c>
    </row>
    <row r="98" spans="1:8" ht="24.95" customHeight="1" outlineLevel="1" x14ac:dyDescent="0.2">
      <c r="A98" s="74"/>
      <c r="B98" s="74"/>
      <c r="C98" s="177"/>
      <c r="D98" s="94"/>
      <c r="E98" s="74"/>
      <c r="F98" s="218"/>
      <c r="G98" s="72"/>
      <c r="H98" s="94"/>
    </row>
    <row r="99" spans="1:8" ht="24.95" customHeight="1" outlineLevel="1" x14ac:dyDescent="0.2">
      <c r="A99" s="74"/>
      <c r="B99" s="74"/>
      <c r="C99" s="177"/>
      <c r="D99" s="94"/>
      <c r="E99" s="74"/>
      <c r="F99" s="218"/>
      <c r="G99" s="72"/>
      <c r="H99" s="94"/>
    </row>
    <row r="100" spans="1:8" ht="24.95" customHeight="1" outlineLevel="1" x14ac:dyDescent="0.2">
      <c r="A100" s="74"/>
      <c r="B100" s="74"/>
      <c r="C100" s="177"/>
      <c r="D100" s="94"/>
      <c r="E100" s="74"/>
      <c r="F100" s="218"/>
      <c r="G100" s="72"/>
      <c r="H100" s="94"/>
    </row>
    <row r="101" spans="1:8" ht="24.95" customHeight="1" outlineLevel="1" x14ac:dyDescent="0.2">
      <c r="A101" s="74"/>
      <c r="B101" s="74"/>
      <c r="C101" s="177"/>
      <c r="D101" s="94"/>
      <c r="E101" s="74"/>
      <c r="F101" s="218"/>
      <c r="G101" s="72"/>
      <c r="H101" s="94"/>
    </row>
    <row r="102" spans="1:8" ht="24.95" customHeight="1" outlineLevel="1" x14ac:dyDescent="0.2">
      <c r="A102" s="74"/>
      <c r="B102" s="74"/>
      <c r="C102" s="177"/>
      <c r="D102" s="94"/>
      <c r="E102" s="74"/>
      <c r="F102" s="218"/>
      <c r="G102" s="72"/>
      <c r="H102" s="94"/>
    </row>
    <row r="103" spans="1:8" ht="24.95" customHeight="1" outlineLevel="1" x14ac:dyDescent="0.2">
      <c r="A103" s="74"/>
      <c r="B103" s="74"/>
      <c r="C103" s="177"/>
      <c r="D103" s="94"/>
      <c r="E103" s="74"/>
      <c r="F103" s="218"/>
      <c r="G103" s="72"/>
      <c r="H103" s="94"/>
    </row>
    <row r="104" spans="1:8" ht="24.95" customHeight="1" outlineLevel="1" x14ac:dyDescent="0.2">
      <c r="A104" s="74"/>
      <c r="B104" s="74"/>
      <c r="C104" s="177"/>
      <c r="D104" s="94"/>
      <c r="E104" s="74"/>
      <c r="F104" s="218"/>
      <c r="G104" s="72"/>
      <c r="H104" s="94"/>
    </row>
    <row r="105" spans="1:8" ht="24.95" customHeight="1" outlineLevel="1" x14ac:dyDescent="0.2">
      <c r="A105" s="74"/>
      <c r="B105" s="74"/>
      <c r="C105" s="177"/>
      <c r="D105" s="94"/>
      <c r="E105" s="74"/>
      <c r="F105" s="218"/>
      <c r="G105" s="72"/>
      <c r="H105" s="94"/>
    </row>
    <row r="106" spans="1:8" ht="24.95" customHeight="1" outlineLevel="1" x14ac:dyDescent="0.2">
      <c r="A106" s="74"/>
      <c r="B106" s="74"/>
      <c r="C106" s="177"/>
      <c r="D106" s="94"/>
      <c r="E106" s="74"/>
      <c r="F106" s="218"/>
      <c r="G106" s="72"/>
      <c r="H106" s="94"/>
    </row>
    <row r="107" spans="1:8" ht="24.95" customHeight="1" outlineLevel="1" x14ac:dyDescent="0.2">
      <c r="A107" s="74"/>
      <c r="B107" s="74"/>
      <c r="C107" s="177"/>
      <c r="D107" s="94"/>
      <c r="E107" s="74"/>
      <c r="F107" s="218"/>
      <c r="G107" s="72"/>
      <c r="H107" s="94"/>
    </row>
    <row r="108" spans="1:8" ht="24.95" customHeight="1" outlineLevel="1" x14ac:dyDescent="0.2">
      <c r="A108" s="244"/>
      <c r="B108" s="220"/>
      <c r="C108" s="177"/>
      <c r="D108" s="93"/>
      <c r="E108" s="221"/>
      <c r="F108" s="218"/>
      <c r="G108" s="72"/>
      <c r="H108" s="94"/>
    </row>
    <row r="109" spans="1:8" ht="24.95" customHeight="1" outlineLevel="1" x14ac:dyDescent="0.2">
      <c r="A109" s="190"/>
      <c r="B109" s="176"/>
      <c r="C109" s="177"/>
      <c r="D109" s="177"/>
      <c r="E109" s="178"/>
      <c r="F109" s="179"/>
      <c r="G109" s="131"/>
      <c r="H109" s="173"/>
    </row>
    <row r="110" spans="1:8" ht="24.95" customHeight="1" outlineLevel="1" x14ac:dyDescent="0.2">
      <c r="A110" s="74"/>
      <c r="B110" s="74"/>
      <c r="C110" s="177"/>
      <c r="D110" s="94"/>
      <c r="E110" s="74"/>
      <c r="F110" s="218"/>
      <c r="G110" s="72"/>
      <c r="H110" s="94"/>
    </row>
    <row r="111" spans="1:8" ht="24.95" customHeight="1" outlineLevel="1" x14ac:dyDescent="0.2">
      <c r="A111" s="74"/>
      <c r="B111" s="74"/>
      <c r="C111" s="177"/>
      <c r="D111" s="94"/>
      <c r="E111" s="74"/>
      <c r="F111" s="218"/>
      <c r="G111" s="72"/>
      <c r="H111" s="94"/>
    </row>
    <row r="112" spans="1:8" ht="24.95" customHeight="1" outlineLevel="1" x14ac:dyDescent="0.2">
      <c r="A112" s="74"/>
      <c r="B112" s="74"/>
      <c r="C112" s="177"/>
      <c r="D112" s="94"/>
      <c r="E112" s="74"/>
      <c r="F112" s="218"/>
      <c r="G112" s="72"/>
      <c r="H112" s="94"/>
    </row>
    <row r="113" spans="1:8" ht="24.95" customHeight="1" outlineLevel="1" x14ac:dyDescent="0.2">
      <c r="A113" s="74"/>
      <c r="B113" s="74"/>
      <c r="C113" s="177"/>
      <c r="D113" s="94"/>
      <c r="E113" s="74"/>
      <c r="F113" s="218"/>
      <c r="G113" s="72"/>
      <c r="H113" s="94"/>
    </row>
    <row r="114" spans="1:8" ht="24.95" customHeight="1" outlineLevel="1" x14ac:dyDescent="0.2">
      <c r="A114" s="74"/>
      <c r="B114" s="74"/>
      <c r="C114" s="177"/>
      <c r="D114" s="94"/>
      <c r="E114" s="74"/>
      <c r="F114" s="218"/>
      <c r="G114" s="72"/>
      <c r="H114" s="94"/>
    </row>
    <row r="115" spans="1:8" ht="24.95" customHeight="1" outlineLevel="1" x14ac:dyDescent="0.2">
      <c r="A115" s="74"/>
      <c r="B115" s="74"/>
      <c r="C115" s="177"/>
      <c r="D115" s="94"/>
      <c r="E115" s="74"/>
      <c r="F115" s="218"/>
      <c r="G115" s="72"/>
      <c r="H115" s="94"/>
    </row>
    <row r="116" spans="1:8" ht="24.95" customHeight="1" outlineLevel="1" x14ac:dyDescent="0.2">
      <c r="A116" s="74"/>
      <c r="B116" s="74"/>
      <c r="C116" s="177"/>
      <c r="D116" s="94"/>
      <c r="E116" s="74"/>
      <c r="F116" s="218"/>
      <c r="G116" s="72"/>
      <c r="H116" s="94"/>
    </row>
    <row r="117" spans="1:8" ht="24.95" customHeight="1" outlineLevel="1" x14ac:dyDescent="0.2">
      <c r="A117" s="74"/>
      <c r="B117" s="74"/>
      <c r="C117" s="177"/>
      <c r="D117" s="94"/>
      <c r="E117" s="74"/>
      <c r="F117" s="218"/>
      <c r="G117" s="72"/>
      <c r="H117" s="94"/>
    </row>
    <row r="118" spans="1:8" ht="24.95" customHeight="1" outlineLevel="1" x14ac:dyDescent="0.2">
      <c r="A118" s="74"/>
      <c r="B118" s="74"/>
      <c r="C118" s="177"/>
      <c r="D118" s="94"/>
      <c r="E118" s="74"/>
      <c r="F118" s="218"/>
      <c r="G118" s="72"/>
      <c r="H118" s="94"/>
    </row>
    <row r="119" spans="1:8" ht="24.95" customHeight="1" outlineLevel="1" x14ac:dyDescent="0.2">
      <c r="A119" s="74"/>
      <c r="B119" s="74"/>
      <c r="C119" s="177"/>
      <c r="D119" s="94"/>
      <c r="E119" s="74"/>
      <c r="F119" s="218"/>
      <c r="G119" s="72"/>
      <c r="H119" s="94"/>
    </row>
    <row r="120" spans="1:8" ht="24.95" customHeight="1" outlineLevel="1" x14ac:dyDescent="0.2">
      <c r="A120" s="74"/>
      <c r="B120" s="74"/>
      <c r="C120" s="177"/>
      <c r="D120" s="94"/>
      <c r="E120" s="74"/>
      <c r="F120" s="218"/>
      <c r="G120" s="72"/>
      <c r="H120" s="94"/>
    </row>
    <row r="121" spans="1:8" ht="24.95" customHeight="1" outlineLevel="1" x14ac:dyDescent="0.2">
      <c r="A121" s="74"/>
      <c r="B121" s="74"/>
      <c r="C121" s="177"/>
      <c r="D121" s="94"/>
      <c r="E121" s="74"/>
      <c r="F121" s="218"/>
      <c r="G121" s="72"/>
      <c r="H121" s="94"/>
    </row>
    <row r="122" spans="1:8" ht="24.95" customHeight="1" outlineLevel="1" x14ac:dyDescent="0.2">
      <c r="A122" s="74"/>
      <c r="B122" s="74"/>
      <c r="C122" s="177"/>
      <c r="D122" s="94"/>
      <c r="E122" s="74"/>
      <c r="F122" s="218"/>
      <c r="G122" s="72"/>
      <c r="H122" s="94"/>
    </row>
    <row r="123" spans="1:8" ht="24.95" customHeight="1" outlineLevel="1" x14ac:dyDescent="0.2">
      <c r="A123" s="74"/>
      <c r="B123" s="74"/>
      <c r="C123" s="177"/>
      <c r="D123" s="94"/>
      <c r="E123" s="74"/>
      <c r="F123" s="218"/>
      <c r="G123" s="72"/>
      <c r="H123" s="94"/>
    </row>
    <row r="124" spans="1:8" ht="24.95" customHeight="1" outlineLevel="1" x14ac:dyDescent="0.2">
      <c r="A124" s="74"/>
      <c r="B124" s="74"/>
      <c r="C124" s="177"/>
      <c r="D124" s="94"/>
      <c r="E124" s="74"/>
      <c r="F124" s="218"/>
      <c r="G124" s="72"/>
      <c r="H124" s="94"/>
    </row>
    <row r="125" spans="1:8" ht="24.95" customHeight="1" outlineLevel="1" x14ac:dyDescent="0.2">
      <c r="A125" s="74"/>
      <c r="B125" s="74"/>
      <c r="C125" s="177"/>
      <c r="D125" s="94"/>
      <c r="E125" s="74"/>
      <c r="F125" s="218"/>
      <c r="G125" s="72"/>
      <c r="H125" s="94"/>
    </row>
    <row r="126" spans="1:8" ht="24.95" customHeight="1" outlineLevel="1" x14ac:dyDescent="0.2">
      <c r="A126" s="74"/>
      <c r="B126" s="74"/>
      <c r="C126" s="177"/>
      <c r="D126" s="94"/>
      <c r="E126" s="74"/>
      <c r="F126" s="218"/>
      <c r="G126" s="72"/>
      <c r="H126" s="94"/>
    </row>
    <row r="127" spans="1:8" ht="24.95" customHeight="1" outlineLevel="1" x14ac:dyDescent="0.2">
      <c r="A127" s="74"/>
      <c r="B127" s="74"/>
      <c r="C127" s="177"/>
      <c r="D127" s="94"/>
      <c r="E127" s="74"/>
      <c r="F127" s="218"/>
      <c r="G127" s="72"/>
      <c r="H127" s="94"/>
    </row>
    <row r="128" spans="1:8" ht="24.95" customHeight="1" outlineLevel="1" x14ac:dyDescent="0.2">
      <c r="A128" s="74"/>
      <c r="B128" s="74"/>
      <c r="C128" s="177"/>
      <c r="D128" s="94"/>
      <c r="E128" s="74"/>
      <c r="F128" s="218"/>
      <c r="G128" s="72"/>
      <c r="H128" s="94"/>
    </row>
    <row r="129" spans="1:8" ht="24.95" customHeight="1" outlineLevel="1" x14ac:dyDescent="0.2">
      <c r="A129" s="74"/>
      <c r="B129" s="74"/>
      <c r="C129" s="177"/>
      <c r="D129" s="94"/>
      <c r="E129" s="74"/>
      <c r="F129" s="218"/>
      <c r="G129" s="72"/>
      <c r="H129" s="94"/>
    </row>
    <row r="130" spans="1:8" ht="24.95" customHeight="1" outlineLevel="1" x14ac:dyDescent="0.2">
      <c r="A130" s="74"/>
      <c r="B130" s="74"/>
      <c r="C130" s="177"/>
      <c r="D130" s="94"/>
      <c r="E130" s="74"/>
      <c r="F130" s="218"/>
      <c r="G130" s="72"/>
      <c r="H130" s="94"/>
    </row>
    <row r="131" spans="1:8" ht="24.95" customHeight="1" outlineLevel="1" x14ac:dyDescent="0.2">
      <c r="A131" s="74"/>
      <c r="B131" s="74"/>
      <c r="C131" s="177"/>
      <c r="D131" s="94"/>
      <c r="E131" s="74"/>
      <c r="F131" s="218"/>
      <c r="G131" s="72"/>
      <c r="H131" s="94"/>
    </row>
    <row r="132" spans="1:8" ht="24.95" customHeight="1" outlineLevel="1" x14ac:dyDescent="0.2">
      <c r="A132" s="74"/>
      <c r="B132" s="74"/>
      <c r="C132" s="177"/>
      <c r="D132" s="94"/>
      <c r="E132" s="74"/>
      <c r="F132" s="218"/>
      <c r="G132" s="72"/>
      <c r="H132" s="94"/>
    </row>
    <row r="133" spans="1:8" ht="24.95" customHeight="1" outlineLevel="1" x14ac:dyDescent="0.2">
      <c r="A133" s="74"/>
      <c r="B133" s="74"/>
      <c r="C133" s="177"/>
      <c r="D133" s="94"/>
      <c r="E133" s="74"/>
      <c r="F133" s="218"/>
      <c r="G133" s="72"/>
      <c r="H133" s="94"/>
    </row>
    <row r="134" spans="1:8" ht="24.95" customHeight="1" outlineLevel="1" x14ac:dyDescent="0.2">
      <c r="A134" s="74"/>
      <c r="B134" s="74"/>
      <c r="C134" s="177"/>
      <c r="D134" s="94"/>
      <c r="E134" s="74"/>
      <c r="F134" s="218"/>
      <c r="G134" s="72"/>
      <c r="H134" s="94"/>
    </row>
    <row r="135" spans="1:8" ht="24.95" customHeight="1" outlineLevel="1" x14ac:dyDescent="0.2">
      <c r="A135" s="74"/>
      <c r="B135" s="74"/>
      <c r="C135" s="177"/>
      <c r="D135" s="94"/>
      <c r="E135" s="74"/>
      <c r="F135" s="218"/>
      <c r="G135" s="72"/>
      <c r="H135" s="94"/>
    </row>
    <row r="136" spans="1:8" ht="24.95" customHeight="1" outlineLevel="1" x14ac:dyDescent="0.2">
      <c r="A136" s="74"/>
      <c r="B136" s="74"/>
      <c r="C136" s="177"/>
      <c r="D136" s="94"/>
      <c r="E136" s="74"/>
      <c r="F136" s="218"/>
      <c r="G136" s="72"/>
      <c r="H136" s="94"/>
    </row>
    <row r="137" spans="1:8" ht="24.95" customHeight="1" outlineLevel="1" x14ac:dyDescent="0.2">
      <c r="A137" s="74"/>
      <c r="B137" s="74"/>
      <c r="C137" s="177"/>
      <c r="D137" s="94"/>
      <c r="E137" s="74"/>
      <c r="F137" s="218"/>
      <c r="G137" s="72"/>
      <c r="H137" s="94"/>
    </row>
    <row r="138" spans="1:8" ht="24.95" customHeight="1" outlineLevel="1" x14ac:dyDescent="0.2">
      <c r="A138" s="74"/>
      <c r="B138" s="74"/>
      <c r="C138" s="177"/>
      <c r="D138" s="94"/>
      <c r="E138" s="74"/>
      <c r="F138" s="218"/>
      <c r="G138" s="72"/>
      <c r="H138" s="94"/>
    </row>
    <row r="139" spans="1:8" ht="24.95" customHeight="1" outlineLevel="1" x14ac:dyDescent="0.2">
      <c r="A139" s="74"/>
      <c r="B139" s="74"/>
      <c r="C139" s="177"/>
      <c r="D139" s="94"/>
      <c r="E139" s="74"/>
      <c r="F139" s="218"/>
      <c r="G139" s="72"/>
      <c r="H139" s="94"/>
    </row>
    <row r="140" spans="1:8" ht="15" customHeight="1" x14ac:dyDescent="0.2"/>
    <row r="141" spans="1:8" ht="15" customHeight="1" x14ac:dyDescent="0.2"/>
    <row r="142" spans="1:8" ht="15.75" x14ac:dyDescent="0.25">
      <c r="A142" s="1" t="s">
        <v>76</v>
      </c>
    </row>
    <row r="143" spans="1:8" s="319" customFormat="1" ht="15" x14ac:dyDescent="0.25">
      <c r="A143" s="392" t="s">
        <v>77</v>
      </c>
      <c r="B143" s="392"/>
      <c r="C143" s="392"/>
      <c r="D143" s="392"/>
      <c r="E143" s="317"/>
      <c r="F143" s="318"/>
    </row>
    <row r="144" spans="1:8" s="104" customFormat="1" outlineLevel="1" x14ac:dyDescent="0.25">
      <c r="A144" s="112" t="s">
        <v>78</v>
      </c>
      <c r="B144" s="112" t="s">
        <v>53</v>
      </c>
      <c r="C144" s="91" t="s">
        <v>4</v>
      </c>
      <c r="D144" s="112" t="s">
        <v>79</v>
      </c>
      <c r="E144" s="91" t="s">
        <v>80</v>
      </c>
      <c r="F144" s="112" t="s">
        <v>81</v>
      </c>
      <c r="G144" s="112" t="s">
        <v>82</v>
      </c>
    </row>
    <row r="145" spans="1:7" s="104" customFormat="1" ht="23.25" customHeight="1" outlineLevel="1" x14ac:dyDescent="0.25">
      <c r="A145" s="350"/>
      <c r="B145" s="287"/>
      <c r="C145" s="287"/>
      <c r="D145" s="287"/>
      <c r="E145" s="287"/>
      <c r="F145" s="287"/>
      <c r="G145" s="287"/>
    </row>
    <row r="146" spans="1:7" s="104" customFormat="1" ht="12" customHeight="1" outlineLevel="1" x14ac:dyDescent="0.2">
      <c r="A146" s="2"/>
      <c r="B146" s="118"/>
      <c r="C146" s="2"/>
      <c r="D146" s="2"/>
      <c r="E146" s="2"/>
      <c r="F146" s="2"/>
      <c r="G146" s="2"/>
    </row>
    <row r="147" spans="1:7" ht="24" customHeight="1" outlineLevel="1" x14ac:dyDescent="0.2">
      <c r="A147" s="118"/>
      <c r="B147" s="118"/>
    </row>
    <row r="148" spans="1:7" s="319" customFormat="1" ht="24" customHeight="1" outlineLevel="1" x14ac:dyDescent="0.25">
      <c r="A148" s="393" t="s">
        <v>83</v>
      </c>
      <c r="B148" s="393"/>
      <c r="C148" s="393"/>
      <c r="D148" s="393"/>
      <c r="E148" s="320"/>
    </row>
    <row r="149" spans="1:7" ht="24" customHeight="1" outlineLevel="1" x14ac:dyDescent="0.2">
      <c r="A149" s="112" t="s">
        <v>78</v>
      </c>
      <c r="B149" s="112" t="s">
        <v>53</v>
      </c>
      <c r="C149" s="91" t="s">
        <v>4</v>
      </c>
      <c r="D149" s="112" t="s">
        <v>79</v>
      </c>
      <c r="E149" s="91" t="s">
        <v>80</v>
      </c>
      <c r="F149" s="112" t="s">
        <v>81</v>
      </c>
      <c r="G149" s="112" t="s">
        <v>82</v>
      </c>
    </row>
    <row r="150" spans="1:7" ht="24" customHeight="1" outlineLevel="1" x14ac:dyDescent="0.2">
      <c r="A150" s="287"/>
      <c r="B150" s="287"/>
      <c r="C150" s="287"/>
      <c r="D150" s="287"/>
      <c r="E150" s="287"/>
      <c r="F150" s="287"/>
      <c r="G150" s="287"/>
    </row>
    <row r="151" spans="1:7" ht="24" customHeight="1" outlineLevel="1" x14ac:dyDescent="0.2">
      <c r="A151" s="350">
        <v>46035</v>
      </c>
      <c r="B151" s="287" t="s">
        <v>2050</v>
      </c>
      <c r="C151" s="93" t="s">
        <v>94</v>
      </c>
      <c r="D151" s="287" t="s">
        <v>2049</v>
      </c>
      <c r="E151" s="287"/>
      <c r="F151" s="94" t="s">
        <v>109</v>
      </c>
      <c r="G151" s="287" t="s">
        <v>2051</v>
      </c>
    </row>
    <row r="152" spans="1:7" ht="24" customHeight="1" outlineLevel="1" x14ac:dyDescent="0.2">
      <c r="A152" s="350">
        <v>46035</v>
      </c>
      <c r="B152" s="287" t="s">
        <v>2057</v>
      </c>
      <c r="C152" s="93" t="s">
        <v>94</v>
      </c>
      <c r="D152" s="287" t="s">
        <v>2055</v>
      </c>
      <c r="E152" s="287"/>
      <c r="F152" s="94" t="s">
        <v>109</v>
      </c>
      <c r="G152" s="287" t="s">
        <v>2056</v>
      </c>
    </row>
    <row r="153" spans="1:7" ht="24" customHeight="1" outlineLevel="1" x14ac:dyDescent="0.2">
      <c r="A153" s="350">
        <v>46042</v>
      </c>
      <c r="B153" s="210" t="s">
        <v>2083</v>
      </c>
      <c r="C153" s="93" t="s">
        <v>94</v>
      </c>
      <c r="D153" s="210" t="s">
        <v>2082</v>
      </c>
      <c r="E153" s="94"/>
      <c r="F153" s="94" t="s">
        <v>109</v>
      </c>
      <c r="G153" s="94" t="s">
        <v>2081</v>
      </c>
    </row>
    <row r="154" spans="1:7" ht="24" customHeight="1" outlineLevel="1" x14ac:dyDescent="0.2">
      <c r="A154" s="350">
        <v>46042</v>
      </c>
      <c r="B154" s="210" t="s">
        <v>2086</v>
      </c>
      <c r="C154" s="93" t="s">
        <v>94</v>
      </c>
      <c r="D154" s="210" t="s">
        <v>2085</v>
      </c>
      <c r="E154" s="94"/>
      <c r="F154" s="94" t="s">
        <v>109</v>
      </c>
      <c r="G154" s="94" t="s">
        <v>2084</v>
      </c>
    </row>
    <row r="155" spans="1:7" ht="24" customHeight="1" outlineLevel="1" x14ac:dyDescent="0.2">
      <c r="A155" s="350">
        <v>46042</v>
      </c>
      <c r="B155" s="210" t="s">
        <v>2088</v>
      </c>
      <c r="C155" s="93" t="s">
        <v>94</v>
      </c>
      <c r="D155" s="210" t="s">
        <v>2087</v>
      </c>
      <c r="E155" s="94"/>
      <c r="F155" s="94" t="s">
        <v>109</v>
      </c>
      <c r="G155" s="94" t="s">
        <v>2089</v>
      </c>
    </row>
    <row r="156" spans="1:7" ht="24" customHeight="1" outlineLevel="1" x14ac:dyDescent="0.2">
      <c r="A156" s="350">
        <v>46043</v>
      </c>
      <c r="B156" s="210" t="s">
        <v>2094</v>
      </c>
      <c r="C156" s="93" t="s">
        <v>94</v>
      </c>
      <c r="D156" s="210" t="s">
        <v>2095</v>
      </c>
      <c r="E156" s="94"/>
      <c r="F156" s="94" t="s">
        <v>109</v>
      </c>
      <c r="G156" s="94" t="s">
        <v>2093</v>
      </c>
    </row>
    <row r="157" spans="1:7" ht="24" customHeight="1" outlineLevel="1" x14ac:dyDescent="0.2">
      <c r="A157" s="350">
        <v>46043</v>
      </c>
      <c r="B157" s="210" t="s">
        <v>2096</v>
      </c>
      <c r="C157" s="93" t="s">
        <v>94</v>
      </c>
      <c r="D157" s="210" t="s">
        <v>2097</v>
      </c>
      <c r="E157" s="94"/>
      <c r="F157" s="94" t="s">
        <v>109</v>
      </c>
      <c r="G157" s="94" t="s">
        <v>2098</v>
      </c>
    </row>
    <row r="158" spans="1:7" ht="24" customHeight="1" outlineLevel="1" x14ac:dyDescent="0.2">
      <c r="A158" s="350">
        <v>46043</v>
      </c>
      <c r="B158" s="210" t="s">
        <v>2099</v>
      </c>
      <c r="C158" s="93" t="s">
        <v>94</v>
      </c>
      <c r="D158" s="210" t="s">
        <v>2100</v>
      </c>
      <c r="E158" s="94"/>
      <c r="F158" s="94" t="s">
        <v>109</v>
      </c>
      <c r="G158" s="94" t="s">
        <v>2101</v>
      </c>
    </row>
    <row r="159" spans="1:7" ht="24" customHeight="1" outlineLevel="1" x14ac:dyDescent="0.2">
      <c r="A159" s="350">
        <v>46048</v>
      </c>
      <c r="B159" s="210" t="s">
        <v>2107</v>
      </c>
      <c r="C159" s="93" t="s">
        <v>94</v>
      </c>
      <c r="D159" s="210" t="s">
        <v>2105</v>
      </c>
      <c r="E159" s="94"/>
      <c r="F159" s="94" t="s">
        <v>109</v>
      </c>
      <c r="G159" s="94" t="s">
        <v>2106</v>
      </c>
    </row>
    <row r="160" spans="1:7" ht="24" customHeight="1" outlineLevel="1" x14ac:dyDescent="0.2">
      <c r="A160" s="350">
        <v>46049</v>
      </c>
      <c r="B160" s="210" t="s">
        <v>2123</v>
      </c>
      <c r="C160" s="93" t="s">
        <v>94</v>
      </c>
      <c r="D160" s="210" t="s">
        <v>2121</v>
      </c>
      <c r="E160" s="94"/>
      <c r="F160" s="94" t="s">
        <v>109</v>
      </c>
      <c r="G160" s="94" t="s">
        <v>2122</v>
      </c>
    </row>
    <row r="161" spans="1:7" ht="24" customHeight="1" outlineLevel="1" x14ac:dyDescent="0.2">
      <c r="A161" s="350"/>
      <c r="B161" s="210"/>
      <c r="C161" s="93"/>
      <c r="D161" s="210"/>
      <c r="E161" s="94"/>
      <c r="F161" s="94"/>
      <c r="G161" s="94"/>
    </row>
    <row r="162" spans="1:7" ht="24" customHeight="1" outlineLevel="1" x14ac:dyDescent="0.2">
      <c r="A162" s="350"/>
      <c r="B162" s="210"/>
      <c r="C162" s="93"/>
      <c r="D162" s="210"/>
      <c r="E162" s="94"/>
      <c r="F162" s="94"/>
      <c r="G162" s="94"/>
    </row>
    <row r="163" spans="1:7" ht="24" customHeight="1" outlineLevel="1" x14ac:dyDescent="0.2">
      <c r="A163" s="350"/>
      <c r="B163" s="210"/>
      <c r="C163" s="93"/>
      <c r="D163" s="210"/>
      <c r="E163" s="94"/>
      <c r="F163" s="94"/>
      <c r="G163" s="94"/>
    </row>
    <row r="164" spans="1:7" ht="24" customHeight="1" outlineLevel="1" x14ac:dyDescent="0.2">
      <c r="A164" s="350"/>
      <c r="B164" s="210" t="s">
        <v>2130</v>
      </c>
      <c r="C164" s="93" t="s">
        <v>94</v>
      </c>
      <c r="D164" s="210" t="s">
        <v>2131</v>
      </c>
      <c r="E164" s="94"/>
      <c r="F164" s="94" t="s">
        <v>109</v>
      </c>
      <c r="G164" s="94" t="s">
        <v>2132</v>
      </c>
    </row>
    <row r="165" spans="1:7" ht="24" customHeight="1" outlineLevel="1" x14ac:dyDescent="0.2">
      <c r="A165" s="350"/>
      <c r="B165" s="210" t="s">
        <v>2127</v>
      </c>
      <c r="C165" s="93" t="s">
        <v>94</v>
      </c>
      <c r="D165" s="210" t="s">
        <v>2128</v>
      </c>
      <c r="E165" s="94"/>
      <c r="F165" s="94" t="s">
        <v>109</v>
      </c>
      <c r="G165" s="94" t="s">
        <v>2129</v>
      </c>
    </row>
    <row r="166" spans="1:7" ht="24" customHeight="1" outlineLevel="1" x14ac:dyDescent="0.2">
      <c r="A166" s="350"/>
      <c r="B166" s="210" t="s">
        <v>2124</v>
      </c>
      <c r="C166" s="93" t="s">
        <v>94</v>
      </c>
      <c r="D166" s="210" t="s">
        <v>2126</v>
      </c>
      <c r="E166" s="94"/>
      <c r="F166" s="94" t="s">
        <v>109</v>
      </c>
      <c r="G166" s="94" t="s">
        <v>2125</v>
      </c>
    </row>
    <row r="167" spans="1:7" ht="24" customHeight="1" outlineLevel="1" x14ac:dyDescent="0.2">
      <c r="A167" s="350"/>
      <c r="B167" s="210" t="s">
        <v>2114</v>
      </c>
      <c r="C167" s="93" t="s">
        <v>94</v>
      </c>
      <c r="D167" s="210" t="s">
        <v>2111</v>
      </c>
      <c r="E167" s="94"/>
      <c r="F167" s="94" t="s">
        <v>109</v>
      </c>
      <c r="G167" s="94" t="s">
        <v>2113</v>
      </c>
    </row>
    <row r="168" spans="1:7" ht="24" customHeight="1" outlineLevel="1" x14ac:dyDescent="0.2">
      <c r="A168" s="350"/>
      <c r="B168" s="210" t="s">
        <v>2115</v>
      </c>
      <c r="C168" s="93" t="s">
        <v>94</v>
      </c>
      <c r="D168" s="210" t="s">
        <v>2112</v>
      </c>
      <c r="E168" s="94"/>
      <c r="F168" s="94" t="s">
        <v>109</v>
      </c>
      <c r="G168" s="94" t="s">
        <v>2113</v>
      </c>
    </row>
    <row r="169" spans="1:7" ht="24" customHeight="1" outlineLevel="1" x14ac:dyDescent="0.2">
      <c r="A169" s="350"/>
      <c r="B169" s="210" t="s">
        <v>2116</v>
      </c>
      <c r="C169" s="93" t="s">
        <v>94</v>
      </c>
      <c r="D169" s="210" t="s">
        <v>2117</v>
      </c>
      <c r="E169" s="94"/>
      <c r="F169" s="94" t="s">
        <v>109</v>
      </c>
      <c r="G169" s="94" t="s">
        <v>2113</v>
      </c>
    </row>
    <row r="170" spans="1:7" ht="24" customHeight="1" outlineLevel="1" x14ac:dyDescent="0.2">
      <c r="A170" s="350"/>
      <c r="B170" s="210" t="s">
        <v>2118</v>
      </c>
      <c r="C170" s="93" t="s">
        <v>94</v>
      </c>
      <c r="D170" s="210" t="s">
        <v>2119</v>
      </c>
      <c r="E170" s="94"/>
      <c r="F170" s="94" t="s">
        <v>109</v>
      </c>
      <c r="G170" s="94" t="s">
        <v>2120</v>
      </c>
    </row>
    <row r="171" spans="1:7" ht="24" customHeight="1" outlineLevel="1" x14ac:dyDescent="0.2">
      <c r="A171" s="350"/>
      <c r="B171" s="210"/>
      <c r="C171" s="93"/>
      <c r="D171" s="210"/>
      <c r="E171" s="94"/>
      <c r="F171" s="94"/>
      <c r="G171" s="94"/>
    </row>
    <row r="172" spans="1:7" ht="24" customHeight="1" outlineLevel="1" x14ac:dyDescent="0.2">
      <c r="A172" s="350"/>
      <c r="B172" s="210"/>
      <c r="C172" s="93"/>
      <c r="D172" s="210"/>
      <c r="E172" s="94"/>
      <c r="F172" s="94"/>
      <c r="G172" s="94"/>
    </row>
    <row r="173" spans="1:7" ht="24" customHeight="1" outlineLevel="1" x14ac:dyDescent="0.2">
      <c r="A173" s="350"/>
      <c r="B173" s="210" t="s">
        <v>2090</v>
      </c>
      <c r="C173" s="93" t="s">
        <v>94</v>
      </c>
      <c r="D173" s="210" t="s">
        <v>2091</v>
      </c>
      <c r="E173" s="94"/>
      <c r="F173" s="94"/>
      <c r="G173" s="94" t="s">
        <v>2092</v>
      </c>
    </row>
    <row r="174" spans="1:7" ht="24" customHeight="1" outlineLevel="1" x14ac:dyDescent="0.2">
      <c r="A174" s="350"/>
      <c r="B174" s="210"/>
      <c r="C174" s="93"/>
      <c r="D174" s="210"/>
      <c r="E174" s="94"/>
      <c r="F174" s="94"/>
      <c r="G174" s="94"/>
    </row>
    <row r="175" spans="1:7" ht="24" customHeight="1" outlineLevel="1" x14ac:dyDescent="0.2">
      <c r="A175" s="350"/>
      <c r="B175" s="210"/>
      <c r="C175" s="93"/>
      <c r="D175" s="210"/>
      <c r="E175" s="94"/>
      <c r="F175" s="94"/>
      <c r="G175" s="94"/>
    </row>
    <row r="176" spans="1:7" ht="24" customHeight="1" outlineLevel="1" x14ac:dyDescent="0.2">
      <c r="A176" s="350"/>
      <c r="B176" s="210" t="s">
        <v>2073</v>
      </c>
      <c r="C176" s="93" t="s">
        <v>94</v>
      </c>
      <c r="D176" s="287">
        <v>1478</v>
      </c>
      <c r="E176" s="94"/>
      <c r="F176" s="94"/>
      <c r="G176" s="94" t="s">
        <v>2074</v>
      </c>
    </row>
    <row r="177" spans="1:7" ht="24" customHeight="1" outlineLevel="1" x14ac:dyDescent="0.2">
      <c r="A177" s="350"/>
      <c r="B177" s="210" t="s">
        <v>2071</v>
      </c>
      <c r="C177" s="93" t="s">
        <v>94</v>
      </c>
      <c r="D177" s="287">
        <v>1619</v>
      </c>
      <c r="E177" s="94"/>
      <c r="F177" s="94"/>
      <c r="G177" s="94" t="s">
        <v>2072</v>
      </c>
    </row>
    <row r="178" spans="1:7" ht="24" customHeight="1" outlineLevel="1" x14ac:dyDescent="0.2">
      <c r="A178" s="210"/>
      <c r="B178" s="210" t="s">
        <v>2069</v>
      </c>
      <c r="C178" s="93" t="s">
        <v>94</v>
      </c>
      <c r="D178" s="287"/>
      <c r="E178" s="94"/>
      <c r="F178" s="94" t="s">
        <v>109</v>
      </c>
      <c r="G178" s="94" t="s">
        <v>2070</v>
      </c>
    </row>
    <row r="179" spans="1:7" ht="24" customHeight="1" outlineLevel="1" x14ac:dyDescent="0.2">
      <c r="A179" s="210"/>
      <c r="B179" s="210" t="s">
        <v>2066</v>
      </c>
      <c r="C179" s="93" t="s">
        <v>94</v>
      </c>
      <c r="D179" s="349" t="s">
        <v>2068</v>
      </c>
      <c r="E179" s="94"/>
      <c r="F179" s="94" t="s">
        <v>109</v>
      </c>
      <c r="G179" s="94" t="s">
        <v>2067</v>
      </c>
    </row>
    <row r="180" spans="1:7" ht="24" customHeight="1" outlineLevel="1" x14ac:dyDescent="0.2">
      <c r="A180" s="210"/>
      <c r="B180" s="210" t="s">
        <v>2058</v>
      </c>
      <c r="C180" s="93" t="s">
        <v>94</v>
      </c>
      <c r="D180" s="210"/>
      <c r="E180" s="94"/>
      <c r="F180" s="94" t="s">
        <v>109</v>
      </c>
      <c r="G180" s="94" t="s">
        <v>2059</v>
      </c>
    </row>
    <row r="181" spans="1:7" s="7" customFormat="1" ht="24" customHeight="1" outlineLevel="1" x14ac:dyDescent="0.2">
      <c r="A181" s="210"/>
      <c r="B181" s="210" t="s">
        <v>2060</v>
      </c>
      <c r="C181" s="93" t="s">
        <v>94</v>
      </c>
      <c r="D181" s="210" t="s">
        <v>2061</v>
      </c>
      <c r="E181" s="94"/>
      <c r="F181" s="94" t="s">
        <v>109</v>
      </c>
      <c r="G181" s="94" t="s">
        <v>2062</v>
      </c>
    </row>
    <row r="182" spans="1:7" s="7" customFormat="1" ht="24" customHeight="1" outlineLevel="1" x14ac:dyDescent="0.2">
      <c r="A182" s="210">
        <v>46015</v>
      </c>
      <c r="B182" s="210" t="s">
        <v>1974</v>
      </c>
      <c r="C182" s="93" t="s">
        <v>94</v>
      </c>
      <c r="D182" s="210" t="s">
        <v>1973</v>
      </c>
      <c r="E182" s="94"/>
      <c r="F182" s="94" t="s">
        <v>109</v>
      </c>
      <c r="G182" s="94"/>
    </row>
    <row r="183" spans="1:7" s="7" customFormat="1" ht="24" customHeight="1" outlineLevel="1" x14ac:dyDescent="0.2">
      <c r="A183" s="210">
        <v>46015</v>
      </c>
      <c r="B183" s="210" t="s">
        <v>1971</v>
      </c>
      <c r="C183" s="93" t="s">
        <v>94</v>
      </c>
      <c r="D183" s="210" t="s">
        <v>1972</v>
      </c>
      <c r="E183" s="94"/>
      <c r="F183" s="94" t="s">
        <v>109</v>
      </c>
      <c r="G183" s="94"/>
    </row>
    <row r="184" spans="1:7" s="7" customFormat="1" ht="24" customHeight="1" outlineLevel="1" x14ac:dyDescent="0.2">
      <c r="A184" s="341"/>
      <c r="B184" s="114" t="s">
        <v>1975</v>
      </c>
      <c r="C184" s="93" t="s">
        <v>94</v>
      </c>
      <c r="D184" s="114" t="s">
        <v>1976</v>
      </c>
      <c r="E184" s="340"/>
      <c r="F184" s="340" t="s">
        <v>109</v>
      </c>
      <c r="G184" s="55"/>
    </row>
    <row r="185" spans="1:7" s="7" customFormat="1" ht="24" customHeight="1" outlineLevel="1" x14ac:dyDescent="0.2">
      <c r="A185" s="341"/>
      <c r="B185" s="114" t="s">
        <v>1954</v>
      </c>
      <c r="C185" s="93" t="s">
        <v>94</v>
      </c>
      <c r="D185" s="114" t="s">
        <v>1955</v>
      </c>
      <c r="E185" s="340"/>
      <c r="F185" s="340" t="s">
        <v>109</v>
      </c>
      <c r="G185" s="340"/>
    </row>
    <row r="186" spans="1:7" s="7" customFormat="1" ht="24" customHeight="1" outlineLevel="1" x14ac:dyDescent="0.2">
      <c r="A186" s="341"/>
      <c r="B186" s="341" t="s">
        <v>1952</v>
      </c>
      <c r="C186" s="93" t="s">
        <v>94</v>
      </c>
      <c r="D186" s="341"/>
      <c r="E186" s="340"/>
      <c r="F186" s="340"/>
      <c r="G186" s="340"/>
    </row>
    <row r="187" spans="1:7" s="7" customFormat="1" ht="24" customHeight="1" outlineLevel="1" x14ac:dyDescent="0.2">
      <c r="A187" s="341"/>
      <c r="B187" s="341" t="s">
        <v>1946</v>
      </c>
      <c r="C187" s="93" t="s">
        <v>94</v>
      </c>
      <c r="D187" s="341" t="s">
        <v>1935</v>
      </c>
      <c r="E187" s="340"/>
      <c r="F187" s="340" t="s">
        <v>1947</v>
      </c>
      <c r="G187" s="340"/>
    </row>
    <row r="188" spans="1:7" s="7" customFormat="1" ht="24" customHeight="1" outlineLevel="1" x14ac:dyDescent="0.2">
      <c r="A188" s="340"/>
      <c r="B188" s="341" t="s">
        <v>1948</v>
      </c>
      <c r="C188" s="93" t="s">
        <v>94</v>
      </c>
      <c r="D188" s="341" t="s">
        <v>1958</v>
      </c>
      <c r="E188" s="340"/>
      <c r="F188" s="340"/>
      <c r="G188" s="340"/>
    </row>
    <row r="189" spans="1:7" s="7" customFormat="1" ht="24" customHeight="1" outlineLevel="1" x14ac:dyDescent="0.2">
      <c r="A189" s="340"/>
      <c r="B189" s="341" t="s">
        <v>1959</v>
      </c>
      <c r="C189" s="93" t="s">
        <v>1527</v>
      </c>
      <c r="D189" s="341" t="s">
        <v>1960</v>
      </c>
      <c r="E189" s="343" t="s">
        <v>1527</v>
      </c>
      <c r="F189" s="55" t="s">
        <v>109</v>
      </c>
      <c r="G189" s="340" t="s">
        <v>1961</v>
      </c>
    </row>
    <row r="190" spans="1:7" s="7" customFormat="1" ht="24" customHeight="1" outlineLevel="1" x14ac:dyDescent="0.2">
      <c r="A190" s="340"/>
      <c r="B190" s="93" t="s">
        <v>1984</v>
      </c>
      <c r="C190" s="93" t="s">
        <v>1985</v>
      </c>
      <c r="D190" s="93" t="s">
        <v>1983</v>
      </c>
      <c r="E190" s="340"/>
      <c r="F190" s="340"/>
      <c r="G190" s="340"/>
    </row>
    <row r="191" spans="1:7" s="7" customFormat="1" ht="24" customHeight="1" outlineLevel="1" x14ac:dyDescent="0.2">
      <c r="A191" s="340"/>
      <c r="B191" s="341"/>
      <c r="C191" s="93"/>
      <c r="D191" s="341"/>
      <c r="E191" s="340"/>
      <c r="F191" s="340"/>
      <c r="G191" s="340"/>
    </row>
    <row r="192" spans="1:7" s="7" customFormat="1" ht="24" customHeight="1" outlineLevel="1" x14ac:dyDescent="0.2">
      <c r="A192" s="340"/>
      <c r="B192" s="341" t="s">
        <v>2063</v>
      </c>
      <c r="C192" s="321" t="s">
        <v>94</v>
      </c>
      <c r="D192" s="116" t="s">
        <v>2064</v>
      </c>
      <c r="E192" s="340"/>
      <c r="F192" s="298" t="s">
        <v>109</v>
      </c>
      <c r="G192" s="340" t="s">
        <v>2065</v>
      </c>
    </row>
    <row r="193" spans="1:7" s="7" customFormat="1" ht="24" customHeight="1" outlineLevel="1" x14ac:dyDescent="0.2">
      <c r="A193" s="316"/>
      <c r="B193" s="287" t="s">
        <v>1698</v>
      </c>
      <c r="C193" s="321" t="s">
        <v>94</v>
      </c>
      <c r="D193" s="322" t="s">
        <v>1718</v>
      </c>
      <c r="E193" s="287"/>
      <c r="F193" s="298" t="s">
        <v>109</v>
      </c>
      <c r="G193" s="55"/>
    </row>
    <row r="194" spans="1:7" s="7" customFormat="1" ht="24" customHeight="1" outlineLevel="1" x14ac:dyDescent="0.2">
      <c r="A194" s="287"/>
      <c r="B194" s="341" t="s">
        <v>1699</v>
      </c>
      <c r="C194" s="93" t="s">
        <v>94</v>
      </c>
      <c r="D194" s="342" t="s">
        <v>1718</v>
      </c>
      <c r="E194" s="340"/>
      <c r="F194" s="340" t="s">
        <v>109</v>
      </c>
      <c r="G194" s="287"/>
    </row>
    <row r="195" spans="1:7" s="7" customFormat="1" ht="24" customHeight="1" outlineLevel="1" x14ac:dyDescent="0.2">
      <c r="A195" s="287"/>
      <c r="B195" s="299" t="s">
        <v>1551</v>
      </c>
      <c r="C195" s="93" t="s">
        <v>94</v>
      </c>
      <c r="D195" s="311" t="s">
        <v>1552</v>
      </c>
      <c r="E195" s="298"/>
      <c r="F195" s="298" t="s">
        <v>109</v>
      </c>
      <c r="G195" s="298"/>
    </row>
    <row r="196" spans="1:7" ht="24" customHeight="1" outlineLevel="1" x14ac:dyDescent="0.2">
      <c r="A196" s="287"/>
      <c r="B196" s="341" t="s">
        <v>1883</v>
      </c>
      <c r="C196" s="93"/>
      <c r="D196" s="114" t="s">
        <v>1964</v>
      </c>
      <c r="E196" s="109"/>
      <c r="F196" s="109"/>
      <c r="G196" s="173"/>
    </row>
    <row r="197" spans="1:7" ht="24" customHeight="1" outlineLevel="1" x14ac:dyDescent="0.2">
      <c r="A197" s="298"/>
      <c r="B197" s="114" t="s">
        <v>1565</v>
      </c>
      <c r="C197" s="93" t="s">
        <v>94</v>
      </c>
      <c r="D197" s="114" t="s">
        <v>1566</v>
      </c>
      <c r="E197" s="109" t="s">
        <v>1997</v>
      </c>
      <c r="F197" s="298" t="s">
        <v>109</v>
      </c>
      <c r="G197" s="298" t="s">
        <v>1567</v>
      </c>
    </row>
    <row r="198" spans="1:7" ht="24" customHeight="1" outlineLevel="1" x14ac:dyDescent="0.2">
      <c r="A198" s="299"/>
      <c r="B198" s="299" t="s">
        <v>1528</v>
      </c>
      <c r="C198" s="93" t="s">
        <v>94</v>
      </c>
      <c r="D198" s="311" t="s">
        <v>1527</v>
      </c>
      <c r="E198" s="298"/>
      <c r="F198" s="298" t="s">
        <v>109</v>
      </c>
      <c r="G198" s="298"/>
    </row>
    <row r="199" spans="1:7" ht="24" customHeight="1" outlineLevel="1" x14ac:dyDescent="0.2">
      <c r="A199" s="298"/>
      <c r="B199" s="299" t="s">
        <v>1547</v>
      </c>
      <c r="C199" s="93" t="s">
        <v>94</v>
      </c>
      <c r="D199" s="311" t="s">
        <v>1527</v>
      </c>
      <c r="E199" s="298"/>
      <c r="F199" s="298" t="s">
        <v>109</v>
      </c>
      <c r="G199" s="298"/>
    </row>
    <row r="200" spans="1:7" ht="24" customHeight="1" outlineLevel="1" x14ac:dyDescent="0.2">
      <c r="A200" s="341"/>
      <c r="B200" s="341"/>
      <c r="C200" s="93"/>
      <c r="D200" s="341"/>
      <c r="E200" s="340"/>
      <c r="F200" s="340"/>
      <c r="G200" s="55"/>
    </row>
    <row r="201" spans="1:7" ht="24" customHeight="1" outlineLevel="1" x14ac:dyDescent="0.2">
      <c r="A201" s="109"/>
      <c r="B201" s="116" t="s">
        <v>1241</v>
      </c>
      <c r="C201" s="177" t="s">
        <v>94</v>
      </c>
      <c r="D201" s="116" t="s">
        <v>1240</v>
      </c>
      <c r="E201" s="264"/>
      <c r="F201" s="109" t="s">
        <v>109</v>
      </c>
      <c r="G201" s="302" t="s">
        <v>1180</v>
      </c>
    </row>
    <row r="202" spans="1:7" s="347" customFormat="1" ht="24" customHeight="1" outlineLevel="1" x14ac:dyDescent="0.2">
      <c r="A202" s="303"/>
      <c r="B202" s="304" t="s">
        <v>1179</v>
      </c>
      <c r="C202" s="307" t="s">
        <v>94</v>
      </c>
      <c r="D202" s="304" t="s">
        <v>219</v>
      </c>
      <c r="E202" s="303"/>
      <c r="F202" s="303" t="s">
        <v>109</v>
      </c>
      <c r="G202" s="306" t="s">
        <v>1430</v>
      </c>
    </row>
    <row r="203" spans="1:7" s="347" customFormat="1" ht="24" customHeight="1" outlineLevel="1" x14ac:dyDescent="0.2">
      <c r="A203" s="303"/>
      <c r="B203" s="304" t="s">
        <v>1238</v>
      </c>
      <c r="C203" s="307" t="s">
        <v>94</v>
      </c>
      <c r="D203" s="304" t="s">
        <v>1239</v>
      </c>
      <c r="E203" s="303"/>
      <c r="F203" s="303" t="s">
        <v>109</v>
      </c>
      <c r="G203" s="306" t="s">
        <v>1429</v>
      </c>
    </row>
    <row r="204" spans="1:7" s="347" customFormat="1" ht="24" customHeight="1" outlineLevel="1" x14ac:dyDescent="0.2">
      <c r="A204" s="303"/>
      <c r="B204" s="304" t="s">
        <v>1234</v>
      </c>
      <c r="C204" s="305" t="s">
        <v>94</v>
      </c>
      <c r="D204" s="304" t="s">
        <v>1235</v>
      </c>
      <c r="E204" s="303"/>
      <c r="F204" s="303" t="s">
        <v>109</v>
      </c>
      <c r="G204" s="306" t="s">
        <v>1180</v>
      </c>
    </row>
    <row r="205" spans="1:7" s="347" customFormat="1" ht="24" customHeight="1" outlineLevel="1" x14ac:dyDescent="0.2">
      <c r="A205" s="303"/>
      <c r="B205" s="304" t="s">
        <v>1232</v>
      </c>
      <c r="C205" s="305" t="s">
        <v>94</v>
      </c>
      <c r="D205" s="304" t="s">
        <v>1233</v>
      </c>
      <c r="E205" s="303" t="s">
        <v>1534</v>
      </c>
      <c r="F205" s="303" t="s">
        <v>109</v>
      </c>
      <c r="G205" s="306" t="s">
        <v>1180</v>
      </c>
    </row>
    <row r="206" spans="1:7" s="347" customFormat="1" ht="24" customHeight="1" outlineLevel="1" x14ac:dyDescent="0.2">
      <c r="A206" s="303"/>
      <c r="B206" s="304" t="s">
        <v>1231</v>
      </c>
      <c r="C206" s="305" t="s">
        <v>94</v>
      </c>
      <c r="D206" s="304" t="s">
        <v>1230</v>
      </c>
      <c r="E206" s="303"/>
      <c r="F206" s="303" t="s">
        <v>109</v>
      </c>
      <c r="G206" s="306" t="s">
        <v>1180</v>
      </c>
    </row>
    <row r="207" spans="1:7" s="347" customFormat="1" ht="24" customHeight="1" outlineLevel="1" x14ac:dyDescent="0.2">
      <c r="A207" s="303"/>
      <c r="B207" s="304" t="s">
        <v>1401</v>
      </c>
      <c r="C207" s="307" t="s">
        <v>94</v>
      </c>
      <c r="D207" s="304" t="s">
        <v>1402</v>
      </c>
      <c r="E207" s="303" t="s">
        <v>1538</v>
      </c>
      <c r="F207" s="303" t="s">
        <v>109</v>
      </c>
      <c r="G207" s="306" t="s">
        <v>1403</v>
      </c>
    </row>
    <row r="208" spans="1:7" s="319" customFormat="1" ht="24" customHeight="1" outlineLevel="1" x14ac:dyDescent="0.2">
      <c r="A208" s="300"/>
      <c r="B208" s="301" t="s">
        <v>1398</v>
      </c>
      <c r="C208" s="348" t="s">
        <v>94</v>
      </c>
      <c r="D208" s="301" t="s">
        <v>1399</v>
      </c>
      <c r="E208" s="300" t="s">
        <v>1538</v>
      </c>
      <c r="F208" s="300" t="s">
        <v>109</v>
      </c>
      <c r="G208" s="300" t="s">
        <v>1400</v>
      </c>
    </row>
    <row r="209" spans="1:7" s="347" customFormat="1" ht="24" customHeight="1" outlineLevel="1" x14ac:dyDescent="0.2">
      <c r="A209" s="304"/>
      <c r="B209" s="310" t="s">
        <v>1386</v>
      </c>
      <c r="C209" s="305" t="s">
        <v>94</v>
      </c>
      <c r="D209" s="310" t="s">
        <v>1388</v>
      </c>
      <c r="E209" s="309"/>
      <c r="F209" s="309" t="s">
        <v>109</v>
      </c>
      <c r="G209" s="309" t="s">
        <v>1387</v>
      </c>
    </row>
    <row r="210" spans="1:7" s="347" customFormat="1" ht="24" customHeight="1" outlineLevel="1" x14ac:dyDescent="0.2">
      <c r="A210" s="303"/>
      <c r="B210" s="310" t="s">
        <v>1373</v>
      </c>
      <c r="C210" s="305" t="s">
        <v>94</v>
      </c>
      <c r="D210" s="310" t="s">
        <v>1374</v>
      </c>
      <c r="E210" s="303" t="s">
        <v>1538</v>
      </c>
      <c r="F210" s="309" t="s">
        <v>109</v>
      </c>
      <c r="G210" s="309" t="s">
        <v>1375</v>
      </c>
    </row>
    <row r="211" spans="1:7" ht="24" customHeight="1" outlineLevel="1" x14ac:dyDescent="0.2">
      <c r="A211" s="298"/>
      <c r="B211" s="299" t="s">
        <v>1535</v>
      </c>
      <c r="C211" s="93" t="s">
        <v>94</v>
      </c>
      <c r="D211" s="114" t="s">
        <v>1536</v>
      </c>
      <c r="E211" s="109" t="s">
        <v>1538</v>
      </c>
      <c r="F211" s="294" t="s">
        <v>109</v>
      </c>
      <c r="G211" s="308" t="s">
        <v>1537</v>
      </c>
    </row>
    <row r="212" spans="1:7" ht="24" customHeight="1" outlineLevel="1" x14ac:dyDescent="0.2">
      <c r="A212" s="109"/>
      <c r="B212" s="116" t="s">
        <v>1413</v>
      </c>
      <c r="C212" s="93" t="s">
        <v>94</v>
      </c>
      <c r="D212" s="116" t="s">
        <v>1414</v>
      </c>
      <c r="E212" s="109" t="s">
        <v>1538</v>
      </c>
      <c r="F212" s="109" t="s">
        <v>109</v>
      </c>
      <c r="G212" s="303" t="s">
        <v>1415</v>
      </c>
    </row>
    <row r="213" spans="1:7" ht="24" customHeight="1" outlineLevel="1" x14ac:dyDescent="0.2">
      <c r="A213" s="109"/>
      <c r="B213" s="116" t="s">
        <v>1334</v>
      </c>
      <c r="C213" s="93" t="s">
        <v>94</v>
      </c>
      <c r="D213" s="116" t="s">
        <v>1335</v>
      </c>
      <c r="E213" s="109" t="s">
        <v>1538</v>
      </c>
      <c r="F213" s="109" t="s">
        <v>109</v>
      </c>
      <c r="G213" s="303" t="s">
        <v>1336</v>
      </c>
    </row>
    <row r="214" spans="1:7" ht="24" customHeight="1" outlineLevel="1" x14ac:dyDescent="0.2">
      <c r="A214" s="109"/>
      <c r="B214" s="116" t="s">
        <v>1331</v>
      </c>
      <c r="C214" s="177" t="s">
        <v>94</v>
      </c>
      <c r="D214" s="116" t="s">
        <v>1332</v>
      </c>
      <c r="E214" s="109" t="s">
        <v>1538</v>
      </c>
      <c r="F214" s="109" t="s">
        <v>109</v>
      </c>
      <c r="G214" s="306" t="s">
        <v>1333</v>
      </c>
    </row>
    <row r="215" spans="1:7" ht="24" customHeight="1" outlineLevel="1" x14ac:dyDescent="0.2">
      <c r="A215" s="116"/>
      <c r="B215" s="116" t="s">
        <v>1325</v>
      </c>
      <c r="C215" s="93" t="s">
        <v>94</v>
      </c>
      <c r="D215" s="116" t="s">
        <v>1326</v>
      </c>
      <c r="E215" s="109"/>
      <c r="F215" s="109" t="s">
        <v>109</v>
      </c>
      <c r="G215" s="303" t="s">
        <v>1324</v>
      </c>
    </row>
    <row r="216" spans="1:7" ht="24" customHeight="1" outlineLevel="1" x14ac:dyDescent="0.2">
      <c r="A216" s="109"/>
      <c r="B216" s="116" t="s">
        <v>1321</v>
      </c>
      <c r="C216" s="93" t="s">
        <v>94</v>
      </c>
      <c r="D216" s="116" t="s">
        <v>1322</v>
      </c>
      <c r="E216" s="109"/>
      <c r="F216" s="109" t="s">
        <v>109</v>
      </c>
      <c r="G216" s="303" t="s">
        <v>1323</v>
      </c>
    </row>
    <row r="217" spans="1:7" ht="24" customHeight="1" outlineLevel="1" x14ac:dyDescent="0.2">
      <c r="A217" s="109"/>
      <c r="B217" s="116" t="s">
        <v>1215</v>
      </c>
      <c r="C217" s="177" t="s">
        <v>94</v>
      </c>
      <c r="D217" s="116" t="s">
        <v>1217</v>
      </c>
      <c r="E217" s="109"/>
      <c r="F217" s="109" t="s">
        <v>109</v>
      </c>
      <c r="G217" s="306" t="s">
        <v>1216</v>
      </c>
    </row>
    <row r="218" spans="1:7" ht="24" customHeight="1" outlineLevel="1" x14ac:dyDescent="0.2">
      <c r="A218" s="109"/>
      <c r="B218" s="116" t="s">
        <v>1212</v>
      </c>
      <c r="C218" s="177" t="s">
        <v>94</v>
      </c>
      <c r="D218" s="116" t="s">
        <v>1213</v>
      </c>
      <c r="E218" s="109"/>
      <c r="F218" s="109" t="s">
        <v>109</v>
      </c>
      <c r="G218" s="306" t="s">
        <v>1214</v>
      </c>
    </row>
    <row r="219" spans="1:7" ht="24" customHeight="1" outlineLevel="1" x14ac:dyDescent="0.2">
      <c r="A219" s="109"/>
      <c r="B219" s="116" t="s">
        <v>1209</v>
      </c>
      <c r="C219" s="177" t="s">
        <v>94</v>
      </c>
      <c r="D219" s="116" t="s">
        <v>1211</v>
      </c>
      <c r="E219" s="109"/>
      <c r="F219" s="109" t="s">
        <v>109</v>
      </c>
      <c r="G219" s="173" t="s">
        <v>1210</v>
      </c>
    </row>
    <row r="220" spans="1:7" ht="24" customHeight="1" outlineLevel="1" x14ac:dyDescent="0.2">
      <c r="A220" s="116"/>
      <c r="B220" s="116" t="s">
        <v>1320</v>
      </c>
      <c r="C220" s="93" t="s">
        <v>94</v>
      </c>
      <c r="D220" s="116" t="s">
        <v>688</v>
      </c>
      <c r="E220" s="109"/>
      <c r="F220" s="109" t="s">
        <v>109</v>
      </c>
      <c r="G220" s="109" t="s">
        <v>1425</v>
      </c>
    </row>
    <row r="221" spans="1:7" ht="24" customHeight="1" outlineLevel="1" x14ac:dyDescent="0.2">
      <c r="A221" s="298"/>
      <c r="B221" s="299" t="s">
        <v>1539</v>
      </c>
      <c r="C221" s="93" t="s">
        <v>94</v>
      </c>
      <c r="D221" s="299">
        <v>740</v>
      </c>
      <c r="E221" s="298"/>
      <c r="F221" s="109" t="s">
        <v>109</v>
      </c>
      <c r="G221" s="298" t="s">
        <v>1540</v>
      </c>
    </row>
    <row r="222" spans="1:7" ht="24" customHeight="1" outlineLevel="1" x14ac:dyDescent="0.2">
      <c r="A222" s="109"/>
      <c r="B222" s="116" t="s">
        <v>1227</v>
      </c>
      <c r="C222" s="177" t="s">
        <v>94</v>
      </c>
      <c r="D222" s="116" t="s">
        <v>1228</v>
      </c>
      <c r="E222" s="109"/>
      <c r="F222" s="109" t="s">
        <v>109</v>
      </c>
      <c r="G222" s="173" t="s">
        <v>1180</v>
      </c>
    </row>
    <row r="223" spans="1:7" ht="24" customHeight="1" outlineLevel="1" x14ac:dyDescent="0.2">
      <c r="A223" s="109"/>
      <c r="B223" s="116" t="s">
        <v>1312</v>
      </c>
      <c r="C223" s="93" t="s">
        <v>94</v>
      </c>
      <c r="D223" s="116" t="s">
        <v>1314</v>
      </c>
      <c r="E223" s="109"/>
      <c r="F223" s="109" t="s">
        <v>109</v>
      </c>
      <c r="G223" s="109" t="s">
        <v>1313</v>
      </c>
    </row>
    <row r="224" spans="1:7" ht="24" customHeight="1" outlineLevel="1" x14ac:dyDescent="0.2">
      <c r="A224" s="116"/>
      <c r="B224" s="116" t="s">
        <v>1206</v>
      </c>
      <c r="C224" s="93" t="s">
        <v>94</v>
      </c>
      <c r="D224" s="116" t="s">
        <v>1208</v>
      </c>
      <c r="E224" s="109"/>
      <c r="F224" s="109" t="s">
        <v>109</v>
      </c>
      <c r="G224" s="109" t="s">
        <v>1207</v>
      </c>
    </row>
    <row r="225" spans="1:7" ht="24" customHeight="1" outlineLevel="1" x14ac:dyDescent="0.2">
      <c r="A225" s="109"/>
      <c r="B225" s="116" t="s">
        <v>1270</v>
      </c>
      <c r="C225" s="93" t="s">
        <v>94</v>
      </c>
      <c r="D225" s="116" t="s">
        <v>1271</v>
      </c>
      <c r="E225" s="109"/>
      <c r="F225" s="109" t="s">
        <v>109</v>
      </c>
      <c r="G225" s="109" t="s">
        <v>1272</v>
      </c>
    </row>
    <row r="226" spans="1:7" ht="24" customHeight="1" outlineLevel="1" x14ac:dyDescent="0.2">
      <c r="A226" s="109"/>
      <c r="B226" s="116" t="s">
        <v>1302</v>
      </c>
      <c r="C226" s="93" t="s">
        <v>94</v>
      </c>
      <c r="D226" s="116" t="s">
        <v>1303</v>
      </c>
      <c r="E226" s="109"/>
      <c r="F226" s="109" t="s">
        <v>109</v>
      </c>
      <c r="G226" s="109" t="s">
        <v>1304</v>
      </c>
    </row>
    <row r="227" spans="1:7" ht="24" customHeight="1" outlineLevel="1" x14ac:dyDescent="0.2">
      <c r="A227" s="109"/>
      <c r="B227" s="116" t="s">
        <v>1295</v>
      </c>
      <c r="C227" s="93" t="s">
        <v>94</v>
      </c>
      <c r="D227" s="116" t="s">
        <v>631</v>
      </c>
      <c r="E227" s="109"/>
      <c r="F227" s="109" t="s">
        <v>109</v>
      </c>
      <c r="G227" s="109" t="s">
        <v>1296</v>
      </c>
    </row>
    <row r="228" spans="1:7" ht="24" customHeight="1" outlineLevel="1" x14ac:dyDescent="0.2">
      <c r="A228" s="109"/>
      <c r="B228" s="116" t="s">
        <v>1225</v>
      </c>
      <c r="C228" s="177" t="s">
        <v>94</v>
      </c>
      <c r="D228" s="116" t="s">
        <v>1226</v>
      </c>
      <c r="E228" s="109"/>
      <c r="F228" s="109" t="s">
        <v>109</v>
      </c>
      <c r="G228" s="173" t="s">
        <v>1180</v>
      </c>
    </row>
    <row r="229" spans="1:7" ht="24" customHeight="1" outlineLevel="1" x14ac:dyDescent="0.2">
      <c r="A229" s="109"/>
      <c r="B229" s="116" t="s">
        <v>1293</v>
      </c>
      <c r="C229" s="93" t="s">
        <v>94</v>
      </c>
      <c r="D229" s="116" t="s">
        <v>1294</v>
      </c>
      <c r="E229" s="109"/>
      <c r="F229" s="109" t="s">
        <v>109</v>
      </c>
      <c r="G229" s="109" t="s">
        <v>1428</v>
      </c>
    </row>
    <row r="230" spans="1:7" ht="24" customHeight="1" outlineLevel="1" x14ac:dyDescent="0.2">
      <c r="A230" s="109"/>
      <c r="B230" s="344" t="s">
        <v>1290</v>
      </c>
      <c r="C230" s="93" t="s">
        <v>94</v>
      </c>
      <c r="D230" s="116" t="s">
        <v>1291</v>
      </c>
      <c r="E230" s="109"/>
      <c r="F230" s="109" t="s">
        <v>109</v>
      </c>
      <c r="G230" s="109" t="s">
        <v>1292</v>
      </c>
    </row>
    <row r="231" spans="1:7" ht="24" customHeight="1" outlineLevel="1" x14ac:dyDescent="0.2">
      <c r="A231" s="109"/>
      <c r="B231" s="116" t="s">
        <v>1422</v>
      </c>
      <c r="C231" s="93" t="s">
        <v>94</v>
      </c>
      <c r="D231" s="116" t="s">
        <v>1423</v>
      </c>
      <c r="E231" s="109"/>
      <c r="F231" s="109" t="s">
        <v>109</v>
      </c>
      <c r="G231" s="109" t="s">
        <v>1424</v>
      </c>
    </row>
    <row r="232" spans="1:7" ht="24" customHeight="1" outlineLevel="1" x14ac:dyDescent="0.2">
      <c r="A232" s="116"/>
      <c r="B232" s="116" t="s">
        <v>1201</v>
      </c>
      <c r="C232" s="93" t="s">
        <v>94</v>
      </c>
      <c r="D232" s="116" t="s">
        <v>1202</v>
      </c>
      <c r="E232" s="109"/>
      <c r="F232" s="109" t="s">
        <v>109</v>
      </c>
      <c r="G232" s="109" t="s">
        <v>1203</v>
      </c>
    </row>
    <row r="233" spans="1:7" ht="24" customHeight="1" outlineLevel="1" x14ac:dyDescent="0.2">
      <c r="A233" s="298"/>
      <c r="B233" s="345" t="s">
        <v>1285</v>
      </c>
      <c r="C233" s="93" t="s">
        <v>94</v>
      </c>
      <c r="D233" s="299" t="s">
        <v>1286</v>
      </c>
      <c r="E233" s="298"/>
      <c r="F233" s="298" t="s">
        <v>109</v>
      </c>
      <c r="G233" s="298" t="s">
        <v>1427</v>
      </c>
    </row>
    <row r="234" spans="1:7" ht="24" customHeight="1" outlineLevel="1" x14ac:dyDescent="0.2">
      <c r="A234" s="241"/>
      <c r="B234" s="116" t="s">
        <v>1204</v>
      </c>
      <c r="C234" s="177" t="s">
        <v>94</v>
      </c>
      <c r="D234" s="116" t="s">
        <v>1205</v>
      </c>
      <c r="E234" s="109"/>
      <c r="F234" s="109" t="s">
        <v>109</v>
      </c>
      <c r="G234" s="173" t="s">
        <v>1180</v>
      </c>
    </row>
    <row r="235" spans="1:7" ht="24" customHeight="1" outlineLevel="1" x14ac:dyDescent="0.2">
      <c r="A235" s="298"/>
      <c r="B235" s="345" t="s">
        <v>1541</v>
      </c>
      <c r="C235" s="177" t="s">
        <v>94</v>
      </c>
      <c r="D235" s="114" t="s">
        <v>1543</v>
      </c>
      <c r="E235" s="298"/>
      <c r="F235" s="109" t="s">
        <v>109</v>
      </c>
      <c r="G235" s="298" t="s">
        <v>1545</v>
      </c>
    </row>
    <row r="236" spans="1:7" ht="24" customHeight="1" outlineLevel="1" x14ac:dyDescent="0.2">
      <c r="A236" s="298"/>
      <c r="B236" s="299" t="s">
        <v>1542</v>
      </c>
      <c r="C236" s="177" t="s">
        <v>94</v>
      </c>
      <c r="D236" s="114" t="s">
        <v>1544</v>
      </c>
      <c r="E236" s="298"/>
      <c r="F236" s="109" t="s">
        <v>109</v>
      </c>
      <c r="G236" s="298" t="s">
        <v>1546</v>
      </c>
    </row>
    <row r="237" spans="1:7" ht="24" customHeight="1" outlineLevel="1" x14ac:dyDescent="0.2">
      <c r="A237" s="298"/>
      <c r="B237" s="299" t="s">
        <v>1457</v>
      </c>
      <c r="C237" s="93" t="s">
        <v>94</v>
      </c>
      <c r="D237" s="299" t="s">
        <v>903</v>
      </c>
      <c r="E237" s="298"/>
      <c r="F237" s="109" t="s">
        <v>109</v>
      </c>
      <c r="G237" s="298" t="s">
        <v>1458</v>
      </c>
    </row>
    <row r="238" spans="1:7" ht="24" customHeight="1" outlineLevel="1" x14ac:dyDescent="0.2">
      <c r="A238" s="298"/>
      <c r="B238" s="299" t="s">
        <v>1454</v>
      </c>
      <c r="C238" s="93" t="s">
        <v>94</v>
      </c>
      <c r="D238" s="299" t="s">
        <v>1455</v>
      </c>
      <c r="E238" s="298"/>
      <c r="F238" s="109" t="s">
        <v>109</v>
      </c>
      <c r="G238" s="298" t="s">
        <v>1456</v>
      </c>
    </row>
    <row r="239" spans="1:7" ht="24" customHeight="1" outlineLevel="1" x14ac:dyDescent="0.2">
      <c r="A239" s="298"/>
      <c r="B239" s="299" t="s">
        <v>1431</v>
      </c>
      <c r="C239" s="93" t="s">
        <v>94</v>
      </c>
      <c r="D239" s="299" t="s">
        <v>1432</v>
      </c>
      <c r="E239" s="298"/>
      <c r="F239" s="298" t="s">
        <v>109</v>
      </c>
      <c r="G239" s="298" t="s">
        <v>1433</v>
      </c>
    </row>
    <row r="240" spans="1:7" ht="24" customHeight="1" outlineLevel="1" x14ac:dyDescent="0.2">
      <c r="A240" s="346"/>
      <c r="B240" s="299" t="s">
        <v>1448</v>
      </c>
      <c r="C240" s="93" t="s">
        <v>94</v>
      </c>
      <c r="D240" s="299" t="s">
        <v>1449</v>
      </c>
      <c r="E240" s="298"/>
      <c r="F240" s="298" t="s">
        <v>109</v>
      </c>
      <c r="G240" s="298" t="s">
        <v>1450</v>
      </c>
    </row>
    <row r="241" spans="1:7" ht="24" customHeight="1" outlineLevel="1" x14ac:dyDescent="0.2">
      <c r="A241" s="298"/>
      <c r="B241" s="299" t="s">
        <v>1466</v>
      </c>
      <c r="C241" s="93" t="s">
        <v>94</v>
      </c>
      <c r="D241" s="299" t="s">
        <v>1467</v>
      </c>
      <c r="E241" s="298"/>
      <c r="F241" s="298" t="s">
        <v>109</v>
      </c>
      <c r="G241" s="298" t="s">
        <v>1468</v>
      </c>
    </row>
    <row r="242" spans="1:7" ht="24" customHeight="1" outlineLevel="1" x14ac:dyDescent="0.2">
      <c r="A242" s="109"/>
      <c r="B242" s="116" t="s">
        <v>1520</v>
      </c>
      <c r="C242" s="93" t="s">
        <v>94</v>
      </c>
      <c r="D242" s="116" t="s">
        <v>1521</v>
      </c>
      <c r="E242" s="109"/>
      <c r="F242" s="109" t="s">
        <v>109</v>
      </c>
      <c r="G242" s="264" t="s">
        <v>1522</v>
      </c>
    </row>
    <row r="243" spans="1:7" ht="24" customHeight="1" outlineLevel="1" x14ac:dyDescent="0.2">
      <c r="A243" s="298"/>
      <c r="B243" s="299" t="s">
        <v>1445</v>
      </c>
      <c r="C243" s="93" t="s">
        <v>94</v>
      </c>
      <c r="D243" s="299" t="s">
        <v>1446</v>
      </c>
      <c r="E243" s="298"/>
      <c r="F243" s="298" t="s">
        <v>109</v>
      </c>
      <c r="G243" s="298" t="s">
        <v>1447</v>
      </c>
    </row>
    <row r="244" spans="1:7" ht="24" customHeight="1" outlineLevel="1" x14ac:dyDescent="0.2">
      <c r="A244" s="298"/>
      <c r="B244" s="299" t="s">
        <v>1523</v>
      </c>
      <c r="C244" s="93" t="s">
        <v>94</v>
      </c>
      <c r="D244" s="299" t="s">
        <v>1525</v>
      </c>
      <c r="E244" s="298"/>
      <c r="F244" s="298" t="s">
        <v>109</v>
      </c>
      <c r="G244" s="298" t="s">
        <v>1524</v>
      </c>
    </row>
    <row r="245" spans="1:7" ht="24" customHeight="1" outlineLevel="1" x14ac:dyDescent="0.2">
      <c r="A245" s="109"/>
      <c r="B245" s="116" t="s">
        <v>1451</v>
      </c>
      <c r="C245" s="93" t="s">
        <v>94</v>
      </c>
      <c r="D245" s="116" t="s">
        <v>1452</v>
      </c>
      <c r="E245" s="109"/>
      <c r="F245" s="109" t="s">
        <v>109</v>
      </c>
      <c r="G245" s="109" t="s">
        <v>1453</v>
      </c>
    </row>
    <row r="246" spans="1:7" ht="24" customHeight="1" outlineLevel="1" x14ac:dyDescent="0.2">
      <c r="A246" s="109"/>
      <c r="B246" s="116" t="s">
        <v>1439</v>
      </c>
      <c r="C246" s="93" t="s">
        <v>94</v>
      </c>
      <c r="D246" s="116" t="s">
        <v>1440</v>
      </c>
      <c r="E246" s="109"/>
      <c r="F246" s="109" t="s">
        <v>109</v>
      </c>
      <c r="G246" s="109" t="s">
        <v>1441</v>
      </c>
    </row>
    <row r="247" spans="1:7" ht="24" customHeight="1" outlineLevel="1" x14ac:dyDescent="0.2">
      <c r="A247" s="298"/>
      <c r="B247" s="299" t="s">
        <v>1531</v>
      </c>
      <c r="C247" s="93" t="s">
        <v>94</v>
      </c>
      <c r="D247" s="299" t="s">
        <v>1532</v>
      </c>
      <c r="E247" s="298"/>
      <c r="F247" s="298" t="s">
        <v>109</v>
      </c>
      <c r="G247" s="298" t="s">
        <v>1533</v>
      </c>
    </row>
    <row r="248" spans="1:7" ht="24" customHeight="1" outlineLevel="1" x14ac:dyDescent="0.2">
      <c r="A248" s="299"/>
      <c r="B248" s="299" t="s">
        <v>1463</v>
      </c>
      <c r="C248" s="93" t="s">
        <v>94</v>
      </c>
      <c r="D248" s="299" t="s">
        <v>1464</v>
      </c>
      <c r="E248" s="298"/>
      <c r="F248" s="298" t="s">
        <v>109</v>
      </c>
      <c r="G248" s="298" t="s">
        <v>1465</v>
      </c>
    </row>
    <row r="249" spans="1:7" ht="24" customHeight="1" outlineLevel="1" x14ac:dyDescent="0.2">
      <c r="A249" s="299"/>
      <c r="B249" s="299" t="s">
        <v>1460</v>
      </c>
      <c r="C249" s="93" t="s">
        <v>94</v>
      </c>
      <c r="D249" s="299" t="s">
        <v>1461</v>
      </c>
      <c r="E249" s="298"/>
      <c r="F249" s="298" t="s">
        <v>109</v>
      </c>
      <c r="G249" s="298" t="s">
        <v>1462</v>
      </c>
    </row>
    <row r="250" spans="1:7" ht="24" customHeight="1" outlineLevel="1" x14ac:dyDescent="0.2">
      <c r="A250" s="298"/>
      <c r="B250" s="299" t="s">
        <v>1529</v>
      </c>
      <c r="C250" s="93" t="s">
        <v>94</v>
      </c>
      <c r="D250" s="299"/>
      <c r="E250" s="298"/>
      <c r="F250" s="298" t="s">
        <v>109</v>
      </c>
      <c r="G250" s="298" t="s">
        <v>1530</v>
      </c>
    </row>
    <row r="251" spans="1:7" ht="24" customHeight="1" outlineLevel="1" x14ac:dyDescent="0.2">
      <c r="A251" s="298"/>
      <c r="B251" s="114" t="s">
        <v>1556</v>
      </c>
      <c r="C251" s="93" t="s">
        <v>94</v>
      </c>
      <c r="D251" s="114" t="s">
        <v>1557</v>
      </c>
      <c r="E251" s="298"/>
      <c r="F251" s="298" t="s">
        <v>109</v>
      </c>
      <c r="G251" s="298" t="s">
        <v>1558</v>
      </c>
    </row>
    <row r="252" spans="1:7" ht="24" customHeight="1" outlineLevel="1" x14ac:dyDescent="0.2">
      <c r="A252" s="340"/>
      <c r="B252" s="341" t="s">
        <v>2052</v>
      </c>
      <c r="C252" s="93" t="s">
        <v>94</v>
      </c>
      <c r="D252" s="116" t="s">
        <v>2053</v>
      </c>
      <c r="E252" s="340"/>
      <c r="F252" s="298" t="s">
        <v>109</v>
      </c>
      <c r="G252" s="340" t="s">
        <v>2054</v>
      </c>
    </row>
    <row r="253" spans="1:7" ht="24" customHeight="1" outlineLevel="1" x14ac:dyDescent="0.2">
      <c r="A253" s="340"/>
      <c r="B253" s="341"/>
      <c r="C253" s="93"/>
      <c r="D253" s="341"/>
      <c r="E253" s="340"/>
      <c r="F253" s="340"/>
      <c r="G253" s="340"/>
    </row>
    <row r="254" spans="1:7" ht="24" customHeight="1" outlineLevel="1" x14ac:dyDescent="0.2">
      <c r="A254" s="340"/>
      <c r="B254" s="341" t="s">
        <v>2078</v>
      </c>
      <c r="C254" s="93" t="s">
        <v>94</v>
      </c>
      <c r="D254" s="116" t="s">
        <v>2079</v>
      </c>
      <c r="E254" s="340"/>
      <c r="F254" s="298" t="s">
        <v>109</v>
      </c>
      <c r="G254" s="340" t="s">
        <v>2080</v>
      </c>
    </row>
    <row r="255" spans="1:7" ht="24" customHeight="1" outlineLevel="1" x14ac:dyDescent="0.2">
      <c r="A255" s="340"/>
      <c r="B255" s="341"/>
      <c r="C255" s="93"/>
      <c r="D255" s="341"/>
      <c r="E255" s="340"/>
      <c r="F255" s="340"/>
      <c r="G255" s="340"/>
    </row>
    <row r="256" spans="1:7" ht="24" customHeight="1" outlineLevel="1" x14ac:dyDescent="0.2">
      <c r="A256" s="340"/>
      <c r="B256" s="341"/>
      <c r="C256" s="93"/>
      <c r="D256" s="341"/>
      <c r="E256" s="340"/>
      <c r="F256" s="340"/>
      <c r="G256" s="340"/>
    </row>
    <row r="257" spans="1:7" s="7" customFormat="1" ht="24" customHeight="1" outlineLevel="1" x14ac:dyDescent="0.2">
      <c r="A257" s="298"/>
      <c r="B257" s="299" t="s">
        <v>1677</v>
      </c>
      <c r="C257" s="93" t="s">
        <v>94</v>
      </c>
      <c r="D257" s="114" t="s">
        <v>1675</v>
      </c>
      <c r="E257" s="298"/>
      <c r="F257" s="298" t="s">
        <v>109</v>
      </c>
      <c r="G257" s="298" t="s">
        <v>1676</v>
      </c>
    </row>
    <row r="258" spans="1:7" s="7" customFormat="1" ht="24" customHeight="1" outlineLevel="1" x14ac:dyDescent="0.2">
      <c r="A258" s="109"/>
      <c r="B258" s="299" t="s">
        <v>1683</v>
      </c>
      <c r="C258" s="93" t="s">
        <v>94</v>
      </c>
      <c r="D258" s="116" t="s">
        <v>1684</v>
      </c>
      <c r="E258" s="109" t="s">
        <v>1996</v>
      </c>
      <c r="F258" s="298" t="s">
        <v>109</v>
      </c>
      <c r="G258" s="173" t="s">
        <v>1685</v>
      </c>
    </row>
    <row r="259" spans="1:7" s="7" customFormat="1" ht="24" customHeight="1" outlineLevel="1" x14ac:dyDescent="0.2">
      <c r="A259" s="298"/>
      <c r="B259" s="116" t="s">
        <v>1686</v>
      </c>
      <c r="C259" s="93" t="s">
        <v>94</v>
      </c>
      <c r="D259" s="116" t="s">
        <v>1687</v>
      </c>
      <c r="E259" s="298"/>
      <c r="F259" s="298" t="s">
        <v>109</v>
      </c>
      <c r="G259" s="298" t="s">
        <v>1688</v>
      </c>
    </row>
    <row r="260" spans="1:7" s="7" customFormat="1" ht="24" customHeight="1" outlineLevel="1" x14ac:dyDescent="0.2">
      <c r="A260" s="298"/>
      <c r="B260" s="116"/>
      <c r="C260" s="93"/>
      <c r="D260" s="116"/>
      <c r="E260" s="298"/>
      <c r="F260" s="298"/>
      <c r="G260" s="298"/>
    </row>
    <row r="261" spans="1:7" s="7" customFormat="1" ht="24" customHeight="1" outlineLevel="1" x14ac:dyDescent="0.2">
      <c r="A261" s="298"/>
      <c r="B261" s="299" t="s">
        <v>1689</v>
      </c>
      <c r="C261" s="93" t="s">
        <v>94</v>
      </c>
      <c r="D261" s="116" t="s">
        <v>1690</v>
      </c>
      <c r="E261" s="298"/>
      <c r="F261" s="298" t="s">
        <v>109</v>
      </c>
      <c r="G261" s="298"/>
    </row>
    <row r="262" spans="1:7" s="7" customFormat="1" ht="24" customHeight="1" outlineLevel="1" x14ac:dyDescent="0.2">
      <c r="A262" s="298"/>
      <c r="B262" s="299" t="s">
        <v>2102</v>
      </c>
      <c r="C262" s="93" t="s">
        <v>94</v>
      </c>
      <c r="D262" s="116" t="s">
        <v>2103</v>
      </c>
      <c r="E262" s="298"/>
      <c r="F262" s="298" t="s">
        <v>109</v>
      </c>
      <c r="G262" s="298" t="s">
        <v>2104</v>
      </c>
    </row>
    <row r="263" spans="1:7" s="7" customFormat="1" ht="24" customHeight="1" outlineLevel="1" x14ac:dyDescent="0.2">
      <c r="A263" s="298"/>
      <c r="B263" s="299" t="s">
        <v>2110</v>
      </c>
      <c r="C263" s="93" t="s">
        <v>94</v>
      </c>
      <c r="D263" s="116" t="s">
        <v>2108</v>
      </c>
      <c r="E263" s="298"/>
      <c r="F263" s="298" t="s">
        <v>109</v>
      </c>
      <c r="G263" s="298" t="s">
        <v>2109</v>
      </c>
    </row>
    <row r="264" spans="1:7" s="7" customFormat="1" ht="24" customHeight="1" outlineLevel="1" x14ac:dyDescent="0.2">
      <c r="A264" s="298"/>
      <c r="B264" s="299"/>
      <c r="C264" s="93"/>
      <c r="D264" s="116"/>
      <c r="E264" s="298"/>
      <c r="F264" s="298"/>
      <c r="G264" s="298"/>
    </row>
    <row r="265" spans="1:7" s="7" customFormat="1" ht="24" customHeight="1" outlineLevel="1" x14ac:dyDescent="0.2">
      <c r="A265" s="298"/>
      <c r="B265" s="299"/>
      <c r="C265" s="93"/>
      <c r="D265" s="116"/>
      <c r="E265" s="298"/>
      <c r="F265" s="298"/>
      <c r="G265" s="298"/>
    </row>
    <row r="266" spans="1:7" s="7" customFormat="1" ht="24" customHeight="1" outlineLevel="1" x14ac:dyDescent="0.2">
      <c r="A266" s="298"/>
      <c r="B266" s="299"/>
      <c r="C266" s="93"/>
      <c r="D266" s="116"/>
      <c r="E266" s="298"/>
      <c r="F266" s="298"/>
      <c r="G266" s="298"/>
    </row>
    <row r="267" spans="1:7" ht="24" customHeight="1" outlineLevel="1" x14ac:dyDescent="0.2">
      <c r="A267" s="91"/>
      <c r="B267" s="91"/>
      <c r="C267" s="278"/>
      <c r="D267" s="280"/>
      <c r="E267" s="91"/>
      <c r="F267" s="91"/>
      <c r="G267" s="91"/>
    </row>
    <row r="269" spans="1:7" s="17" customFormat="1" outlineLevel="1" x14ac:dyDescent="0.2">
      <c r="A269" s="2"/>
      <c r="B269" s="2"/>
      <c r="C269" s="2"/>
      <c r="D269" s="2"/>
      <c r="E269" s="2"/>
      <c r="F269" s="2"/>
      <c r="G269" s="2"/>
    </row>
    <row r="270" spans="1:7" ht="60" customHeight="1" outlineLevel="1" x14ac:dyDescent="0.25">
      <c r="A270" s="1" t="s">
        <v>84</v>
      </c>
    </row>
    <row r="271" spans="1:7" ht="12.6" customHeight="1" outlineLevel="1" x14ac:dyDescent="0.25">
      <c r="A271" s="386" t="s">
        <v>85</v>
      </c>
      <c r="B271" s="386"/>
      <c r="C271" s="386"/>
      <c r="D271" s="386"/>
    </row>
    <row r="272" spans="1:7" ht="33" customHeight="1" outlineLevel="1" x14ac:dyDescent="0.2">
      <c r="A272" s="120" t="s">
        <v>81</v>
      </c>
      <c r="B272" s="120" t="s">
        <v>86</v>
      </c>
      <c r="C272" s="120" t="s">
        <v>87</v>
      </c>
      <c r="D272" s="120" t="s">
        <v>88</v>
      </c>
      <c r="E272" s="120" t="s">
        <v>89</v>
      </c>
      <c r="F272" s="120" t="s">
        <v>4</v>
      </c>
      <c r="G272" s="120" t="s">
        <v>90</v>
      </c>
    </row>
    <row r="273" spans="1:15" ht="287.25" customHeight="1" outlineLevel="1" x14ac:dyDescent="0.2">
      <c r="A273" s="94"/>
      <c r="B273" s="219" t="s">
        <v>2316</v>
      </c>
      <c r="C273" s="238" t="s">
        <v>1280</v>
      </c>
      <c r="D273" s="225" t="s">
        <v>2319</v>
      </c>
      <c r="E273" s="132" t="s">
        <v>2168</v>
      </c>
      <c r="F273" s="74" t="s">
        <v>94</v>
      </c>
      <c r="G273" s="72">
        <v>7560</v>
      </c>
    </row>
    <row r="274" spans="1:15" ht="248.25" customHeight="1" x14ac:dyDescent="0.2">
      <c r="A274" s="94"/>
      <c r="B274" s="219" t="s">
        <v>2315</v>
      </c>
      <c r="C274" s="238" t="s">
        <v>1280</v>
      </c>
      <c r="D274" s="225" t="s">
        <v>2320</v>
      </c>
      <c r="E274" s="132" t="s">
        <v>1742</v>
      </c>
      <c r="F274" s="74" t="s">
        <v>94</v>
      </c>
      <c r="G274" s="72">
        <v>0</v>
      </c>
    </row>
    <row r="275" spans="1:15" ht="148.5" customHeight="1" x14ac:dyDescent="0.2">
      <c r="A275" s="94"/>
      <c r="B275" s="219" t="s">
        <v>2309</v>
      </c>
      <c r="C275" s="238" t="s">
        <v>1280</v>
      </c>
      <c r="D275" s="225" t="s">
        <v>2318</v>
      </c>
      <c r="E275" s="132" t="s">
        <v>2310</v>
      </c>
      <c r="F275" s="74" t="s">
        <v>94</v>
      </c>
      <c r="G275" s="72">
        <v>6000</v>
      </c>
    </row>
    <row r="276" spans="1:15" s="124" customFormat="1" ht="12.75" customHeight="1" outlineLevel="1" x14ac:dyDescent="0.2">
      <c r="A276" s="2"/>
      <c r="B276" s="122"/>
      <c r="C276" s="123"/>
      <c r="D276" s="2"/>
      <c r="E276" s="2"/>
      <c r="F276" s="122"/>
      <c r="G276" s="2"/>
      <c r="H276" s="2"/>
      <c r="I276" s="2"/>
      <c r="J276" s="2"/>
      <c r="K276" s="2"/>
      <c r="L276" s="2"/>
      <c r="M276" s="2"/>
      <c r="N276" s="2"/>
      <c r="O276" s="2"/>
    </row>
    <row r="277" spans="1:15" ht="60" customHeight="1" outlineLevel="1" x14ac:dyDescent="0.2">
      <c r="A277" s="122"/>
      <c r="B277" s="122"/>
      <c r="C277" s="123"/>
      <c r="F277" s="122"/>
    </row>
    <row r="278" spans="1:15" ht="60" customHeight="1" outlineLevel="1" x14ac:dyDescent="0.25">
      <c r="A278" s="386" t="s">
        <v>92</v>
      </c>
      <c r="B278" s="386"/>
      <c r="C278" s="386"/>
      <c r="D278" s="386"/>
    </row>
    <row r="279" spans="1:15" x14ac:dyDescent="0.2">
      <c r="A279" s="120" t="s">
        <v>81</v>
      </c>
      <c r="B279" s="120" t="s">
        <v>86</v>
      </c>
      <c r="C279" s="120" t="s">
        <v>87</v>
      </c>
      <c r="D279" s="120" t="s">
        <v>88</v>
      </c>
      <c r="E279" s="120" t="s">
        <v>89</v>
      </c>
      <c r="F279" s="120" t="s">
        <v>4</v>
      </c>
      <c r="G279" s="120" t="s">
        <v>90</v>
      </c>
    </row>
    <row r="280" spans="1:15" ht="153" x14ac:dyDescent="0.2">
      <c r="A280" s="230" t="s">
        <v>109</v>
      </c>
      <c r="B280" s="219" t="s">
        <v>1744</v>
      </c>
      <c r="C280" s="292"/>
      <c r="D280" s="292"/>
      <c r="E280" s="132" t="s">
        <v>1743</v>
      </c>
      <c r="F280" s="74" t="s">
        <v>94</v>
      </c>
      <c r="G280" s="292"/>
    </row>
    <row r="281" spans="1:15" ht="76.5" x14ac:dyDescent="0.25">
      <c r="A281" s="230" t="s">
        <v>109</v>
      </c>
      <c r="B281" s="148" t="s">
        <v>1741</v>
      </c>
      <c r="C281" s="125"/>
      <c r="D281"/>
      <c r="E281" s="132" t="s">
        <v>1695</v>
      </c>
      <c r="F281" s="74" t="s">
        <v>94</v>
      </c>
      <c r="G281" s="126"/>
    </row>
    <row r="282" spans="1:15" ht="38.25" x14ac:dyDescent="0.25">
      <c r="A282" s="230" t="s">
        <v>109</v>
      </c>
      <c r="B282" s="148" t="s">
        <v>1745</v>
      </c>
      <c r="C282" s="125"/>
      <c r="D282"/>
      <c r="E282" s="132" t="s">
        <v>1516</v>
      </c>
      <c r="F282" s="74" t="s">
        <v>94</v>
      </c>
      <c r="G282" s="126"/>
    </row>
    <row r="283" spans="1:15" ht="76.5" x14ac:dyDescent="0.25">
      <c r="A283" s="230" t="s">
        <v>109</v>
      </c>
      <c r="B283" s="148" t="s">
        <v>1410</v>
      </c>
      <c r="C283" s="125"/>
      <c r="D283"/>
      <c r="E283" s="132" t="s">
        <v>1742</v>
      </c>
      <c r="F283" s="74" t="s">
        <v>94</v>
      </c>
      <c r="G283" s="9"/>
    </row>
  </sheetData>
  <mergeCells count="14">
    <mergeCell ref="A271:D271"/>
    <mergeCell ref="A278:D278"/>
    <mergeCell ref="A51:D51"/>
    <mergeCell ref="A67:D67"/>
    <mergeCell ref="A76:D76"/>
    <mergeCell ref="A95:D95"/>
    <mergeCell ref="A143:D143"/>
    <mergeCell ref="A148:D148"/>
    <mergeCell ref="A44:D44"/>
    <mergeCell ref="A5:D5"/>
    <mergeCell ref="A10:D10"/>
    <mergeCell ref="A15:D15"/>
    <mergeCell ref="A20:D20"/>
    <mergeCell ref="A38:D38"/>
  </mergeCells>
  <conditionalFormatting sqref="G273:G275 C273:C275">
    <cfRule type="cellIs" dxfId="83" priority="17" operator="equal">
      <formula>"ДА"</formula>
    </cfRule>
    <cfRule type="cellIs" dxfId="82" priority="18" operator="equal">
      <formula>"НЕТ"</formula>
    </cfRule>
    <cfRule type="cellIs" dxfId="81" priority="19" operator="equal">
      <formula>"Нет"</formula>
    </cfRule>
    <cfRule type="cellIs" dxfId="80" priority="20" operator="equal">
      <formula>"нет"</formula>
    </cfRule>
    <cfRule type="cellIs" dxfId="79" priority="21" operator="equal">
      <formula>"ДА"</formula>
    </cfRule>
    <cfRule type="containsText" dxfId="78" priority="22" operator="containsText" text="Да">
      <formula>NOT(ISERROR(SEARCH("Да",C273)))</formula>
    </cfRule>
  </conditionalFormatting>
  <conditionalFormatting sqref="E7 E12">
    <cfRule type="cellIs" dxfId="77" priority="29" operator="lessThan">
      <formula>0</formula>
    </cfRule>
    <cfRule type="cellIs" dxfId="76" priority="30" operator="greaterThan">
      <formula>0</formula>
    </cfRule>
  </conditionalFormatting>
  <conditionalFormatting sqref="D7 D12 E17">
    <cfRule type="cellIs" dxfId="75" priority="27" operator="lessThan">
      <formula>0</formula>
    </cfRule>
    <cfRule type="cellIs" dxfId="74" priority="28" operator="greaterThan">
      <formula>0</formula>
    </cfRule>
  </conditionalFormatting>
  <conditionalFormatting sqref="H69">
    <cfRule type="cellIs" dxfId="73" priority="25" operator="lessThan">
      <formula>1</formula>
    </cfRule>
    <cfRule type="cellIs" dxfId="72" priority="26" operator="greaterThan">
      <formula>1</formula>
    </cfRule>
  </conditionalFormatting>
  <conditionalFormatting sqref="H72">
    <cfRule type="cellIs" dxfId="71" priority="23" operator="lessThan">
      <formula>1</formula>
    </cfRule>
    <cfRule type="cellIs" dxfId="70" priority="24" operator="greaterThan">
      <formula>1</formula>
    </cfRule>
  </conditionalFormatting>
  <conditionalFormatting sqref="B258">
    <cfRule type="duplicateValues" dxfId="69" priority="16"/>
  </conditionalFormatting>
  <conditionalFormatting sqref="B240 B208">
    <cfRule type="duplicateValues" dxfId="68" priority="14"/>
  </conditionalFormatting>
  <conditionalFormatting sqref="B234">
    <cfRule type="duplicateValues" dxfId="67" priority="13"/>
  </conditionalFormatting>
  <conditionalFormatting sqref="B224">
    <cfRule type="duplicateValues" dxfId="66" priority="15"/>
  </conditionalFormatting>
  <conditionalFormatting sqref="G283">
    <cfRule type="cellIs" dxfId="65" priority="7" operator="equal">
      <formula>"ДА"</formula>
    </cfRule>
    <cfRule type="cellIs" dxfId="64" priority="8" operator="equal">
      <formula>"НЕТ"</formula>
    </cfRule>
    <cfRule type="cellIs" dxfId="63" priority="9" operator="equal">
      <formula>"Нет"</formula>
    </cfRule>
    <cfRule type="cellIs" dxfId="62" priority="10" operator="equal">
      <formula>"нет"</formula>
    </cfRule>
    <cfRule type="cellIs" dxfId="61" priority="11" operator="equal">
      <formula>"ДА"</formula>
    </cfRule>
    <cfRule type="containsText" dxfId="60" priority="12" operator="containsText" text="Да">
      <formula>NOT(ISERROR(SEARCH("Да",G283)))</formula>
    </cfRule>
  </conditionalFormatting>
  <conditionalFormatting sqref="G281:G282">
    <cfRule type="cellIs" dxfId="59" priority="1" operator="equal">
      <formula>"ДА"</formula>
    </cfRule>
    <cfRule type="cellIs" dxfId="58" priority="2" operator="equal">
      <formula>"НЕТ"</formula>
    </cfRule>
    <cfRule type="cellIs" dxfId="57" priority="3" operator="equal">
      <formula>"Нет"</formula>
    </cfRule>
    <cfRule type="cellIs" dxfId="56" priority="4" operator="equal">
      <formula>"нет"</formula>
    </cfRule>
    <cfRule type="cellIs" dxfId="55" priority="5" operator="equal">
      <formula>"ДА"</formula>
    </cfRule>
  </conditionalFormatting>
  <pageMargins left="0.7" right="0.7" top="0.75" bottom="0.75" header="0.3" footer="0.3"/>
  <pageSetup paperSize="9" orientation="portrait" r:id="rId1"/>
  <legacy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extLst>
    <ext xmlns:x14="http://schemas.microsoft.com/office/spreadsheetml/2009/9/main" uri="{78C0D931-6437-407d-A8EE-F0AAD7539E65}">
      <x14:conditionalFormattings>
        <x14:conditionalFormatting xmlns:xm="http://schemas.microsoft.com/office/excel/2006/main">
          <x14:cfRule type="containsText" priority="6" operator="containsText" text="Да" id="{1DA8A678-3BC7-4788-AF11-2E45CF9F8FE1}">
            <xm:f>NOT(ISERROR(SEARCH("Да",'Август. 25'!G256)))</xm:f>
            <x14:dxf>
              <font>
                <color rgb="FF006100"/>
              </font>
              <fill>
                <patternFill>
                  <bgColor rgb="FFC6EFCE"/>
                </patternFill>
              </fill>
            </x14:dxf>
          </x14:cfRule>
          <xm:sqref>G281:G282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816326-B32F-4446-9852-801244DB0E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24</vt:i4>
      </vt:variant>
    </vt:vector>
  </HeadingPairs>
  <TitlesOfParts>
    <vt:vector size="24" baseType="lpstr">
      <vt:lpstr>Нояб.24</vt:lpstr>
      <vt:lpstr>Дек.24 </vt:lpstr>
      <vt:lpstr>Янв.25</vt:lpstr>
      <vt:lpstr>Фев.25</vt:lpstr>
      <vt:lpstr>Март.25</vt:lpstr>
      <vt:lpstr>Апр. 25</vt:lpstr>
      <vt:lpstr>Май. 25</vt:lpstr>
      <vt:lpstr>Июнь. 25</vt:lpstr>
      <vt:lpstr>Июль. 25</vt:lpstr>
      <vt:lpstr>Август. 25</vt:lpstr>
      <vt:lpstr>Сентябрь. 25</vt:lpstr>
      <vt:lpstr>Октябрь. 25</vt:lpstr>
      <vt:lpstr>Ноябрь. 25</vt:lpstr>
      <vt:lpstr>Декабрь. 25</vt:lpstr>
      <vt:lpstr>Январь. 26</vt:lpstr>
      <vt:lpstr>Февраль. 26</vt:lpstr>
      <vt:lpstr>Март. 26</vt:lpstr>
      <vt:lpstr>Апрель. 26</vt:lpstr>
      <vt:lpstr>Май. 26</vt:lpstr>
      <vt:lpstr>Июнь. 26</vt:lpstr>
      <vt:lpstr>Таблица163346597387101115122134</vt:lpstr>
      <vt:lpstr>Июль. 26</vt:lpstr>
      <vt:lpstr>Август. 26 (2)</vt:lpstr>
      <vt:lpstr>Шаблон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2026-08-04T10:54:32Z</dcterms:modified>
</cp:coreProperties>
</file>